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MARZO\FEBRERO\"/>
    </mc:Choice>
  </mc:AlternateContent>
  <bookViews>
    <workbookView xWindow="-120" yWindow="-120" windowWidth="20736" windowHeight="11160" tabRatio="669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7" i="7" l="1"/>
  <c r="F36" i="7"/>
  <c r="F35" i="7"/>
  <c r="F34" i="7"/>
  <c r="F33" i="7"/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BE761" i="6" l="1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Q761" i="6" l="1"/>
  <c r="BA752" i="6"/>
  <c r="BA758" i="6" s="1"/>
  <c r="BA750" i="6"/>
  <c r="BA756" i="6" s="1"/>
  <c r="BA751" i="6"/>
  <c r="BA757" i="6" s="1"/>
  <c r="F757" i="6"/>
  <c r="F761" i="6" s="1"/>
  <c r="F38" i="7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<sst xmlns="http://schemas.openxmlformats.org/spreadsheetml/2006/main" count="958" uniqueCount="204">
  <si>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</si>
  <si>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</si>
  <si>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</si>
  <si>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</si>
  <si>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</si>
  <si>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</si>
  <si>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</si>
  <si>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</si>
  <si>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</si>
  <si>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</si>
  <si>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</si>
  <si>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</si>
  <si>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</si>
  <si>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</si>
  <si>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</si>
  <si>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</si>
  <si>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</si>
  <si>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</si>
  <si>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</si>
  <si>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</si>
  <si>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</si>
  <si>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</si>
  <si>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</si>
  <si>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</si>
  <si>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</si>
  <si>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</si>
  <si>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</si>
  <si>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</si>
  <si>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</si>
  <si>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</si>
  <si>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</si>
  <si>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</si>
  <si>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</si>
  <si>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</si>
  <si>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</si>
  <si>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</si>
  <si>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</si>
  <si>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</si>
  <si>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</si>
  <si>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</si>
  <si>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</si>
  <si>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 xml:space="preserve">Raúl Cifuentes </t>
  </si>
  <si>
    <t xml:space="preserve">Richard Pesantes </t>
  </si>
  <si>
    <t>RT</t>
  </si>
  <si>
    <t xml:space="preserve">Marco Yaguachi </t>
  </si>
  <si>
    <t>Nombre del socio</t>
  </si>
  <si>
    <t>Quien lo atendió</t>
  </si>
  <si>
    <t>COMENTARIOS Y SUGERENCIAS</t>
  </si>
  <si>
    <t xml:space="preserve">todo excelente </t>
  </si>
  <si>
    <t xml:space="preserve">Eduardo León </t>
  </si>
  <si>
    <t>Marlon Vinces</t>
  </si>
  <si>
    <t>Diego Barcia Castilla</t>
  </si>
  <si>
    <t>Ambar Mite</t>
  </si>
  <si>
    <t xml:space="preserve">Marlon Pilay </t>
  </si>
  <si>
    <t xml:space="preserve">Jorge Rodríguez </t>
  </si>
  <si>
    <t xml:space="preserve">Ambar Mite 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</si>
  <si>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</si>
  <si>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</si>
  <si>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</si>
  <si>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</si>
  <si>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</si>
  <si>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</si>
  <si>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</si>
  <si>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</si>
  <si>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</si>
  <si>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</si>
  <si>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</si>
  <si>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</si>
  <si>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</si>
  <si>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</si>
  <si>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</si>
  <si>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>Belisario Pinto</t>
  </si>
  <si>
    <t>Daniel Leon</t>
  </si>
  <si>
    <t xml:space="preserve">Rubén muños </t>
  </si>
  <si>
    <t>Kennedy cantos</t>
  </si>
  <si>
    <t xml:space="preserve">Maria Torres de Rivadeneria
</t>
  </si>
  <si>
    <t>Marcia Villavicencio Loor</t>
  </si>
  <si>
    <t>Eduardo León</t>
  </si>
  <si>
    <t>Patricia Andrade Andrade</t>
  </si>
  <si>
    <t>REVISAR PLATO VOlcaN, MARISCOS SOBRECOCINADOS</t>
  </si>
  <si>
    <t>muy bueno todo</t>
  </si>
  <si>
    <t>poner mejores platos en la carta</t>
  </si>
  <si>
    <t>Pedro Solines</t>
  </si>
  <si>
    <t xml:space="preserve">José Delgado Casanova </t>
  </si>
  <si>
    <t xml:space="preserve">Jorge Pazmiño </t>
  </si>
  <si>
    <t>Carlos Vascones Flor</t>
  </si>
  <si>
    <t>Rafael Avellán Huerta</t>
  </si>
  <si>
    <t xml:space="preserve">Erick Jiménez </t>
  </si>
  <si>
    <t>Joanna Lovo Garces</t>
  </si>
  <si>
    <t>Ámbar Mite</t>
  </si>
  <si>
    <t>Rafael Martínez Mori</t>
  </si>
  <si>
    <t xml:space="preserve">Ámbar Mite </t>
  </si>
  <si>
    <t xml:space="preserve">Ernesto Guzman Quiñones </t>
  </si>
  <si>
    <t xml:space="preserve">Erazo Muñoz armando </t>
  </si>
  <si>
    <t xml:space="preserve">queirolo anda María </t>
  </si>
  <si>
    <t xml:space="preserve">Larrea idrovo Mónica </t>
  </si>
  <si>
    <t xml:space="preserve">manosalvas Velasco Ricardo </t>
  </si>
  <si>
    <t>quintana Valdez gonzalo</t>
  </si>
  <si>
    <t xml:space="preserve">Martínez Rafael
</t>
  </si>
  <si>
    <t xml:space="preserve">Marlon
</t>
  </si>
  <si>
    <t>Chiriboga Alban</t>
  </si>
  <si>
    <t>Marlon</t>
  </si>
  <si>
    <t>Elizabeth Bohorquez</t>
  </si>
  <si>
    <t>Allison  Lopez</t>
  </si>
  <si>
    <t xml:space="preserve">Francisco Avegno
</t>
  </si>
  <si>
    <t>Alice</t>
  </si>
  <si>
    <t>Rosanna Plaza</t>
  </si>
  <si>
    <t>felipe pezo</t>
  </si>
  <si>
    <t>allison</t>
  </si>
  <si>
    <t xml:space="preserve">Orlando Rodríguez </t>
  </si>
  <si>
    <t xml:space="preserve">Marlon Vinces </t>
  </si>
  <si>
    <t>Edgar Lama</t>
  </si>
  <si>
    <t>Douglas  Macklif</t>
  </si>
  <si>
    <t>María Ycaza</t>
  </si>
  <si>
    <t xml:space="preserve">Alison </t>
  </si>
  <si>
    <t>Rubén Estrella  iñiga</t>
  </si>
  <si>
    <t xml:space="preserve">Alfredo Macías Torres 
</t>
  </si>
  <si>
    <t>Tito Icaza Baquerizo</t>
  </si>
  <si>
    <t xml:space="preserve">Carlos Coronel </t>
  </si>
  <si>
    <t xml:space="preserve">Roberto morla </t>
  </si>
  <si>
    <t>cristhian bernal</t>
  </si>
  <si>
    <t>Erick jimenez</t>
  </si>
  <si>
    <t xml:space="preserve">Pedro cedeño </t>
  </si>
  <si>
    <t xml:space="preserve">Jorge pazmiño </t>
  </si>
  <si>
    <t xml:space="preserve">Gustavo Ulloa </t>
  </si>
  <si>
    <t xml:space="preserve">Julian Barragán </t>
  </si>
  <si>
    <t xml:space="preserve">Pilar Gonzales </t>
  </si>
  <si>
    <t>Delia Farah</t>
  </si>
  <si>
    <t>Marlon Pilay</t>
  </si>
  <si>
    <t xml:space="preserve">Katerine Morán </t>
  </si>
  <si>
    <t>hans shuback</t>
  </si>
  <si>
    <t xml:space="preserve">Fernando coronel </t>
  </si>
  <si>
    <t>María robalino</t>
  </si>
  <si>
    <t xml:space="preserve">erick Jiménez </t>
  </si>
  <si>
    <t>Alfredo avila</t>
  </si>
  <si>
    <t>Omar Serrano</t>
  </si>
  <si>
    <t>Allison y Ambar</t>
  </si>
  <si>
    <t xml:space="preserve">Daniel Valverde </t>
  </si>
  <si>
    <t>Juan Carlos Lima</t>
  </si>
  <si>
    <t xml:space="preserve">Ana Patiño </t>
  </si>
  <si>
    <t>Regina Kury</t>
  </si>
  <si>
    <t>Lili Rodditi</t>
  </si>
  <si>
    <t>Marco Yaguachi</t>
  </si>
  <si>
    <t>Daniel Valverde Balda</t>
  </si>
  <si>
    <t xml:space="preserve">María de Lourdes santos </t>
  </si>
  <si>
    <t xml:space="preserve">Emilio Parodi 
</t>
  </si>
  <si>
    <t>Víctor Abad</t>
  </si>
  <si>
    <t>Susana Rojas</t>
  </si>
  <si>
    <t xml:space="preserve">David Estrada </t>
  </si>
  <si>
    <t xml:space="preserve">Boris Cabrera </t>
  </si>
  <si>
    <t xml:space="preserve">Raúl Reyes </t>
  </si>
  <si>
    <t xml:space="preserve">Magno Briones </t>
  </si>
  <si>
    <t xml:space="preserve">juan medina </t>
  </si>
  <si>
    <t>José ferreti</t>
  </si>
  <si>
    <t>Andrés perez</t>
  </si>
  <si>
    <t>pilar alava</t>
  </si>
  <si>
    <t>Diego crespo</t>
  </si>
  <si>
    <t>Selim Doumet</t>
  </si>
  <si>
    <t>Sergio Suares</t>
  </si>
  <si>
    <t xml:space="preserve">Olga Dito </t>
  </si>
  <si>
    <t>Rodrigo Roman</t>
  </si>
  <si>
    <t>Boris Cabrera</t>
  </si>
  <si>
    <t>Rafael martinez</t>
  </si>
  <si>
    <t>Andrés intriago</t>
  </si>
  <si>
    <t>alberto icaza</t>
  </si>
  <si>
    <t>Andrés Blum</t>
  </si>
  <si>
    <t>Daniela Febrescordero</t>
  </si>
  <si>
    <t xml:space="preserve">Andrés Barriga </t>
  </si>
  <si>
    <t xml:space="preserve">Renato Aguilar Marzo </t>
  </si>
  <si>
    <t>Gregorio Camposano Nuñez</t>
  </si>
  <si>
    <t>Fernando Camposano</t>
  </si>
  <si>
    <t>Xavier luque</t>
  </si>
  <si>
    <t>Rómulo vargas</t>
  </si>
  <si>
    <t>José rodriguez</t>
  </si>
  <si>
    <t>Andrés barriga</t>
  </si>
  <si>
    <t>Mario  coka</t>
  </si>
  <si>
    <t>Alberto Pincay</t>
  </si>
  <si>
    <t xml:space="preserve">Óscar Moggia </t>
  </si>
  <si>
    <t>Hans Schuback</t>
  </si>
  <si>
    <t xml:space="preserve">María Isabel Briones
</t>
  </si>
  <si>
    <t xml:space="preserve">David Gavilanes </t>
  </si>
  <si>
    <t xml:space="preserve">Xavier Durán </t>
  </si>
  <si>
    <t xml:space="preserve">Harry Huerta </t>
  </si>
  <si>
    <t xml:space="preserve">Esteban Ávila </t>
  </si>
  <si>
    <t>Pablo Pita</t>
  </si>
  <si>
    <t xml:space="preserve">Jose Elizalde </t>
  </si>
  <si>
    <t xml:space="preserve">Víctor Calderón </t>
  </si>
  <si>
    <t>Carlos Vallerino</t>
  </si>
  <si>
    <t>Jorge Chon</t>
  </si>
  <si>
    <t xml:space="preserve">Pedro Huerta </t>
  </si>
  <si>
    <t>Alfonso Harb</t>
  </si>
  <si>
    <t>julio orellana</t>
  </si>
  <si>
    <t xml:space="preserve">Enrique Avellán </t>
  </si>
  <si>
    <t>Cesar Ayala</t>
  </si>
  <si>
    <t xml:space="preserve">excelente servicio
</t>
  </si>
  <si>
    <t>buen servicio</t>
  </si>
  <si>
    <t xml:space="preserve">excelente Servicio y buena predisposición </t>
  </si>
  <si>
    <t xml:space="preserve">buen </t>
  </si>
  <si>
    <t xml:space="preserve">la fanesca excelente </t>
  </si>
  <si>
    <t>Todo bien!!</t>
  </si>
  <si>
    <t xml:space="preserve">variedad de menú. implementar sango de choclo de camarón que había antes. </t>
  </si>
  <si>
    <t>todo muy biem</t>
  </si>
  <si>
    <t>Todo excelente</t>
  </si>
  <si>
    <t>MARZO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</si>
</sst>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6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26" xfId="0" applyBorder="1"/>
    <xf numFmtId="14" fontId="2" fillId="0" borderId="1" xfId="2" applyNumberFormat="1" applyBorder="1" applyAlignment="1">
      <alignment horizontal="right" vertical="center"/>
    </xf>
    <xf numFmtId="14" fontId="11" fillId="0" borderId="1" xfId="3" applyNumberFormat="1" applyBorder="1"/>
    <xf numFmtId="0" fontId="11" fillId="0" borderId="1" xfId="3" applyNumberFormat="1" applyBorder="1"/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MARZO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0.99607843137254903</c:v>
                </c:pt>
                <c:pt idx="1">
                  <c:v>0.93509803921568635</c:v>
                </c:pt>
                <c:pt idx="2">
                  <c:v>0.94137254901960776</c:v>
                </c:pt>
                <c:pt idx="3">
                  <c:v>0.91941176470588237</c:v>
                </c:pt>
                <c:pt idx="4">
                  <c:v>0.98529411764705876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20"/>
  <sheetViews>
    <sheetView tabSelected="1" zoomScale="80" zoomScaleNormal="80" workbookViewId="0">
      <selection activeCell="X113" sqref="X113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47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12"/>
      <c r="N6" s="112"/>
      <c r="O6" s="114"/>
      <c r="P6" s="114"/>
      <c r="Q6" s="114"/>
      <c r="R6" s="114"/>
      <c r="S6" s="114"/>
      <c r="T6" s="86"/>
      <c r="U6" s="117"/>
      <c r="V6" s="118"/>
    </row>
    <row r="7" spans="3:22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12"/>
      <c r="N7" s="112"/>
      <c r="O7" s="114"/>
      <c r="P7" s="114"/>
      <c r="Q7" s="114"/>
      <c r="R7" s="114"/>
      <c r="S7" s="114"/>
      <c r="T7" s="86"/>
      <c r="U7" s="117"/>
      <c r="V7" s="118"/>
    </row>
    <row r="8" spans="3:22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12"/>
      <c r="N8" s="112"/>
      <c r="O8" s="114"/>
      <c r="P8" s="114"/>
      <c r="Q8" s="114"/>
      <c r="R8" s="114"/>
      <c r="S8" s="114"/>
      <c r="T8" s="86"/>
      <c r="U8" s="117"/>
      <c r="V8" s="118"/>
    </row>
    <row r="9" spans="3:22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12"/>
      <c r="N9" s="112"/>
      <c r="O9" s="114"/>
      <c r="P9" s="114"/>
      <c r="Q9" s="114"/>
      <c r="R9" s="114"/>
      <c r="S9" s="114"/>
      <c r="T9" s="86"/>
      <c r="U9" s="117"/>
      <c r="V9" s="118"/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12"/>
      <c r="N10" s="112"/>
      <c r="O10" s="114"/>
      <c r="P10" s="114"/>
      <c r="Q10" s="114"/>
      <c r="R10" s="114"/>
      <c r="S10" s="114"/>
      <c r="T10" s="86"/>
      <c r="U10" s="117"/>
      <c r="V10" s="118"/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12"/>
      <c r="N11" s="112"/>
      <c r="O11" s="114"/>
      <c r="P11" s="114"/>
      <c r="Q11" s="114"/>
      <c r="R11" s="114"/>
      <c r="S11" s="114"/>
      <c r="T11" s="86"/>
      <c r="U11" s="117"/>
      <c r="V11" s="118"/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12"/>
      <c r="N12" s="112"/>
      <c r="O12" s="114"/>
      <c r="P12" s="114"/>
      <c r="Q12" s="114"/>
      <c r="R12" s="114"/>
      <c r="S12" s="114"/>
      <c r="T12" s="86"/>
      <c r="U12" s="117"/>
      <c r="V12" s="118"/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>
        <v>8</v>
      </c>
      <c r="M13" s="112"/>
      <c r="N13" s="112"/>
      <c r="O13" s="114"/>
      <c r="P13" s="114"/>
      <c r="Q13" s="114"/>
      <c r="R13" s="114"/>
      <c r="S13" s="114"/>
      <c r="T13" s="86"/>
      <c r="U13" s="117"/>
      <c r="V13" s="118"/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>
        <v>9</v>
      </c>
      <c r="M14" s="112"/>
      <c r="N14" s="112"/>
      <c r="O14" s="114"/>
      <c r="P14" s="114"/>
      <c r="Q14" s="114"/>
      <c r="R14" s="114"/>
      <c r="S14" s="114"/>
      <c r="T14" s="86"/>
      <c r="U14" s="117"/>
      <c r="V14" s="118"/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10</v>
      </c>
      <c r="M15" s="112"/>
      <c r="N15" s="112"/>
      <c r="O15" s="114"/>
      <c r="P15" s="114"/>
      <c r="Q15" s="114"/>
      <c r="R15" s="114"/>
      <c r="S15" s="114"/>
      <c r="T15" s="86"/>
      <c r="U15" s="117"/>
      <c r="V15" s="118"/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11</v>
      </c>
      <c r="M16" s="112"/>
      <c r="N16" s="112"/>
      <c r="O16" s="114"/>
      <c r="P16" s="114"/>
      <c r="Q16" s="114"/>
      <c r="R16" s="114"/>
      <c r="S16" s="114"/>
      <c r="T16" s="86"/>
      <c r="U16" s="117"/>
      <c r="V16" s="118"/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12</v>
      </c>
      <c r="M17" s="112"/>
      <c r="N17" s="112"/>
      <c r="O17" s="114"/>
      <c r="P17" s="114"/>
      <c r="Q17" s="114"/>
      <c r="R17" s="114"/>
      <c r="S17" s="114"/>
      <c r="T17" s="86"/>
      <c r="U17" s="117"/>
      <c r="V17" s="118"/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/>
      <c r="M18" s="112"/>
      <c r="N18" s="112"/>
      <c r="O18" s="114"/>
      <c r="P18" s="114"/>
      <c r="Q18" s="114"/>
      <c r="R18" s="114"/>
      <c r="S18" s="114"/>
      <c r="T18" s="86"/>
      <c r="U18" s="115"/>
      <c r="V18" s="1"/>
    </row>
    <row r="19" spans="3:22" ht="15.6" x14ac:dyDescent="0.3">
      <c r="C19" s="21"/>
      <c r="D19" s="1"/>
      <c r="E19" s="1"/>
      <c r="F19" s="1"/>
      <c r="G19" s="1"/>
      <c r="H19" s="1"/>
      <c r="I19" s="1"/>
      <c r="J19" s="1"/>
      <c r="L19" s="86">
        <v>1</v>
      </c>
      <c r="M19" s="112" t="s">
        <v>71</v>
      </c>
      <c r="N19" s="112" t="s">
        <v>72</v>
      </c>
      <c r="O19" s="122">
        <v>5</v>
      </c>
      <c r="P19" s="122">
        <v>5</v>
      </c>
      <c r="Q19" s="122">
        <v>5</v>
      </c>
      <c r="R19" s="122">
        <v>5</v>
      </c>
      <c r="S19" s="122">
        <v>5</v>
      </c>
      <c r="T19" s="86" t="s">
        <v>40</v>
      </c>
      <c r="U19" s="121">
        <v>45358</v>
      </c>
      <c r="V19" s="121"/>
    </row>
    <row r="20" spans="3:22" ht="15.6" x14ac:dyDescent="0.3">
      <c r="C20" s="21"/>
      <c r="D20" s="1"/>
      <c r="E20" s="1"/>
      <c r="F20" s="1"/>
      <c r="G20" s="1"/>
      <c r="H20" s="1"/>
      <c r="I20" s="1"/>
      <c r="J20" s="1"/>
      <c r="L20" s="86">
        <v>2</v>
      </c>
      <c r="M20" s="112" t="s">
        <v>73</v>
      </c>
      <c r="N20" s="112" t="s">
        <v>74</v>
      </c>
      <c r="O20" s="122">
        <v>5</v>
      </c>
      <c r="P20" s="122">
        <v>4</v>
      </c>
      <c r="Q20" s="122">
        <v>4</v>
      </c>
      <c r="R20" s="122">
        <v>4</v>
      </c>
      <c r="S20" s="122">
        <v>5</v>
      </c>
      <c r="T20" s="86" t="s">
        <v>40</v>
      </c>
      <c r="U20" s="121">
        <v>45358</v>
      </c>
      <c r="V20" s="121" t="s">
        <v>79</v>
      </c>
    </row>
    <row r="21" spans="3:22" ht="15.6" x14ac:dyDescent="0.3">
      <c r="C21" s="21"/>
      <c r="D21" s="1"/>
      <c r="E21" s="1"/>
      <c r="F21" s="1"/>
      <c r="G21" s="1"/>
      <c r="H21" s="1"/>
      <c r="I21" s="1"/>
      <c r="J21" s="1"/>
      <c r="L21" s="86">
        <v>3</v>
      </c>
      <c r="M21" s="112" t="s">
        <v>75</v>
      </c>
      <c r="N21" s="112" t="s">
        <v>49</v>
      </c>
      <c r="O21" s="122">
        <v>5</v>
      </c>
      <c r="P21" s="122">
        <v>5</v>
      </c>
      <c r="Q21" s="122">
        <v>5</v>
      </c>
      <c r="R21" s="122">
        <v>5</v>
      </c>
      <c r="S21" s="122">
        <v>5</v>
      </c>
      <c r="T21" s="86" t="s">
        <v>40</v>
      </c>
      <c r="U21" s="121">
        <v>45358</v>
      </c>
      <c r="V21" s="121"/>
    </row>
    <row r="22" spans="3:22" ht="15.6" x14ac:dyDescent="0.3">
      <c r="C22" s="21"/>
      <c r="D22" s="1"/>
      <c r="E22" s="1"/>
      <c r="F22" s="1"/>
      <c r="G22" s="1"/>
      <c r="H22" s="1"/>
      <c r="I22" s="1"/>
      <c r="J22" s="1"/>
      <c r="L22" s="86">
        <v>4</v>
      </c>
      <c r="M22" s="112" t="s">
        <v>76</v>
      </c>
      <c r="N22" s="112" t="s">
        <v>77</v>
      </c>
      <c r="O22" s="122">
        <v>5</v>
      </c>
      <c r="P22" s="122">
        <v>5</v>
      </c>
      <c r="Q22" s="122">
        <v>5</v>
      </c>
      <c r="R22" s="122">
        <v>5</v>
      </c>
      <c r="S22" s="122">
        <v>5</v>
      </c>
      <c r="T22" s="86" t="s">
        <v>40</v>
      </c>
      <c r="U22" s="121">
        <v>45358</v>
      </c>
      <c r="V22" s="121" t="s">
        <v>80</v>
      </c>
    </row>
    <row r="23" spans="3:22" ht="15.6" x14ac:dyDescent="0.3">
      <c r="C23" s="21"/>
      <c r="D23" s="1"/>
      <c r="E23" s="1"/>
      <c r="F23" s="1"/>
      <c r="G23" s="1"/>
      <c r="H23" s="1"/>
      <c r="I23" s="1"/>
      <c r="J23" s="1"/>
      <c r="L23" s="86">
        <v>5</v>
      </c>
      <c r="M23" s="112" t="s">
        <v>78</v>
      </c>
      <c r="N23" s="112" t="s">
        <v>77</v>
      </c>
      <c r="O23" s="122">
        <v>5</v>
      </c>
      <c r="P23" s="122">
        <v>3</v>
      </c>
      <c r="Q23" s="122">
        <v>4</v>
      </c>
      <c r="R23" s="122">
        <v>3</v>
      </c>
      <c r="S23" s="122">
        <v>5</v>
      </c>
      <c r="T23" s="86" t="s">
        <v>40</v>
      </c>
      <c r="U23" s="121">
        <v>45358</v>
      </c>
      <c r="V23" s="121" t="s">
        <v>81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>
        <v>6</v>
      </c>
      <c r="M24" s="112"/>
      <c r="N24" s="112"/>
      <c r="O24" s="114"/>
      <c r="P24" s="114"/>
      <c r="Q24" s="114"/>
      <c r="R24" s="114"/>
      <c r="S24" s="114"/>
      <c r="T24" s="86"/>
      <c r="U24" s="117"/>
      <c r="V24" s="119"/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>
        <v>7</v>
      </c>
      <c r="M25" s="112"/>
      <c r="N25" s="112"/>
      <c r="O25" s="114"/>
      <c r="P25" s="114"/>
      <c r="Q25" s="114"/>
      <c r="R25" s="114"/>
      <c r="S25" s="114"/>
      <c r="T25" s="86"/>
      <c r="U25" s="117"/>
      <c r="V25" s="119"/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>
        <v>8</v>
      </c>
      <c r="M26" s="112"/>
      <c r="N26" s="112"/>
      <c r="O26" s="114"/>
      <c r="P26" s="114"/>
      <c r="Q26" s="114"/>
      <c r="R26" s="114"/>
      <c r="S26" s="114"/>
      <c r="T26" s="86"/>
      <c r="U26" s="117"/>
      <c r="V26" s="119"/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>
        <v>9</v>
      </c>
      <c r="M27" s="112"/>
      <c r="N27" s="112"/>
      <c r="O27" s="114"/>
      <c r="P27" s="114"/>
      <c r="Q27" s="114"/>
      <c r="R27" s="114"/>
      <c r="S27" s="114"/>
      <c r="T27" s="86"/>
      <c r="U27" s="117"/>
      <c r="V27" s="119"/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>
        <v>10</v>
      </c>
      <c r="M28" s="112"/>
      <c r="N28" s="112"/>
      <c r="O28" s="114"/>
      <c r="P28" s="114"/>
      <c r="Q28" s="114"/>
      <c r="R28" s="114"/>
      <c r="S28" s="114"/>
      <c r="T28" s="86"/>
      <c r="U28" s="117"/>
      <c r="V28" s="119"/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>
        <v>11</v>
      </c>
      <c r="M29" s="112"/>
      <c r="N29" s="112"/>
      <c r="O29" s="114"/>
      <c r="P29" s="114"/>
      <c r="Q29" s="114"/>
      <c r="R29" s="114"/>
      <c r="S29" s="114"/>
      <c r="T29" s="86"/>
      <c r="U29" s="117"/>
      <c r="V29" s="119"/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>
        <v>12</v>
      </c>
      <c r="M30" s="112"/>
      <c r="N30" s="112"/>
      <c r="O30" s="114"/>
      <c r="P30" s="114"/>
      <c r="Q30" s="114"/>
      <c r="R30" s="114"/>
      <c r="S30" s="114"/>
      <c r="T30" s="86"/>
      <c r="U30" s="117"/>
      <c r="V30" s="119"/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13</v>
      </c>
      <c r="M31" s="112"/>
      <c r="N31" s="112"/>
      <c r="O31" s="114"/>
      <c r="P31" s="114"/>
      <c r="Q31" s="114"/>
      <c r="R31" s="114"/>
      <c r="S31" s="114"/>
      <c r="T31" s="86"/>
      <c r="U31" s="117"/>
      <c r="V31" s="119"/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14</v>
      </c>
      <c r="M32" s="112"/>
      <c r="N32" s="112"/>
      <c r="O32" s="114"/>
      <c r="P32" s="114"/>
      <c r="Q32" s="114"/>
      <c r="R32" s="114"/>
      <c r="S32" s="114"/>
      <c r="T32" s="86"/>
      <c r="U32" s="117"/>
      <c r="V32" s="119"/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>
        <v>15</v>
      </c>
      <c r="M33" s="112"/>
      <c r="N33" s="112"/>
      <c r="O33" s="114"/>
      <c r="P33" s="114"/>
      <c r="Q33" s="114"/>
      <c r="R33" s="114"/>
      <c r="S33" s="114"/>
      <c r="T33" s="86"/>
      <c r="U33" s="117"/>
      <c r="V33" s="119"/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/>
      <c r="M34" s="112"/>
      <c r="N34" s="86"/>
      <c r="O34" s="86"/>
      <c r="P34" s="86"/>
      <c r="Q34" s="86"/>
      <c r="R34" s="86"/>
      <c r="S34" s="86"/>
      <c r="T34" s="86"/>
      <c r="U34" s="120"/>
      <c r="V34" s="119"/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1</v>
      </c>
      <c r="M35" s="112" t="s">
        <v>82</v>
      </c>
      <c r="N35" s="112" t="s">
        <v>55</v>
      </c>
      <c r="O35" s="123">
        <v>5</v>
      </c>
      <c r="P35" s="123">
        <v>5</v>
      </c>
      <c r="Q35" s="123">
        <v>5</v>
      </c>
      <c r="R35" s="123">
        <v>5</v>
      </c>
      <c r="S35" s="123">
        <v>5</v>
      </c>
      <c r="T35" s="86" t="s">
        <v>43</v>
      </c>
      <c r="U35" s="124">
        <v>45353</v>
      </c>
      <c r="V35" s="124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2</v>
      </c>
      <c r="M36" s="112" t="s">
        <v>83</v>
      </c>
      <c r="N36" s="112" t="s">
        <v>53</v>
      </c>
      <c r="O36" s="123">
        <v>4</v>
      </c>
      <c r="P36" s="123">
        <v>4</v>
      </c>
      <c r="Q36" s="123">
        <v>4</v>
      </c>
      <c r="R36" s="123">
        <v>4</v>
      </c>
      <c r="S36" s="123">
        <v>4</v>
      </c>
      <c r="T36" s="86" t="s">
        <v>43</v>
      </c>
      <c r="U36" s="124">
        <v>45353</v>
      </c>
      <c r="V36" s="124" t="s">
        <v>39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3</v>
      </c>
      <c r="M37" s="112" t="s">
        <v>84</v>
      </c>
      <c r="N37" s="112" t="s">
        <v>41</v>
      </c>
      <c r="O37" s="123">
        <v>5</v>
      </c>
      <c r="P37" s="123">
        <v>5</v>
      </c>
      <c r="Q37" s="123">
        <v>4</v>
      </c>
      <c r="R37" s="123">
        <v>4</v>
      </c>
      <c r="S37" s="123">
        <v>4</v>
      </c>
      <c r="T37" s="86" t="s">
        <v>43</v>
      </c>
      <c r="U37" s="124">
        <v>45353</v>
      </c>
      <c r="V37" s="124" t="s">
        <v>39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4</v>
      </c>
      <c r="M38" s="112" t="s">
        <v>85</v>
      </c>
      <c r="N38" s="112" t="s">
        <v>41</v>
      </c>
      <c r="O38" s="123">
        <v>5</v>
      </c>
      <c r="P38" s="123">
        <v>5</v>
      </c>
      <c r="Q38" s="123">
        <v>4</v>
      </c>
      <c r="R38" s="123">
        <v>3</v>
      </c>
      <c r="S38" s="123">
        <v>4</v>
      </c>
      <c r="T38" s="86" t="s">
        <v>43</v>
      </c>
      <c r="U38" s="124">
        <v>45353</v>
      </c>
      <c r="V38" s="124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5</v>
      </c>
      <c r="M39" s="112" t="s">
        <v>86</v>
      </c>
      <c r="N39" s="112" t="s">
        <v>87</v>
      </c>
      <c r="O39" s="123">
        <v>5</v>
      </c>
      <c r="P39" s="123">
        <v>5</v>
      </c>
      <c r="Q39" s="123">
        <v>5</v>
      </c>
      <c r="R39" s="123">
        <v>5</v>
      </c>
      <c r="S39" s="123">
        <v>5</v>
      </c>
      <c r="T39" s="86" t="s">
        <v>43</v>
      </c>
      <c r="U39" s="124">
        <v>45353</v>
      </c>
      <c r="V39" s="124" t="s">
        <v>39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6</v>
      </c>
      <c r="M40" s="112" t="s">
        <v>88</v>
      </c>
      <c r="N40" s="112" t="s">
        <v>89</v>
      </c>
      <c r="O40" s="123">
        <v>5</v>
      </c>
      <c r="P40" s="123">
        <v>5</v>
      </c>
      <c r="Q40" s="123">
        <v>5</v>
      </c>
      <c r="R40" s="123">
        <v>5</v>
      </c>
      <c r="S40" s="123">
        <v>5</v>
      </c>
      <c r="T40" s="86" t="s">
        <v>43</v>
      </c>
      <c r="U40" s="124">
        <v>45354</v>
      </c>
      <c r="V40" s="124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7</v>
      </c>
      <c r="M41" s="112" t="s">
        <v>90</v>
      </c>
      <c r="N41" s="112" t="s">
        <v>91</v>
      </c>
      <c r="O41" s="123">
        <v>5</v>
      </c>
      <c r="P41" s="123">
        <v>5</v>
      </c>
      <c r="Q41" s="123">
        <v>5</v>
      </c>
      <c r="R41" s="123">
        <v>5</v>
      </c>
      <c r="S41" s="123">
        <v>5</v>
      </c>
      <c r="T41" s="86" t="s">
        <v>43</v>
      </c>
      <c r="U41" s="124">
        <v>45354</v>
      </c>
      <c r="V41" s="124" t="s">
        <v>39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8</v>
      </c>
      <c r="M42" s="112" t="s">
        <v>92</v>
      </c>
      <c r="N42" s="112" t="s">
        <v>89</v>
      </c>
      <c r="O42" s="123">
        <v>5</v>
      </c>
      <c r="P42" s="123">
        <v>5</v>
      </c>
      <c r="Q42" s="123">
        <v>5</v>
      </c>
      <c r="R42" s="123">
        <v>5</v>
      </c>
      <c r="S42" s="123">
        <v>5</v>
      </c>
      <c r="T42" s="86" t="s">
        <v>43</v>
      </c>
      <c r="U42" s="124">
        <v>45354</v>
      </c>
      <c r="V42" s="124" t="s">
        <v>39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9</v>
      </c>
      <c r="M43" s="112" t="s">
        <v>93</v>
      </c>
      <c r="N43" s="112" t="s">
        <v>39</v>
      </c>
      <c r="O43" s="123">
        <v>5</v>
      </c>
      <c r="P43" s="123">
        <v>5</v>
      </c>
      <c r="Q43" s="123">
        <v>5</v>
      </c>
      <c r="R43" s="123">
        <v>4</v>
      </c>
      <c r="S43" s="123">
        <v>5</v>
      </c>
      <c r="T43" s="86" t="s">
        <v>43</v>
      </c>
      <c r="U43" s="124">
        <v>45354</v>
      </c>
      <c r="V43" s="124" t="s">
        <v>39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10</v>
      </c>
      <c r="M44" s="112" t="s">
        <v>94</v>
      </c>
      <c r="N44" s="112" t="s">
        <v>39</v>
      </c>
      <c r="O44" s="123">
        <v>5</v>
      </c>
      <c r="P44" s="123">
        <v>4</v>
      </c>
      <c r="Q44" s="123">
        <v>4</v>
      </c>
      <c r="R44" s="123">
        <v>4</v>
      </c>
      <c r="S44" s="123">
        <v>3</v>
      </c>
      <c r="T44" s="86" t="s">
        <v>43</v>
      </c>
      <c r="U44" s="124">
        <v>45354</v>
      </c>
      <c r="V44" s="124" t="s">
        <v>39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11</v>
      </c>
      <c r="M45" s="112" t="s">
        <v>95</v>
      </c>
      <c r="N45" s="112" t="s">
        <v>39</v>
      </c>
      <c r="O45" s="123">
        <v>5</v>
      </c>
      <c r="P45" s="123">
        <v>5</v>
      </c>
      <c r="Q45" s="123">
        <v>5</v>
      </c>
      <c r="R45" s="123">
        <v>4</v>
      </c>
      <c r="S45" s="123">
        <v>5</v>
      </c>
      <c r="T45" s="86" t="s">
        <v>43</v>
      </c>
      <c r="U45" s="124">
        <v>45354</v>
      </c>
      <c r="V45" s="124" t="s">
        <v>39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12</v>
      </c>
      <c r="M46" s="112" t="s">
        <v>96</v>
      </c>
      <c r="N46" s="112" t="s">
        <v>39</v>
      </c>
      <c r="O46" s="123">
        <v>5</v>
      </c>
      <c r="P46" s="123">
        <v>5</v>
      </c>
      <c r="Q46" s="123">
        <v>5</v>
      </c>
      <c r="R46" s="123">
        <v>5</v>
      </c>
      <c r="S46" s="123">
        <v>5</v>
      </c>
      <c r="T46" s="86" t="s">
        <v>43</v>
      </c>
      <c r="U46" s="124">
        <v>45354</v>
      </c>
      <c r="V46" s="124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13</v>
      </c>
      <c r="M47" s="112" t="s">
        <v>97</v>
      </c>
      <c r="N47" s="112" t="s">
        <v>39</v>
      </c>
      <c r="O47" s="123">
        <v>5</v>
      </c>
      <c r="P47" s="123">
        <v>5</v>
      </c>
      <c r="Q47" s="123">
        <v>5</v>
      </c>
      <c r="R47" s="123">
        <v>5</v>
      </c>
      <c r="S47" s="123">
        <v>5</v>
      </c>
      <c r="T47" s="86" t="s">
        <v>43</v>
      </c>
      <c r="U47" s="124">
        <v>45354</v>
      </c>
      <c r="V47" s="124" t="s">
        <v>39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14</v>
      </c>
      <c r="M48" s="112" t="s">
        <v>98</v>
      </c>
      <c r="N48" s="112" t="s">
        <v>99</v>
      </c>
      <c r="O48" s="123">
        <v>5</v>
      </c>
      <c r="P48" s="123">
        <v>5</v>
      </c>
      <c r="Q48" s="123">
        <v>5</v>
      </c>
      <c r="R48" s="123">
        <v>5</v>
      </c>
      <c r="S48" s="123">
        <v>5</v>
      </c>
      <c r="T48" s="86" t="s">
        <v>43</v>
      </c>
      <c r="U48" s="124">
        <v>45354</v>
      </c>
      <c r="V48" s="124" t="s">
        <v>194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15</v>
      </c>
      <c r="M49" s="112" t="s">
        <v>100</v>
      </c>
      <c r="N49" s="112" t="s">
        <v>101</v>
      </c>
      <c r="O49" s="123">
        <v>5</v>
      </c>
      <c r="P49" s="123">
        <v>5</v>
      </c>
      <c r="Q49" s="123">
        <v>5</v>
      </c>
      <c r="R49" s="123">
        <v>5</v>
      </c>
      <c r="S49" s="123">
        <v>5</v>
      </c>
      <c r="T49" s="86" t="s">
        <v>43</v>
      </c>
      <c r="U49" s="124">
        <v>45354</v>
      </c>
      <c r="V49" s="124" t="s">
        <v>195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16</v>
      </c>
      <c r="M50" s="112" t="s">
        <v>102</v>
      </c>
      <c r="N50" s="112" t="s">
        <v>103</v>
      </c>
      <c r="O50" s="123">
        <v>5</v>
      </c>
      <c r="P50" s="123">
        <v>5</v>
      </c>
      <c r="Q50" s="123">
        <v>4</v>
      </c>
      <c r="R50" s="123">
        <v>5</v>
      </c>
      <c r="S50" s="123">
        <v>5</v>
      </c>
      <c r="T50" s="86" t="s">
        <v>43</v>
      </c>
      <c r="U50" s="124">
        <v>45355</v>
      </c>
      <c r="V50" s="124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17</v>
      </c>
      <c r="M51" s="112" t="s">
        <v>102</v>
      </c>
      <c r="N51" s="112" t="s">
        <v>103</v>
      </c>
      <c r="O51" s="123">
        <v>5</v>
      </c>
      <c r="P51" s="123">
        <v>5</v>
      </c>
      <c r="Q51" s="123">
        <v>4</v>
      </c>
      <c r="R51" s="123">
        <v>5</v>
      </c>
      <c r="S51" s="123">
        <v>5</v>
      </c>
      <c r="T51" s="86" t="s">
        <v>43</v>
      </c>
      <c r="U51" s="124">
        <v>45355</v>
      </c>
      <c r="V51" s="124" t="s">
        <v>39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18</v>
      </c>
      <c r="M52" s="112" t="s">
        <v>104</v>
      </c>
      <c r="N52" s="112" t="s">
        <v>105</v>
      </c>
      <c r="O52" s="123">
        <v>5</v>
      </c>
      <c r="P52" s="123">
        <v>5</v>
      </c>
      <c r="Q52" s="123">
        <v>4</v>
      </c>
      <c r="R52" s="123">
        <v>4</v>
      </c>
      <c r="S52" s="123">
        <v>5</v>
      </c>
      <c r="T52" s="86" t="s">
        <v>43</v>
      </c>
      <c r="U52" s="124">
        <v>45355</v>
      </c>
      <c r="V52" s="124" t="s">
        <v>39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19</v>
      </c>
      <c r="M53" s="112" t="s">
        <v>106</v>
      </c>
      <c r="N53" s="112" t="s">
        <v>44</v>
      </c>
      <c r="O53" s="123">
        <v>5</v>
      </c>
      <c r="P53" s="123">
        <v>5</v>
      </c>
      <c r="Q53" s="123">
        <v>5</v>
      </c>
      <c r="R53" s="123">
        <v>5</v>
      </c>
      <c r="S53" s="123">
        <v>5</v>
      </c>
      <c r="T53" s="86" t="s">
        <v>43</v>
      </c>
      <c r="U53" s="124">
        <v>45356</v>
      </c>
      <c r="V53" s="124" t="s">
        <v>196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>
        <v>20</v>
      </c>
      <c r="M54" s="112" t="s">
        <v>107</v>
      </c>
      <c r="N54" s="112" t="s">
        <v>108</v>
      </c>
      <c r="O54" s="123">
        <v>5</v>
      </c>
      <c r="P54" s="123">
        <v>5</v>
      </c>
      <c r="Q54" s="123">
        <v>5</v>
      </c>
      <c r="R54" s="123">
        <v>5</v>
      </c>
      <c r="S54" s="123">
        <v>5</v>
      </c>
      <c r="T54" s="86" t="s">
        <v>43</v>
      </c>
      <c r="U54" s="124">
        <v>45356</v>
      </c>
      <c r="V54" s="124" t="s">
        <v>197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>
        <v>21</v>
      </c>
      <c r="M55" s="112" t="s">
        <v>109</v>
      </c>
      <c r="N55" s="112" t="s">
        <v>110</v>
      </c>
      <c r="O55" s="123">
        <v>5</v>
      </c>
      <c r="P55" s="123">
        <v>5</v>
      </c>
      <c r="Q55" s="123">
        <v>5</v>
      </c>
      <c r="R55" s="123">
        <v>5</v>
      </c>
      <c r="S55" s="123">
        <v>5</v>
      </c>
      <c r="T55" s="86" t="s">
        <v>43</v>
      </c>
      <c r="U55" s="124">
        <v>45356</v>
      </c>
      <c r="V55" s="124" t="s">
        <v>39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>
        <v>22</v>
      </c>
      <c r="M56" s="112" t="s">
        <v>111</v>
      </c>
      <c r="N56" s="112" t="s">
        <v>110</v>
      </c>
      <c r="O56" s="123">
        <v>5</v>
      </c>
      <c r="P56" s="123">
        <v>5</v>
      </c>
      <c r="Q56" s="123">
        <v>5</v>
      </c>
      <c r="R56" s="123">
        <v>5</v>
      </c>
      <c r="S56" s="123">
        <v>5</v>
      </c>
      <c r="T56" s="86" t="s">
        <v>43</v>
      </c>
      <c r="U56" s="124">
        <v>45356</v>
      </c>
      <c r="V56" s="124" t="s">
        <v>198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>
        <v>23</v>
      </c>
      <c r="M57" s="112" t="s">
        <v>112</v>
      </c>
      <c r="N57" s="112" t="s">
        <v>44</v>
      </c>
      <c r="O57" s="123">
        <v>5</v>
      </c>
      <c r="P57" s="123">
        <v>5</v>
      </c>
      <c r="Q57" s="123">
        <v>4</v>
      </c>
      <c r="R57" s="123">
        <v>4</v>
      </c>
      <c r="S57" s="123">
        <v>4</v>
      </c>
      <c r="T57" s="86" t="s">
        <v>43</v>
      </c>
      <c r="U57" s="124">
        <v>45356</v>
      </c>
      <c r="V57" s="124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>
        <v>24</v>
      </c>
      <c r="M58" s="112" t="s">
        <v>113</v>
      </c>
      <c r="N58" s="112" t="s">
        <v>114</v>
      </c>
      <c r="O58" s="123">
        <v>5</v>
      </c>
      <c r="P58" s="123">
        <v>4</v>
      </c>
      <c r="Q58" s="123">
        <v>5</v>
      </c>
      <c r="R58" s="123">
        <v>4</v>
      </c>
      <c r="S58" s="123">
        <v>4</v>
      </c>
      <c r="T58" s="86" t="s">
        <v>43</v>
      </c>
      <c r="U58" s="124">
        <v>45356</v>
      </c>
      <c r="V58" s="124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>
        <v>25</v>
      </c>
      <c r="M59" s="112" t="s">
        <v>115</v>
      </c>
      <c r="N59" s="112" t="s">
        <v>44</v>
      </c>
      <c r="O59" s="123">
        <v>5</v>
      </c>
      <c r="P59" s="123">
        <v>5</v>
      </c>
      <c r="Q59" s="123">
        <v>4</v>
      </c>
      <c r="R59" s="123">
        <v>4</v>
      </c>
      <c r="S59" s="123">
        <v>4</v>
      </c>
      <c r="T59" s="86" t="s">
        <v>43</v>
      </c>
      <c r="U59" s="124">
        <v>45356</v>
      </c>
      <c r="V59" s="124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>
        <v>26</v>
      </c>
      <c r="M60" s="112" t="s">
        <v>116</v>
      </c>
      <c r="N60" s="112" t="s">
        <v>44</v>
      </c>
      <c r="O60" s="123">
        <v>5</v>
      </c>
      <c r="P60" s="123">
        <v>4</v>
      </c>
      <c r="Q60" s="123">
        <v>4</v>
      </c>
      <c r="R60" s="123">
        <v>4</v>
      </c>
      <c r="S60" s="123">
        <v>4</v>
      </c>
      <c r="T60" s="86" t="s">
        <v>43</v>
      </c>
      <c r="U60" s="124">
        <v>45358</v>
      </c>
      <c r="V60" s="124" t="s">
        <v>39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>
        <v>27</v>
      </c>
      <c r="M61" s="112" t="s">
        <v>117</v>
      </c>
      <c r="N61" s="112" t="s">
        <v>89</v>
      </c>
      <c r="O61" s="123">
        <v>5</v>
      </c>
      <c r="P61" s="123">
        <v>5</v>
      </c>
      <c r="Q61" s="123">
        <v>5</v>
      </c>
      <c r="R61" s="123">
        <v>5</v>
      </c>
      <c r="S61" s="123">
        <v>5</v>
      </c>
      <c r="T61" s="86" t="s">
        <v>43</v>
      </c>
      <c r="U61" s="124">
        <v>45358</v>
      </c>
      <c r="V61" s="124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>
        <v>28</v>
      </c>
      <c r="M62" s="112" t="s">
        <v>118</v>
      </c>
      <c r="N62" s="112" t="s">
        <v>89</v>
      </c>
      <c r="O62" s="123">
        <v>5</v>
      </c>
      <c r="P62" s="123">
        <v>5</v>
      </c>
      <c r="Q62" s="123">
        <v>5</v>
      </c>
      <c r="R62" s="123">
        <v>5</v>
      </c>
      <c r="S62" s="123">
        <v>5</v>
      </c>
      <c r="T62" s="86" t="s">
        <v>43</v>
      </c>
      <c r="U62" s="124">
        <v>45358</v>
      </c>
      <c r="V62" s="124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>
        <v>29</v>
      </c>
      <c r="M63" s="112" t="s">
        <v>119</v>
      </c>
      <c r="N63" s="112" t="s">
        <v>87</v>
      </c>
      <c r="O63" s="123">
        <v>5</v>
      </c>
      <c r="P63" s="123">
        <v>4</v>
      </c>
      <c r="Q63" s="123">
        <v>5</v>
      </c>
      <c r="R63" s="123">
        <v>5</v>
      </c>
      <c r="S63" s="123">
        <v>5</v>
      </c>
      <c r="T63" s="86" t="s">
        <v>43</v>
      </c>
      <c r="U63" s="124">
        <v>45359</v>
      </c>
      <c r="V63" s="124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>
        <v>30</v>
      </c>
      <c r="M64" s="112" t="s">
        <v>120</v>
      </c>
      <c r="N64" s="112" t="s">
        <v>121</v>
      </c>
      <c r="O64" s="123">
        <v>5</v>
      </c>
      <c r="P64" s="123">
        <v>5</v>
      </c>
      <c r="Q64" s="123">
        <v>5</v>
      </c>
      <c r="R64" s="123">
        <v>5</v>
      </c>
      <c r="S64" s="123">
        <v>5</v>
      </c>
      <c r="T64" s="86" t="s">
        <v>43</v>
      </c>
      <c r="U64" s="124">
        <v>45359</v>
      </c>
      <c r="V64" s="124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>
        <v>31</v>
      </c>
      <c r="M65" s="112" t="s">
        <v>122</v>
      </c>
      <c r="N65" s="112" t="s">
        <v>87</v>
      </c>
      <c r="O65" s="123">
        <v>4</v>
      </c>
      <c r="P65" s="123">
        <v>5</v>
      </c>
      <c r="Q65" s="123">
        <v>4</v>
      </c>
      <c r="R65" s="123">
        <v>5</v>
      </c>
      <c r="S65" s="123">
        <v>5</v>
      </c>
      <c r="T65" s="86" t="s">
        <v>43</v>
      </c>
      <c r="U65" s="124">
        <v>45359</v>
      </c>
      <c r="V65" s="124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>
        <v>32</v>
      </c>
      <c r="M66" s="112" t="s">
        <v>123</v>
      </c>
      <c r="N66" s="112" t="s">
        <v>39</v>
      </c>
      <c r="O66" s="123">
        <v>5</v>
      </c>
      <c r="P66" s="123">
        <v>5</v>
      </c>
      <c r="Q66" s="123">
        <v>5</v>
      </c>
      <c r="R66" s="123">
        <v>5</v>
      </c>
      <c r="S66" s="123">
        <v>5</v>
      </c>
      <c r="T66" s="86" t="s">
        <v>43</v>
      </c>
      <c r="U66" s="124">
        <v>45361</v>
      </c>
      <c r="V66" s="124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>
        <v>33</v>
      </c>
      <c r="M67" s="112" t="s">
        <v>123</v>
      </c>
      <c r="N67" s="112" t="s">
        <v>39</v>
      </c>
      <c r="O67" s="123">
        <v>5</v>
      </c>
      <c r="P67" s="123">
        <v>5</v>
      </c>
      <c r="Q67" s="123">
        <v>5</v>
      </c>
      <c r="R67" s="123">
        <v>5</v>
      </c>
      <c r="S67" s="123">
        <v>5</v>
      </c>
      <c r="T67" s="86" t="s">
        <v>43</v>
      </c>
      <c r="U67" s="124">
        <v>45361</v>
      </c>
      <c r="V67" s="124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>
        <v>34</v>
      </c>
      <c r="M68" s="112" t="s">
        <v>124</v>
      </c>
      <c r="N68" s="112" t="s">
        <v>39</v>
      </c>
      <c r="O68" s="123">
        <v>5</v>
      </c>
      <c r="P68" s="123">
        <v>5</v>
      </c>
      <c r="Q68" s="123">
        <v>5</v>
      </c>
      <c r="R68" s="123">
        <v>5</v>
      </c>
      <c r="S68" s="123">
        <v>5</v>
      </c>
      <c r="T68" s="86" t="s">
        <v>43</v>
      </c>
      <c r="U68" s="124">
        <v>45361</v>
      </c>
      <c r="V68" s="124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>
        <v>35</v>
      </c>
      <c r="M69" s="112" t="s">
        <v>125</v>
      </c>
      <c r="N69" s="112" t="s">
        <v>87</v>
      </c>
      <c r="O69" s="123">
        <v>5</v>
      </c>
      <c r="P69" s="123">
        <v>5</v>
      </c>
      <c r="Q69" s="123">
        <v>5</v>
      </c>
      <c r="R69" s="123">
        <v>5</v>
      </c>
      <c r="S69" s="123">
        <v>5</v>
      </c>
      <c r="T69" s="86" t="s">
        <v>43</v>
      </c>
      <c r="U69" s="124">
        <v>45361</v>
      </c>
      <c r="V69" s="124" t="s">
        <v>39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>
        <v>36</v>
      </c>
      <c r="M70" s="112" t="s">
        <v>126</v>
      </c>
      <c r="N70" s="112" t="s">
        <v>41</v>
      </c>
      <c r="O70" s="123">
        <v>5</v>
      </c>
      <c r="P70" s="123">
        <v>5</v>
      </c>
      <c r="Q70" s="123">
        <v>5</v>
      </c>
      <c r="R70" s="123">
        <v>4</v>
      </c>
      <c r="S70" s="123">
        <v>5</v>
      </c>
      <c r="T70" s="86" t="s">
        <v>43</v>
      </c>
      <c r="U70" s="124">
        <v>45361</v>
      </c>
      <c r="V70" s="124" t="s">
        <v>39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>
        <v>37</v>
      </c>
      <c r="M71" s="112" t="s">
        <v>127</v>
      </c>
      <c r="N71" s="112" t="s">
        <v>128</v>
      </c>
      <c r="O71" s="123">
        <v>5</v>
      </c>
      <c r="P71" s="123">
        <v>5</v>
      </c>
      <c r="Q71" s="123">
        <v>5</v>
      </c>
      <c r="R71" s="123">
        <v>5</v>
      </c>
      <c r="S71" s="123">
        <v>5</v>
      </c>
      <c r="T71" s="86" t="s">
        <v>43</v>
      </c>
      <c r="U71" s="124">
        <v>45361</v>
      </c>
      <c r="V71" s="124" t="s">
        <v>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>
        <v>38</v>
      </c>
      <c r="M72" s="112" t="s">
        <v>129</v>
      </c>
      <c r="N72" s="112" t="s">
        <v>42</v>
      </c>
      <c r="O72" s="123">
        <v>5</v>
      </c>
      <c r="P72" s="123">
        <v>5</v>
      </c>
      <c r="Q72" s="123">
        <v>5</v>
      </c>
      <c r="R72" s="123">
        <v>5</v>
      </c>
      <c r="S72" s="123">
        <v>5</v>
      </c>
      <c r="T72" s="86" t="s">
        <v>43</v>
      </c>
      <c r="U72" s="124">
        <v>45361</v>
      </c>
      <c r="V72" s="124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>
        <v>39</v>
      </c>
      <c r="M73" s="112" t="s">
        <v>130</v>
      </c>
      <c r="N73" s="112" t="s">
        <v>87</v>
      </c>
      <c r="O73" s="123">
        <v>5</v>
      </c>
      <c r="P73" s="123">
        <v>5</v>
      </c>
      <c r="Q73" s="123">
        <v>5</v>
      </c>
      <c r="R73" s="123">
        <v>5</v>
      </c>
      <c r="S73" s="123">
        <v>5</v>
      </c>
      <c r="T73" s="86" t="s">
        <v>43</v>
      </c>
      <c r="U73" s="124">
        <v>45361</v>
      </c>
      <c r="V73" s="124" t="s">
        <v>39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>
        <v>40</v>
      </c>
      <c r="M74" s="112" t="s">
        <v>131</v>
      </c>
      <c r="N74" s="112" t="s">
        <v>87</v>
      </c>
      <c r="O74" s="123">
        <v>5</v>
      </c>
      <c r="P74" s="123">
        <v>5</v>
      </c>
      <c r="Q74" s="123">
        <v>5</v>
      </c>
      <c r="R74" s="123">
        <v>4</v>
      </c>
      <c r="S74" s="123">
        <v>5</v>
      </c>
      <c r="T74" s="86" t="s">
        <v>43</v>
      </c>
      <c r="U74" s="124">
        <v>45361</v>
      </c>
      <c r="V74" s="124" t="s">
        <v>39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>
        <v>41</v>
      </c>
      <c r="M75" s="112" t="s">
        <v>132</v>
      </c>
      <c r="N75" s="112" t="s">
        <v>133</v>
      </c>
      <c r="O75" s="123">
        <v>4</v>
      </c>
      <c r="P75" s="123">
        <v>5</v>
      </c>
      <c r="Q75" s="123">
        <v>5</v>
      </c>
      <c r="R75" s="123">
        <v>5</v>
      </c>
      <c r="S75" s="123">
        <v>5</v>
      </c>
      <c r="T75" s="86" t="s">
        <v>43</v>
      </c>
      <c r="U75" s="124">
        <v>45361</v>
      </c>
      <c r="V75" s="124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>
        <v>42</v>
      </c>
      <c r="M76" s="112" t="s">
        <v>134</v>
      </c>
      <c r="N76" s="112" t="s">
        <v>87</v>
      </c>
      <c r="O76" s="123">
        <v>5</v>
      </c>
      <c r="P76" s="123">
        <v>5</v>
      </c>
      <c r="Q76" s="123">
        <v>5</v>
      </c>
      <c r="R76" s="123">
        <v>5</v>
      </c>
      <c r="S76" s="123">
        <v>5</v>
      </c>
      <c r="T76" s="86" t="s">
        <v>43</v>
      </c>
      <c r="U76" s="124">
        <v>45361</v>
      </c>
      <c r="V76" s="124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>
        <v>43</v>
      </c>
      <c r="M77" s="112" t="s">
        <v>135</v>
      </c>
      <c r="N77" s="112" t="s">
        <v>136</v>
      </c>
      <c r="O77" s="123">
        <v>5</v>
      </c>
      <c r="P77" s="123">
        <v>5</v>
      </c>
      <c r="Q77" s="123">
        <v>5</v>
      </c>
      <c r="R77" s="123">
        <v>5</v>
      </c>
      <c r="S77" s="123">
        <v>5</v>
      </c>
      <c r="T77" s="86" t="s">
        <v>43</v>
      </c>
      <c r="U77" s="124">
        <v>45362</v>
      </c>
      <c r="V77" s="124" t="s">
        <v>48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>
        <v>44</v>
      </c>
      <c r="M78" s="112" t="s">
        <v>137</v>
      </c>
      <c r="N78" s="112" t="s">
        <v>55</v>
      </c>
      <c r="O78" s="123">
        <v>5</v>
      </c>
      <c r="P78" s="123">
        <v>5</v>
      </c>
      <c r="Q78" s="123">
        <v>5</v>
      </c>
      <c r="R78" s="123">
        <v>5</v>
      </c>
      <c r="S78" s="123">
        <v>5</v>
      </c>
      <c r="T78" s="86" t="s">
        <v>43</v>
      </c>
      <c r="U78" s="124">
        <v>45363</v>
      </c>
      <c r="V78" s="124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>
        <v>45</v>
      </c>
      <c r="M79" s="112" t="s">
        <v>138</v>
      </c>
      <c r="N79" s="112" t="s">
        <v>91</v>
      </c>
      <c r="O79" s="123">
        <v>5</v>
      </c>
      <c r="P79" s="123">
        <v>5</v>
      </c>
      <c r="Q79" s="123">
        <v>5</v>
      </c>
      <c r="R79" s="123">
        <v>5</v>
      </c>
      <c r="S79" s="123">
        <v>5</v>
      </c>
      <c r="T79" s="86" t="s">
        <v>43</v>
      </c>
      <c r="U79" s="124">
        <v>45363</v>
      </c>
      <c r="V79" s="124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>
        <v>46</v>
      </c>
      <c r="M80" s="112" t="s">
        <v>139</v>
      </c>
      <c r="N80" s="112" t="s">
        <v>91</v>
      </c>
      <c r="O80" s="123">
        <v>5</v>
      </c>
      <c r="P80" s="123">
        <v>5</v>
      </c>
      <c r="Q80" s="123">
        <v>5</v>
      </c>
      <c r="R80" s="123">
        <v>5</v>
      </c>
      <c r="S80" s="123">
        <v>5</v>
      </c>
      <c r="T80" s="86" t="s">
        <v>43</v>
      </c>
      <c r="U80" s="124">
        <v>45363</v>
      </c>
      <c r="V80" s="124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>
        <v>47</v>
      </c>
      <c r="M81" s="112" t="s">
        <v>140</v>
      </c>
      <c r="N81" s="112" t="s">
        <v>44</v>
      </c>
      <c r="O81" s="123">
        <v>5</v>
      </c>
      <c r="P81" s="123">
        <v>5</v>
      </c>
      <c r="Q81" s="123">
        <v>4</v>
      </c>
      <c r="R81" s="123">
        <v>4</v>
      </c>
      <c r="S81" s="123">
        <v>4</v>
      </c>
      <c r="T81" s="86" t="s">
        <v>43</v>
      </c>
      <c r="U81" s="124">
        <v>45363</v>
      </c>
      <c r="V81" s="124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>
        <v>48</v>
      </c>
      <c r="M82" s="112" t="s">
        <v>141</v>
      </c>
      <c r="N82" s="112" t="s">
        <v>142</v>
      </c>
      <c r="O82" s="123">
        <v>4</v>
      </c>
      <c r="P82" s="123">
        <v>5</v>
      </c>
      <c r="Q82" s="123">
        <v>4</v>
      </c>
      <c r="R82" s="123">
        <v>4</v>
      </c>
      <c r="S82" s="123">
        <v>4</v>
      </c>
      <c r="T82" s="86" t="s">
        <v>43</v>
      </c>
      <c r="U82" s="124">
        <v>45363</v>
      </c>
      <c r="V82" s="124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>
        <v>49</v>
      </c>
      <c r="M83" s="112" t="s">
        <v>138</v>
      </c>
      <c r="N83" s="112" t="s">
        <v>89</v>
      </c>
      <c r="O83" s="123">
        <v>5</v>
      </c>
      <c r="P83" s="123">
        <v>5</v>
      </c>
      <c r="Q83" s="123">
        <v>5</v>
      </c>
      <c r="R83" s="123">
        <v>5</v>
      </c>
      <c r="S83" s="123">
        <v>5</v>
      </c>
      <c r="T83" s="86" t="s">
        <v>43</v>
      </c>
      <c r="U83" s="124">
        <v>45363</v>
      </c>
      <c r="V83" s="124" t="s">
        <v>199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>
        <v>50</v>
      </c>
      <c r="M84" s="112" t="s">
        <v>51</v>
      </c>
      <c r="N84" s="112" t="s">
        <v>89</v>
      </c>
      <c r="O84" s="123">
        <v>5</v>
      </c>
      <c r="P84" s="123">
        <v>5</v>
      </c>
      <c r="Q84" s="123">
        <v>5</v>
      </c>
      <c r="R84" s="123">
        <v>5</v>
      </c>
      <c r="S84" s="123">
        <v>5</v>
      </c>
      <c r="T84" s="86" t="s">
        <v>43</v>
      </c>
      <c r="U84" s="124">
        <v>45363</v>
      </c>
      <c r="V84" s="124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>
        <v>51</v>
      </c>
      <c r="M85" s="112" t="s">
        <v>143</v>
      </c>
      <c r="N85" s="112" t="s">
        <v>89</v>
      </c>
      <c r="O85" s="123">
        <v>5</v>
      </c>
      <c r="P85" s="123">
        <v>5</v>
      </c>
      <c r="Q85" s="123">
        <v>5</v>
      </c>
      <c r="R85" s="123">
        <v>5</v>
      </c>
      <c r="S85" s="123">
        <v>5</v>
      </c>
      <c r="T85" s="86" t="s">
        <v>43</v>
      </c>
      <c r="U85" s="124">
        <v>45363</v>
      </c>
      <c r="V85" s="124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>
        <v>52</v>
      </c>
      <c r="M86" s="112" t="s">
        <v>144</v>
      </c>
      <c r="N86" s="112" t="s">
        <v>44</v>
      </c>
      <c r="O86" s="123">
        <v>5</v>
      </c>
      <c r="P86" s="123">
        <v>5</v>
      </c>
      <c r="Q86" s="123">
        <v>5</v>
      </c>
      <c r="R86" s="123">
        <v>5</v>
      </c>
      <c r="S86" s="123">
        <v>5</v>
      </c>
      <c r="T86" s="86" t="s">
        <v>43</v>
      </c>
      <c r="U86" s="124">
        <v>45363</v>
      </c>
      <c r="V86" s="124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>
        <v>53</v>
      </c>
      <c r="M87" s="112" t="s">
        <v>145</v>
      </c>
      <c r="N87" s="112" t="s">
        <v>44</v>
      </c>
      <c r="O87" s="123">
        <v>5</v>
      </c>
      <c r="P87" s="123">
        <v>5</v>
      </c>
      <c r="Q87" s="123">
        <v>5</v>
      </c>
      <c r="R87" s="123">
        <v>4</v>
      </c>
      <c r="S87" s="123">
        <v>4</v>
      </c>
      <c r="T87" s="86" t="s">
        <v>43</v>
      </c>
      <c r="U87" s="124">
        <v>45363</v>
      </c>
      <c r="V87" s="124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>
        <v>54</v>
      </c>
      <c r="M88" s="112" t="s">
        <v>146</v>
      </c>
      <c r="N88" s="112" t="s">
        <v>101</v>
      </c>
      <c r="O88" s="123">
        <v>5</v>
      </c>
      <c r="P88" s="123">
        <v>5</v>
      </c>
      <c r="Q88" s="123">
        <v>2</v>
      </c>
      <c r="R88" s="123">
        <v>2</v>
      </c>
      <c r="S88" s="123">
        <v>5</v>
      </c>
      <c r="T88" s="86" t="s">
        <v>43</v>
      </c>
      <c r="U88" s="124">
        <v>45364</v>
      </c>
      <c r="V88" s="124" t="s">
        <v>200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>
        <v>55</v>
      </c>
      <c r="M89" s="112" t="s">
        <v>147</v>
      </c>
      <c r="N89" s="112" t="s">
        <v>87</v>
      </c>
      <c r="O89" s="123">
        <v>5</v>
      </c>
      <c r="P89" s="123">
        <v>5</v>
      </c>
      <c r="Q89" s="123">
        <v>5</v>
      </c>
      <c r="R89" s="123">
        <v>5</v>
      </c>
      <c r="S89" s="123">
        <v>5</v>
      </c>
      <c r="T89" s="86" t="s">
        <v>43</v>
      </c>
      <c r="U89" s="124">
        <v>45366</v>
      </c>
      <c r="V89" s="124" t="s">
        <v>201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>
        <v>56</v>
      </c>
      <c r="M90" s="112" t="s">
        <v>148</v>
      </c>
      <c r="N90" s="112" t="s">
        <v>149</v>
      </c>
      <c r="O90" s="123">
        <v>5</v>
      </c>
      <c r="P90" s="123">
        <v>5</v>
      </c>
      <c r="Q90" s="123">
        <v>5</v>
      </c>
      <c r="R90" s="123">
        <v>5</v>
      </c>
      <c r="S90" s="123">
        <v>5</v>
      </c>
      <c r="T90" s="86" t="s">
        <v>43</v>
      </c>
      <c r="U90" s="124">
        <v>45366</v>
      </c>
      <c r="V90" s="124" t="s">
        <v>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>
        <v>57</v>
      </c>
      <c r="M91" s="112" t="s">
        <v>150</v>
      </c>
      <c r="N91" s="112" t="s">
        <v>149</v>
      </c>
      <c r="O91" s="123">
        <v>5</v>
      </c>
      <c r="P91" s="123">
        <v>5</v>
      </c>
      <c r="Q91" s="123">
        <v>5</v>
      </c>
      <c r="R91" s="123">
        <v>5</v>
      </c>
      <c r="S91" s="123">
        <v>5</v>
      </c>
      <c r="T91" s="86" t="s">
        <v>43</v>
      </c>
      <c r="U91" s="124">
        <v>45366</v>
      </c>
      <c r="V91" s="124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>
        <v>58</v>
      </c>
      <c r="M92" s="112" t="s">
        <v>151</v>
      </c>
      <c r="N92" s="112" t="s">
        <v>44</v>
      </c>
      <c r="O92" s="123">
        <v>5</v>
      </c>
      <c r="P92" s="123">
        <v>5</v>
      </c>
      <c r="Q92" s="123">
        <v>5</v>
      </c>
      <c r="R92" s="123">
        <v>5</v>
      </c>
      <c r="S92" s="123">
        <v>5</v>
      </c>
      <c r="T92" s="86" t="s">
        <v>43</v>
      </c>
      <c r="U92" s="124">
        <v>45367</v>
      </c>
      <c r="V92" s="124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>
        <v>59</v>
      </c>
      <c r="M93" s="112" t="s">
        <v>152</v>
      </c>
      <c r="N93" s="112" t="s">
        <v>121</v>
      </c>
      <c r="O93" s="123">
        <v>5</v>
      </c>
      <c r="P93" s="123">
        <v>5</v>
      </c>
      <c r="Q93" s="123">
        <v>5</v>
      </c>
      <c r="R93" s="123">
        <v>5</v>
      </c>
      <c r="S93" s="123">
        <v>5</v>
      </c>
      <c r="T93" s="86" t="s">
        <v>43</v>
      </c>
      <c r="U93" s="124">
        <v>45367</v>
      </c>
      <c r="V93" s="124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>
        <v>60</v>
      </c>
      <c r="M94" s="112" t="s">
        <v>153</v>
      </c>
      <c r="N94" s="112" t="s">
        <v>87</v>
      </c>
      <c r="O94" s="123">
        <v>5</v>
      </c>
      <c r="P94" s="123">
        <v>5</v>
      </c>
      <c r="Q94" s="123">
        <v>5</v>
      </c>
      <c r="R94" s="123">
        <v>5</v>
      </c>
      <c r="S94" s="123">
        <v>5</v>
      </c>
      <c r="T94" s="86" t="s">
        <v>43</v>
      </c>
      <c r="U94" s="124">
        <v>45367</v>
      </c>
      <c r="V94" s="124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>
        <v>61</v>
      </c>
      <c r="M95" s="112" t="s">
        <v>154</v>
      </c>
      <c r="N95" s="112" t="s">
        <v>87</v>
      </c>
      <c r="O95" s="123">
        <v>5</v>
      </c>
      <c r="P95" s="123">
        <v>5</v>
      </c>
      <c r="Q95" s="123">
        <v>5</v>
      </c>
      <c r="R95" s="123">
        <v>5</v>
      </c>
      <c r="S95" s="123">
        <v>5</v>
      </c>
      <c r="T95" s="86" t="s">
        <v>43</v>
      </c>
      <c r="U95" s="124">
        <v>45367</v>
      </c>
      <c r="V95" s="124" t="s">
        <v>39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>
        <v>62</v>
      </c>
      <c r="M96" s="112" t="s">
        <v>155</v>
      </c>
      <c r="N96" s="112" t="s">
        <v>87</v>
      </c>
      <c r="O96" s="123">
        <v>5</v>
      </c>
      <c r="P96" s="123">
        <v>5</v>
      </c>
      <c r="Q96" s="123">
        <v>5</v>
      </c>
      <c r="R96" s="123">
        <v>5</v>
      </c>
      <c r="S96" s="123">
        <v>5</v>
      </c>
      <c r="T96" s="86" t="s">
        <v>43</v>
      </c>
      <c r="U96" s="124">
        <v>45367</v>
      </c>
      <c r="V96" s="124" t="s">
        <v>39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>
        <v>63</v>
      </c>
      <c r="M97" s="112" t="s">
        <v>156</v>
      </c>
      <c r="N97" s="112" t="s">
        <v>87</v>
      </c>
      <c r="O97" s="123">
        <v>5</v>
      </c>
      <c r="P97" s="123">
        <v>5</v>
      </c>
      <c r="Q97" s="123">
        <v>5</v>
      </c>
      <c r="R97" s="123">
        <v>5</v>
      </c>
      <c r="S97" s="123">
        <v>5</v>
      </c>
      <c r="T97" s="86" t="s">
        <v>43</v>
      </c>
      <c r="U97" s="124">
        <v>45367</v>
      </c>
      <c r="V97" s="124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>
        <v>64</v>
      </c>
      <c r="M98" s="112" t="s">
        <v>157</v>
      </c>
      <c r="N98" s="112" t="s">
        <v>142</v>
      </c>
      <c r="O98" s="123">
        <v>5</v>
      </c>
      <c r="P98" s="123">
        <v>5</v>
      </c>
      <c r="Q98" s="123">
        <v>4</v>
      </c>
      <c r="R98" s="123">
        <v>5</v>
      </c>
      <c r="S98" s="123">
        <v>5</v>
      </c>
      <c r="T98" s="86" t="s">
        <v>43</v>
      </c>
      <c r="U98" s="124">
        <v>45367</v>
      </c>
      <c r="V98" s="124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>
        <v>65</v>
      </c>
      <c r="M99" s="112" t="s">
        <v>158</v>
      </c>
      <c r="N99" s="112" t="s">
        <v>44</v>
      </c>
      <c r="O99" s="123">
        <v>5</v>
      </c>
      <c r="P99" s="123">
        <v>5</v>
      </c>
      <c r="Q99" s="123">
        <v>5</v>
      </c>
      <c r="R99" s="123">
        <v>5</v>
      </c>
      <c r="S99" s="123">
        <v>5</v>
      </c>
      <c r="T99" s="86" t="s">
        <v>43</v>
      </c>
      <c r="U99" s="124">
        <v>45367</v>
      </c>
      <c r="V99" s="124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>
        <v>66</v>
      </c>
      <c r="M100" s="112" t="s">
        <v>159</v>
      </c>
      <c r="N100" s="112" t="s">
        <v>41</v>
      </c>
      <c r="O100" s="123">
        <v>5</v>
      </c>
      <c r="P100" s="123">
        <v>5</v>
      </c>
      <c r="Q100" s="123">
        <v>5</v>
      </c>
      <c r="R100" s="123">
        <v>5</v>
      </c>
      <c r="S100" s="123">
        <v>5</v>
      </c>
      <c r="T100" s="86" t="s">
        <v>43</v>
      </c>
      <c r="U100" s="124">
        <v>45367</v>
      </c>
      <c r="V100" s="124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>
        <v>67</v>
      </c>
      <c r="M101" s="112" t="s">
        <v>160</v>
      </c>
      <c r="N101" s="112" t="s">
        <v>161</v>
      </c>
      <c r="O101" s="123">
        <v>5</v>
      </c>
      <c r="P101" s="123">
        <v>5</v>
      </c>
      <c r="Q101" s="123">
        <v>5</v>
      </c>
      <c r="R101" s="123">
        <v>5</v>
      </c>
      <c r="S101" s="123">
        <v>5</v>
      </c>
      <c r="T101" s="86" t="s">
        <v>43</v>
      </c>
      <c r="U101" s="124">
        <v>45367</v>
      </c>
      <c r="V101" s="124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>
        <v>68</v>
      </c>
      <c r="M102" s="112" t="s">
        <v>162</v>
      </c>
      <c r="N102" s="112" t="s">
        <v>87</v>
      </c>
      <c r="O102" s="123">
        <v>5</v>
      </c>
      <c r="P102" s="123">
        <v>5</v>
      </c>
      <c r="Q102" s="123">
        <v>5</v>
      </c>
      <c r="R102" s="123">
        <v>5</v>
      </c>
      <c r="S102" s="123">
        <v>4</v>
      </c>
      <c r="T102" s="86" t="s">
        <v>43</v>
      </c>
      <c r="U102" s="124">
        <v>45367</v>
      </c>
      <c r="V102" s="124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>
        <v>69</v>
      </c>
      <c r="M103" s="112" t="s">
        <v>163</v>
      </c>
      <c r="N103" s="112" t="s">
        <v>87</v>
      </c>
      <c r="O103" s="123">
        <v>5</v>
      </c>
      <c r="P103" s="123">
        <v>5</v>
      </c>
      <c r="Q103" s="123">
        <v>5</v>
      </c>
      <c r="R103" s="123">
        <v>5</v>
      </c>
      <c r="S103" s="123">
        <v>5</v>
      </c>
      <c r="T103" s="86" t="s">
        <v>43</v>
      </c>
      <c r="U103" s="124">
        <v>45367</v>
      </c>
      <c r="V103" s="124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>
        <v>70</v>
      </c>
      <c r="M104" s="112" t="s">
        <v>164</v>
      </c>
      <c r="N104" s="112" t="s">
        <v>87</v>
      </c>
      <c r="O104" s="123">
        <v>5</v>
      </c>
      <c r="P104" s="123">
        <v>5</v>
      </c>
      <c r="Q104" s="123">
        <v>5</v>
      </c>
      <c r="R104" s="123">
        <v>5</v>
      </c>
      <c r="S104" s="123">
        <v>5</v>
      </c>
      <c r="T104" s="86" t="s">
        <v>43</v>
      </c>
      <c r="U104" s="124">
        <v>45367</v>
      </c>
      <c r="V104" s="124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>
        <v>71</v>
      </c>
      <c r="M105" s="112" t="s">
        <v>165</v>
      </c>
      <c r="N105" s="112" t="s">
        <v>149</v>
      </c>
      <c r="O105" s="123">
        <v>5</v>
      </c>
      <c r="P105" s="123">
        <v>5</v>
      </c>
      <c r="Q105" s="123">
        <v>5</v>
      </c>
      <c r="R105" s="123">
        <v>5</v>
      </c>
      <c r="S105" s="123">
        <v>4</v>
      </c>
      <c r="T105" s="86" t="s">
        <v>43</v>
      </c>
      <c r="U105" s="124">
        <v>45368</v>
      </c>
      <c r="V105" s="124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>
        <v>72</v>
      </c>
      <c r="M106" s="112" t="s">
        <v>54</v>
      </c>
      <c r="N106" s="112" t="s">
        <v>110</v>
      </c>
      <c r="O106" s="123">
        <v>5</v>
      </c>
      <c r="P106" s="123">
        <v>5</v>
      </c>
      <c r="Q106" s="123">
        <v>5</v>
      </c>
      <c r="R106" s="123">
        <v>5</v>
      </c>
      <c r="S106" s="123">
        <v>5</v>
      </c>
      <c r="T106" s="86" t="s">
        <v>43</v>
      </c>
      <c r="U106" s="124">
        <v>45368</v>
      </c>
      <c r="V106" s="124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>
        <v>73</v>
      </c>
      <c r="M107" s="112" t="s">
        <v>166</v>
      </c>
      <c r="N107" s="112" t="s">
        <v>87</v>
      </c>
      <c r="O107" s="123">
        <v>5</v>
      </c>
      <c r="P107" s="123">
        <v>5</v>
      </c>
      <c r="Q107" s="123">
        <v>5</v>
      </c>
      <c r="R107" s="123">
        <v>5</v>
      </c>
      <c r="S107" s="123">
        <v>5</v>
      </c>
      <c r="T107" s="86" t="s">
        <v>43</v>
      </c>
      <c r="U107" s="124">
        <v>45368</v>
      </c>
      <c r="V107" s="124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>
        <v>74</v>
      </c>
      <c r="M108" s="112" t="s">
        <v>167</v>
      </c>
      <c r="N108" s="112" t="s">
        <v>87</v>
      </c>
      <c r="O108" s="123">
        <v>5</v>
      </c>
      <c r="P108" s="123">
        <v>5</v>
      </c>
      <c r="Q108" s="123">
        <v>5</v>
      </c>
      <c r="R108" s="123">
        <v>5</v>
      </c>
      <c r="S108" s="123">
        <v>5</v>
      </c>
      <c r="T108" s="86" t="s">
        <v>43</v>
      </c>
      <c r="U108" s="124">
        <v>45368</v>
      </c>
      <c r="V108" s="124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>
        <v>75</v>
      </c>
      <c r="M109" s="112" t="s">
        <v>168</v>
      </c>
      <c r="N109" s="112" t="s">
        <v>89</v>
      </c>
      <c r="O109" s="123">
        <v>5</v>
      </c>
      <c r="P109" s="123">
        <v>5</v>
      </c>
      <c r="Q109" s="123">
        <v>5</v>
      </c>
      <c r="R109" s="123">
        <v>5</v>
      </c>
      <c r="S109" s="123">
        <v>5</v>
      </c>
      <c r="T109" s="86" t="s">
        <v>43</v>
      </c>
      <c r="U109" s="124">
        <v>45368</v>
      </c>
      <c r="V109" s="124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>
        <v>76</v>
      </c>
      <c r="M110" s="112" t="s">
        <v>169</v>
      </c>
      <c r="N110" s="112" t="s">
        <v>89</v>
      </c>
      <c r="O110" s="123">
        <v>5</v>
      </c>
      <c r="P110" s="123">
        <v>5</v>
      </c>
      <c r="Q110" s="123">
        <v>5</v>
      </c>
      <c r="R110" s="123">
        <v>5</v>
      </c>
      <c r="S110" s="123">
        <v>5</v>
      </c>
      <c r="T110" s="86" t="s">
        <v>43</v>
      </c>
      <c r="U110" s="124">
        <v>45368</v>
      </c>
      <c r="V110" s="124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>
        <v>77</v>
      </c>
      <c r="M111" s="112" t="s">
        <v>170</v>
      </c>
      <c r="N111" s="112" t="s">
        <v>39</v>
      </c>
      <c r="O111" s="123">
        <v>5</v>
      </c>
      <c r="P111" s="123">
        <v>5</v>
      </c>
      <c r="Q111" s="123">
        <v>5</v>
      </c>
      <c r="R111" s="123">
        <v>5</v>
      </c>
      <c r="S111" s="123">
        <v>5</v>
      </c>
      <c r="T111" s="86" t="s">
        <v>43</v>
      </c>
      <c r="U111" s="124">
        <v>45368</v>
      </c>
      <c r="V111" s="124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>
        <v>78</v>
      </c>
      <c r="M112" s="112" t="s">
        <v>170</v>
      </c>
      <c r="N112" s="112" t="s">
        <v>89</v>
      </c>
      <c r="O112" s="123">
        <v>5</v>
      </c>
      <c r="P112" s="123">
        <v>5</v>
      </c>
      <c r="Q112" s="123">
        <v>5</v>
      </c>
      <c r="R112" s="123">
        <v>5</v>
      </c>
      <c r="S112" s="123">
        <v>5</v>
      </c>
      <c r="T112" s="86" t="s">
        <v>43</v>
      </c>
      <c r="U112" s="124">
        <v>45368</v>
      </c>
      <c r="V112" s="124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>
        <v>79</v>
      </c>
      <c r="M113" s="112" t="s">
        <v>171</v>
      </c>
      <c r="N113" s="112" t="s">
        <v>87</v>
      </c>
      <c r="O113" s="123">
        <v>5</v>
      </c>
      <c r="P113" s="123">
        <v>5</v>
      </c>
      <c r="Q113" s="123">
        <v>5</v>
      </c>
      <c r="R113" s="123">
        <v>5</v>
      </c>
      <c r="S113" s="123">
        <v>5</v>
      </c>
      <c r="T113" s="86" t="s">
        <v>43</v>
      </c>
      <c r="U113" s="124">
        <v>45369</v>
      </c>
      <c r="V113" s="124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>
        <v>80</v>
      </c>
      <c r="M114" s="112" t="s">
        <v>172</v>
      </c>
      <c r="N114" s="112" t="s">
        <v>87</v>
      </c>
      <c r="O114" s="123">
        <v>5</v>
      </c>
      <c r="P114" s="123">
        <v>5</v>
      </c>
      <c r="Q114" s="123">
        <v>5</v>
      </c>
      <c r="R114" s="123">
        <v>5</v>
      </c>
      <c r="S114" s="123">
        <v>5</v>
      </c>
      <c r="T114" s="86" t="s">
        <v>43</v>
      </c>
      <c r="U114" s="124">
        <v>45369</v>
      </c>
      <c r="V114" s="124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>
        <v>81</v>
      </c>
      <c r="M115" s="112" t="s">
        <v>173</v>
      </c>
      <c r="N115" s="112" t="s">
        <v>87</v>
      </c>
      <c r="O115" s="123">
        <v>5</v>
      </c>
      <c r="P115" s="123">
        <v>5</v>
      </c>
      <c r="Q115" s="123">
        <v>5</v>
      </c>
      <c r="R115" s="123">
        <v>5</v>
      </c>
      <c r="S115" s="123">
        <v>5</v>
      </c>
      <c r="T115" s="86" t="s">
        <v>43</v>
      </c>
      <c r="U115" s="124">
        <v>45369</v>
      </c>
      <c r="V115" s="124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>
        <v>82</v>
      </c>
      <c r="M116" s="112" t="s">
        <v>174</v>
      </c>
      <c r="N116" s="112" t="s">
        <v>87</v>
      </c>
      <c r="O116" s="123">
        <v>5</v>
      </c>
      <c r="P116" s="123">
        <v>5</v>
      </c>
      <c r="Q116" s="123">
        <v>5</v>
      </c>
      <c r="R116" s="123">
        <v>5</v>
      </c>
      <c r="S116" s="123">
        <v>5</v>
      </c>
      <c r="T116" s="86" t="s">
        <v>43</v>
      </c>
      <c r="U116" s="124">
        <v>45369</v>
      </c>
      <c r="V116" s="124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>
        <v>83</v>
      </c>
      <c r="M117" s="112" t="s">
        <v>137</v>
      </c>
      <c r="N117" s="112" t="s">
        <v>44</v>
      </c>
      <c r="O117" s="123">
        <v>5</v>
      </c>
      <c r="P117" s="123">
        <v>5</v>
      </c>
      <c r="Q117" s="123">
        <v>5</v>
      </c>
      <c r="R117" s="123">
        <v>5</v>
      </c>
      <c r="S117" s="123">
        <v>4</v>
      </c>
      <c r="T117" s="86" t="s">
        <v>43</v>
      </c>
      <c r="U117" s="124">
        <v>45371</v>
      </c>
      <c r="V117" s="124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>
        <v>84</v>
      </c>
      <c r="M118" s="112" t="s">
        <v>175</v>
      </c>
      <c r="N118" s="112" t="s">
        <v>44</v>
      </c>
      <c r="O118" s="123">
        <v>5</v>
      </c>
      <c r="P118" s="123">
        <v>5</v>
      </c>
      <c r="Q118" s="123">
        <v>4</v>
      </c>
      <c r="R118" s="123">
        <v>4</v>
      </c>
      <c r="S118" s="123">
        <v>5</v>
      </c>
      <c r="T118" s="86" t="s">
        <v>43</v>
      </c>
      <c r="U118" s="124">
        <v>45372</v>
      </c>
      <c r="V118" s="124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>
        <v>85</v>
      </c>
      <c r="M119" s="112" t="s">
        <v>176</v>
      </c>
      <c r="N119" s="112" t="s">
        <v>50</v>
      </c>
      <c r="O119" s="123">
        <v>5</v>
      </c>
      <c r="P119" s="123">
        <v>5</v>
      </c>
      <c r="Q119" s="123">
        <v>5</v>
      </c>
      <c r="R119" s="123">
        <v>5</v>
      </c>
      <c r="S119" s="123">
        <v>5</v>
      </c>
      <c r="T119" s="86" t="s">
        <v>43</v>
      </c>
      <c r="U119" s="124">
        <v>45373</v>
      </c>
      <c r="V119" s="124" t="s">
        <v>202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>
        <v>86</v>
      </c>
      <c r="M120" s="112" t="s">
        <v>177</v>
      </c>
      <c r="N120" s="112" t="s">
        <v>89</v>
      </c>
      <c r="O120" s="123">
        <v>5</v>
      </c>
      <c r="P120" s="123">
        <v>5</v>
      </c>
      <c r="Q120" s="123">
        <v>5</v>
      </c>
      <c r="R120" s="123">
        <v>5</v>
      </c>
      <c r="S120" s="123">
        <v>5</v>
      </c>
      <c r="T120" s="86" t="s">
        <v>43</v>
      </c>
      <c r="U120" s="124">
        <v>45373</v>
      </c>
      <c r="V120" s="124" t="s">
        <v>39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>
        <v>87</v>
      </c>
      <c r="M121" s="112" t="s">
        <v>178</v>
      </c>
      <c r="N121" s="112" t="s">
        <v>91</v>
      </c>
      <c r="O121" s="123">
        <v>5</v>
      </c>
      <c r="P121" s="123">
        <v>5</v>
      </c>
      <c r="Q121" s="123">
        <v>5</v>
      </c>
      <c r="R121" s="123">
        <v>5</v>
      </c>
      <c r="S121" s="123">
        <v>5</v>
      </c>
      <c r="T121" s="86" t="s">
        <v>43</v>
      </c>
      <c r="U121" s="124">
        <v>45373</v>
      </c>
      <c r="V121" s="124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>
        <v>88</v>
      </c>
      <c r="M122" s="112" t="s">
        <v>179</v>
      </c>
      <c r="N122" s="112" t="s">
        <v>50</v>
      </c>
      <c r="O122" s="123">
        <v>5</v>
      </c>
      <c r="P122" s="123">
        <v>5</v>
      </c>
      <c r="Q122" s="123">
        <v>5</v>
      </c>
      <c r="R122" s="123">
        <v>5</v>
      </c>
      <c r="S122" s="123">
        <v>5</v>
      </c>
      <c r="T122" s="86" t="s">
        <v>43</v>
      </c>
      <c r="U122" s="124">
        <v>45373</v>
      </c>
      <c r="V122" s="124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>
        <v>89</v>
      </c>
      <c r="M123" s="112" t="s">
        <v>180</v>
      </c>
      <c r="N123" s="112" t="s">
        <v>52</v>
      </c>
      <c r="O123" s="123">
        <v>5</v>
      </c>
      <c r="P123" s="123">
        <v>5</v>
      </c>
      <c r="Q123" s="123">
        <v>5</v>
      </c>
      <c r="R123" s="123">
        <v>5</v>
      </c>
      <c r="S123" s="123">
        <v>5</v>
      </c>
      <c r="T123" s="86" t="s">
        <v>43</v>
      </c>
      <c r="U123" s="124">
        <v>45373</v>
      </c>
      <c r="V123" s="124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>
        <v>90</v>
      </c>
      <c r="M124" s="112" t="s">
        <v>181</v>
      </c>
      <c r="N124" s="112" t="s">
        <v>55</v>
      </c>
      <c r="O124" s="123">
        <v>5</v>
      </c>
      <c r="P124" s="123">
        <v>5</v>
      </c>
      <c r="Q124" s="123">
        <v>5</v>
      </c>
      <c r="R124" s="123">
        <v>5</v>
      </c>
      <c r="S124" s="123">
        <v>5</v>
      </c>
      <c r="T124" s="86" t="s">
        <v>43</v>
      </c>
      <c r="U124" s="124">
        <v>45379</v>
      </c>
      <c r="V124" s="124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>
        <v>91</v>
      </c>
      <c r="M125" s="112" t="s">
        <v>182</v>
      </c>
      <c r="N125" s="112" t="s">
        <v>55</v>
      </c>
      <c r="O125" s="123">
        <v>5</v>
      </c>
      <c r="P125" s="123">
        <v>5</v>
      </c>
      <c r="Q125" s="123">
        <v>5</v>
      </c>
      <c r="R125" s="123">
        <v>5</v>
      </c>
      <c r="S125" s="123">
        <v>5</v>
      </c>
      <c r="T125" s="86" t="s">
        <v>43</v>
      </c>
      <c r="U125" s="124">
        <v>45379</v>
      </c>
      <c r="V125" s="124" t="s">
        <v>39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>
        <v>92</v>
      </c>
      <c r="M126" s="112" t="s">
        <v>183</v>
      </c>
      <c r="N126" s="112" t="s">
        <v>41</v>
      </c>
      <c r="O126" s="123">
        <v>5</v>
      </c>
      <c r="P126" s="123">
        <v>5</v>
      </c>
      <c r="Q126" s="123">
        <v>5</v>
      </c>
      <c r="R126" s="123">
        <v>5</v>
      </c>
      <c r="S126" s="123">
        <v>5</v>
      </c>
      <c r="T126" s="86" t="s">
        <v>43</v>
      </c>
      <c r="U126" s="124">
        <v>45379</v>
      </c>
      <c r="V126" s="124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>
        <v>93</v>
      </c>
      <c r="M127" s="112" t="s">
        <v>184</v>
      </c>
      <c r="N127" s="112" t="s">
        <v>55</v>
      </c>
      <c r="O127" s="123">
        <v>5</v>
      </c>
      <c r="P127" s="123">
        <v>5</v>
      </c>
      <c r="Q127" s="123">
        <v>4</v>
      </c>
      <c r="R127" s="123">
        <v>5</v>
      </c>
      <c r="S127" s="123">
        <v>5</v>
      </c>
      <c r="T127" s="86" t="s">
        <v>43</v>
      </c>
      <c r="U127" s="124">
        <v>45379</v>
      </c>
      <c r="V127" s="124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>
        <v>94</v>
      </c>
      <c r="M128" s="112" t="s">
        <v>185</v>
      </c>
      <c r="N128" s="112" t="s">
        <v>55</v>
      </c>
      <c r="O128" s="123">
        <v>5</v>
      </c>
      <c r="P128" s="123">
        <v>5</v>
      </c>
      <c r="Q128" s="123">
        <v>5</v>
      </c>
      <c r="R128" s="123">
        <v>5</v>
      </c>
      <c r="S128" s="123">
        <v>5</v>
      </c>
      <c r="T128" s="86" t="s">
        <v>43</v>
      </c>
      <c r="U128" s="124">
        <v>45379</v>
      </c>
      <c r="V128" s="124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>
        <v>95</v>
      </c>
      <c r="M129" s="112" t="s">
        <v>186</v>
      </c>
      <c r="N129" s="112" t="s">
        <v>44</v>
      </c>
      <c r="O129" s="123">
        <v>5</v>
      </c>
      <c r="P129" s="123">
        <v>5</v>
      </c>
      <c r="Q129" s="123">
        <v>5</v>
      </c>
      <c r="R129" s="123">
        <v>5</v>
      </c>
      <c r="S129" s="123">
        <v>5</v>
      </c>
      <c r="T129" s="86" t="s">
        <v>43</v>
      </c>
      <c r="U129" s="124">
        <v>45379</v>
      </c>
      <c r="V129" s="124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>
        <v>96</v>
      </c>
      <c r="M130" s="112" t="s">
        <v>187</v>
      </c>
      <c r="N130" s="112" t="s">
        <v>44</v>
      </c>
      <c r="O130" s="123">
        <v>5</v>
      </c>
      <c r="P130" s="123">
        <v>5</v>
      </c>
      <c r="Q130" s="123">
        <v>5</v>
      </c>
      <c r="R130" s="123">
        <v>5</v>
      </c>
      <c r="S130" s="123">
        <v>5</v>
      </c>
      <c r="T130" s="86" t="s">
        <v>43</v>
      </c>
      <c r="U130" s="124">
        <v>45379</v>
      </c>
      <c r="V130" s="124" t="s">
        <v>39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>
        <v>97</v>
      </c>
      <c r="M131" s="112" t="s">
        <v>188</v>
      </c>
      <c r="N131" s="112" t="s">
        <v>41</v>
      </c>
      <c r="O131" s="123">
        <v>5</v>
      </c>
      <c r="P131" s="123">
        <v>5</v>
      </c>
      <c r="Q131" s="123">
        <v>5</v>
      </c>
      <c r="R131" s="123">
        <v>5</v>
      </c>
      <c r="S131" s="123">
        <v>5</v>
      </c>
      <c r="T131" s="86" t="s">
        <v>43</v>
      </c>
      <c r="U131" s="124">
        <v>45379</v>
      </c>
      <c r="V131" s="124" t="s">
        <v>39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>
        <v>98</v>
      </c>
      <c r="M132" s="112" t="s">
        <v>189</v>
      </c>
      <c r="N132" s="112" t="s">
        <v>53</v>
      </c>
      <c r="O132" s="123">
        <v>5</v>
      </c>
      <c r="P132" s="123">
        <v>5</v>
      </c>
      <c r="Q132" s="123">
        <v>5</v>
      </c>
      <c r="R132" s="123">
        <v>5</v>
      </c>
      <c r="S132" s="123">
        <v>5</v>
      </c>
      <c r="T132" s="86" t="s">
        <v>43</v>
      </c>
      <c r="U132" s="124">
        <v>45379</v>
      </c>
      <c r="V132" s="124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>
        <v>99</v>
      </c>
      <c r="M133" s="112" t="s">
        <v>190</v>
      </c>
      <c r="N133" s="112" t="s">
        <v>53</v>
      </c>
      <c r="O133" s="123">
        <v>5</v>
      </c>
      <c r="P133" s="123">
        <v>5</v>
      </c>
      <c r="Q133" s="123">
        <v>5</v>
      </c>
      <c r="R133" s="123">
        <v>5</v>
      </c>
      <c r="S133" s="123">
        <v>5</v>
      </c>
      <c r="T133" s="86" t="s">
        <v>43</v>
      </c>
      <c r="U133" s="124">
        <v>45379</v>
      </c>
      <c r="V133" s="124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>
        <v>100</v>
      </c>
      <c r="M134" s="112" t="s">
        <v>191</v>
      </c>
      <c r="N134" s="112" t="s">
        <v>87</v>
      </c>
      <c r="O134" s="123">
        <v>5</v>
      </c>
      <c r="P134" s="123">
        <v>5</v>
      </c>
      <c r="Q134" s="123">
        <v>5</v>
      </c>
      <c r="R134" s="123">
        <v>5</v>
      </c>
      <c r="S134" s="123">
        <v>5</v>
      </c>
      <c r="T134" s="86" t="s">
        <v>43</v>
      </c>
      <c r="U134" s="124">
        <v>45380</v>
      </c>
      <c r="V134" s="124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>
        <v>101</v>
      </c>
      <c r="M135" s="112" t="s">
        <v>192</v>
      </c>
      <c r="N135" s="112" t="s">
        <v>87</v>
      </c>
      <c r="O135" s="123">
        <v>5</v>
      </c>
      <c r="P135" s="123">
        <v>5</v>
      </c>
      <c r="Q135" s="123">
        <v>5</v>
      </c>
      <c r="R135" s="123">
        <v>5</v>
      </c>
      <c r="S135" s="123">
        <v>5</v>
      </c>
      <c r="T135" s="86" t="s">
        <v>43</v>
      </c>
      <c r="U135" s="124">
        <v>45381</v>
      </c>
      <c r="V135" s="124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>
        <v>102</v>
      </c>
      <c r="M136" s="112" t="s">
        <v>193</v>
      </c>
      <c r="N136" s="112" t="s">
        <v>87</v>
      </c>
      <c r="O136" s="123">
        <v>5</v>
      </c>
      <c r="P136" s="123">
        <v>5</v>
      </c>
      <c r="Q136" s="123">
        <v>5</v>
      </c>
      <c r="R136" s="123">
        <v>5</v>
      </c>
      <c r="S136" s="123">
        <v>5</v>
      </c>
      <c r="T136" s="86" t="s">
        <v>43</v>
      </c>
      <c r="U136" s="124">
        <v>45381</v>
      </c>
      <c r="V136" s="124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/>
      <c r="M137" s="86"/>
      <c r="N137" s="86"/>
      <c r="O137" s="86"/>
      <c r="P137" s="86"/>
      <c r="Q137" s="86"/>
      <c r="R137" s="86"/>
      <c r="S137" s="86"/>
      <c r="T137" s="86"/>
      <c r="U137" s="1"/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/>
      <c r="M138" s="86"/>
      <c r="N138" s="86"/>
      <c r="O138" s="86"/>
      <c r="P138" s="86"/>
      <c r="Q138" s="86"/>
      <c r="R138" s="86"/>
      <c r="S138" s="86"/>
      <c r="T138" s="86"/>
      <c r="U138" s="1"/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/>
      <c r="M139" s="86"/>
      <c r="N139" s="86"/>
      <c r="O139" s="86"/>
      <c r="P139" s="86"/>
      <c r="Q139" s="86"/>
      <c r="R139" s="86"/>
      <c r="S139" s="86"/>
      <c r="T139" s="86"/>
      <c r="U139" s="1"/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/>
      <c r="M140" s="86"/>
      <c r="N140" s="86"/>
      <c r="O140" s="86"/>
      <c r="P140" s="86"/>
      <c r="Q140" s="86"/>
      <c r="R140" s="86"/>
      <c r="S140" s="86"/>
      <c r="T140" s="86"/>
      <c r="U140" s="1"/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/>
      <c r="M141" s="86"/>
      <c r="N141" s="86"/>
      <c r="O141" s="86"/>
      <c r="P141" s="86"/>
      <c r="Q141" s="86"/>
      <c r="R141" s="86"/>
      <c r="S141" s="86"/>
      <c r="T141" s="86"/>
      <c r="U141" s="1"/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/>
      <c r="M142" s="86"/>
      <c r="N142" s="86"/>
      <c r="O142" s="86"/>
      <c r="P142" s="86"/>
      <c r="Q142" s="86"/>
      <c r="R142" s="86"/>
      <c r="S142" s="86"/>
      <c r="T142" s="86"/>
      <c r="U142" s="1"/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/>
      <c r="M143" s="86"/>
      <c r="N143" s="86"/>
      <c r="O143" s="86"/>
      <c r="P143" s="86"/>
      <c r="Q143" s="86"/>
      <c r="R143" s="86"/>
      <c r="S143" s="86"/>
      <c r="T143" s="86"/>
      <c r="U143" s="1"/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/>
      <c r="M144" s="86"/>
      <c r="N144" s="86"/>
      <c r="O144" s="86"/>
      <c r="P144" s="86"/>
      <c r="Q144" s="86"/>
      <c r="R144" s="86"/>
      <c r="S144" s="86"/>
      <c r="T144" s="86"/>
      <c r="U144" s="1"/>
    </row>
    <row r="145" spans="3:21" x14ac:dyDescent="0.3">
      <c r="C145" s="21"/>
      <c r="D145" s="1"/>
      <c r="E145" s="1"/>
      <c r="F145" s="1"/>
      <c r="G145" s="1"/>
      <c r="H145" s="1"/>
      <c r="I145" s="1"/>
      <c r="J145" s="1"/>
      <c r="L145" s="86"/>
      <c r="M145" s="86"/>
      <c r="N145" s="86"/>
      <c r="O145" s="86"/>
      <c r="P145" s="86"/>
      <c r="Q145" s="86"/>
      <c r="R145" s="86"/>
      <c r="S145" s="86"/>
      <c r="T145" s="86"/>
      <c r="U145" s="1"/>
    </row>
    <row r="146" spans="3:21" x14ac:dyDescent="0.3">
      <c r="C146" s="21"/>
      <c r="D146" s="1"/>
      <c r="E146" s="1"/>
      <c r="F146" s="1"/>
      <c r="G146" s="1"/>
      <c r="H146" s="1"/>
      <c r="I146" s="1"/>
      <c r="J146" s="1"/>
      <c r="L146" s="86"/>
      <c r="M146" s="86"/>
      <c r="N146" s="86"/>
      <c r="O146" s="86"/>
      <c r="P146" s="86"/>
      <c r="Q146" s="86"/>
      <c r="R146" s="86"/>
      <c r="S146" s="86"/>
      <c r="T146" s="86"/>
      <c r="U146" s="1"/>
    </row>
    <row r="147" spans="3:21" x14ac:dyDescent="0.3">
      <c r="C147" s="21"/>
      <c r="D147" s="1"/>
      <c r="E147" s="1"/>
      <c r="F147" s="1"/>
      <c r="G147" s="1"/>
      <c r="H147" s="1"/>
      <c r="I147" s="1"/>
      <c r="J147" s="1"/>
      <c r="L147" s="86"/>
      <c r="M147" s="86"/>
      <c r="N147" s="86"/>
      <c r="O147" s="86"/>
      <c r="P147" s="86"/>
      <c r="Q147" s="86"/>
      <c r="R147" s="86"/>
      <c r="S147" s="86"/>
      <c r="T147" s="86"/>
      <c r="U147" s="1"/>
    </row>
    <row r="148" spans="3:21" x14ac:dyDescent="0.3">
      <c r="C148" s="21"/>
      <c r="D148" s="1"/>
      <c r="E148" s="1"/>
      <c r="F148" s="1"/>
      <c r="G148" s="1"/>
      <c r="H148" s="1"/>
      <c r="I148" s="1"/>
      <c r="J148" s="1"/>
      <c r="L148" s="86"/>
      <c r="M148" s="86"/>
      <c r="N148" s="86"/>
      <c r="O148" s="86"/>
      <c r="P148" s="86"/>
      <c r="Q148" s="86"/>
      <c r="R148" s="86"/>
      <c r="S148" s="86"/>
      <c r="T148" s="86"/>
      <c r="U148" s="1"/>
    </row>
    <row r="149" spans="3:21" x14ac:dyDescent="0.3">
      <c r="C149" s="21"/>
      <c r="D149" s="1"/>
      <c r="E149" s="1"/>
      <c r="F149" s="1"/>
      <c r="G149" s="1"/>
      <c r="H149" s="1"/>
      <c r="I149" s="1"/>
      <c r="J149" s="1"/>
      <c r="L149" s="86"/>
      <c r="M149" s="86"/>
      <c r="N149" s="86"/>
      <c r="O149" s="86"/>
      <c r="P149" s="86"/>
      <c r="Q149" s="86"/>
      <c r="R149" s="86"/>
      <c r="S149" s="86"/>
      <c r="T149" s="86"/>
      <c r="U149" s="1"/>
    </row>
    <row r="150" spans="3:21" x14ac:dyDescent="0.3">
      <c r="C150" s="21"/>
      <c r="D150" s="1"/>
      <c r="E150" s="1"/>
      <c r="F150" s="1"/>
      <c r="G150" s="1"/>
      <c r="H150" s="1"/>
      <c r="I150" s="1"/>
      <c r="J150" s="1"/>
      <c r="L150" s="86"/>
      <c r="M150" s="86"/>
      <c r="N150" s="86"/>
      <c r="O150" s="86"/>
      <c r="P150" s="86"/>
      <c r="Q150" s="86"/>
      <c r="R150" s="86"/>
      <c r="S150" s="86"/>
      <c r="T150" s="86"/>
      <c r="U150" s="1"/>
    </row>
    <row r="151" spans="3:21" x14ac:dyDescent="0.3">
      <c r="C151" s="21"/>
      <c r="D151" s="1"/>
      <c r="E151" s="1"/>
      <c r="F151" s="1"/>
      <c r="G151" s="1"/>
      <c r="H151" s="1"/>
      <c r="I151" s="1"/>
      <c r="J151" s="1"/>
      <c r="L151" s="86"/>
      <c r="M151" s="86"/>
      <c r="N151" s="86"/>
      <c r="O151" s="86"/>
      <c r="P151" s="86"/>
      <c r="Q151" s="86"/>
      <c r="R151" s="86"/>
      <c r="S151" s="86"/>
      <c r="T151" s="86"/>
      <c r="U151" s="1"/>
    </row>
    <row r="152" spans="3:21" x14ac:dyDescent="0.3">
      <c r="C152" s="21"/>
      <c r="D152" s="1"/>
      <c r="E152" s="1"/>
      <c r="F152" s="1"/>
      <c r="G152" s="1"/>
      <c r="H152" s="1"/>
      <c r="I152" s="1"/>
      <c r="J152" s="1"/>
      <c r="L152" s="86"/>
      <c r="M152" s="86"/>
      <c r="N152" s="86"/>
      <c r="O152" s="86"/>
      <c r="P152" s="86"/>
      <c r="Q152" s="86"/>
      <c r="R152" s="86"/>
      <c r="S152" s="86"/>
      <c r="T152" s="86"/>
      <c r="U152" s="1"/>
    </row>
    <row r="153" spans="3:21" x14ac:dyDescent="0.3">
      <c r="C153" s="21"/>
      <c r="D153" s="1"/>
      <c r="E153" s="1"/>
      <c r="F153" s="1"/>
      <c r="G153" s="1"/>
      <c r="H153" s="1"/>
      <c r="I153" s="1"/>
      <c r="J153" s="1"/>
      <c r="L153" s="86"/>
      <c r="M153" s="86"/>
      <c r="N153" s="86"/>
      <c r="O153" s="86"/>
      <c r="P153" s="86"/>
      <c r="Q153" s="86"/>
      <c r="R153" s="86"/>
      <c r="S153" s="86"/>
      <c r="T153" s="86"/>
      <c r="U153" s="1"/>
    </row>
    <row r="154" spans="3:21" x14ac:dyDescent="0.3">
      <c r="C154" s="21"/>
      <c r="D154" s="1"/>
      <c r="E154" s="1"/>
      <c r="F154" s="1"/>
      <c r="G154" s="1"/>
      <c r="H154" s="1"/>
      <c r="I154" s="1"/>
      <c r="J154" s="1"/>
      <c r="L154" s="86"/>
      <c r="M154" s="86"/>
      <c r="N154" s="86"/>
      <c r="O154" s="86"/>
      <c r="P154" s="86"/>
      <c r="Q154" s="86"/>
      <c r="R154" s="86"/>
      <c r="S154" s="86"/>
      <c r="T154" s="86"/>
      <c r="U154" s="1"/>
    </row>
    <row r="155" spans="3:21" x14ac:dyDescent="0.3">
      <c r="C155" s="21"/>
      <c r="D155" s="1"/>
      <c r="E155" s="1"/>
      <c r="F155" s="1"/>
      <c r="G155" s="1"/>
      <c r="H155" s="1"/>
      <c r="I155" s="1"/>
      <c r="J155" s="1"/>
      <c r="L155" s="86"/>
      <c r="M155" s="86"/>
      <c r="N155" s="86"/>
      <c r="O155" s="86"/>
      <c r="P155" s="86"/>
      <c r="Q155" s="86"/>
      <c r="R155" s="86"/>
      <c r="S155" s="86"/>
      <c r="T155" s="86"/>
      <c r="U155" s="1"/>
    </row>
    <row r="156" spans="3:21" x14ac:dyDescent="0.3">
      <c r="C156" s="21"/>
      <c r="D156" s="1"/>
      <c r="E156" s="1"/>
      <c r="F156" s="1"/>
      <c r="G156" s="1"/>
      <c r="H156" s="1"/>
      <c r="I156" s="1"/>
      <c r="J156" s="1"/>
      <c r="L156" s="86"/>
      <c r="M156" s="86"/>
      <c r="N156" s="86"/>
      <c r="O156" s="86"/>
      <c r="P156" s="86"/>
      <c r="Q156" s="86"/>
      <c r="R156" s="86"/>
      <c r="S156" s="86"/>
      <c r="T156" s="86"/>
      <c r="U156" s="1"/>
    </row>
    <row r="157" spans="3:21" x14ac:dyDescent="0.3">
      <c r="C157" s="21"/>
      <c r="D157" s="1"/>
      <c r="E157" s="1"/>
      <c r="F157" s="1"/>
      <c r="G157" s="1"/>
      <c r="H157" s="1"/>
      <c r="I157" s="1"/>
      <c r="J157" s="1"/>
      <c r="L157" s="86"/>
      <c r="M157" s="86"/>
      <c r="N157" s="86"/>
      <c r="O157" s="86"/>
      <c r="P157" s="86"/>
      <c r="Q157" s="86"/>
      <c r="R157" s="86"/>
      <c r="S157" s="86"/>
      <c r="T157" s="86"/>
      <c r="U157" s="1"/>
    </row>
    <row r="158" spans="3:21" x14ac:dyDescent="0.3">
      <c r="C158" s="21"/>
      <c r="D158" s="1"/>
      <c r="E158" s="1"/>
      <c r="F158" s="1"/>
      <c r="G158" s="1"/>
      <c r="H158" s="1"/>
      <c r="I158" s="1"/>
      <c r="J158" s="1"/>
      <c r="L158" s="86"/>
      <c r="M158" s="86"/>
      <c r="N158" s="86"/>
      <c r="O158" s="86"/>
      <c r="P158" s="86"/>
      <c r="Q158" s="86"/>
      <c r="R158" s="86"/>
      <c r="S158" s="86"/>
      <c r="T158" s="86"/>
      <c r="U158" s="1"/>
    </row>
    <row r="159" spans="3:21" x14ac:dyDescent="0.3">
      <c r="C159" s="21"/>
      <c r="D159" s="1"/>
      <c r="E159" s="1"/>
      <c r="F159" s="1"/>
      <c r="G159" s="1"/>
      <c r="H159" s="1"/>
      <c r="I159" s="1"/>
      <c r="J159" s="1"/>
      <c r="L159" s="86"/>
      <c r="M159" s="86"/>
      <c r="N159" s="86"/>
      <c r="O159" s="86"/>
      <c r="P159" s="86"/>
      <c r="Q159" s="86"/>
      <c r="R159" s="86"/>
      <c r="S159" s="86"/>
      <c r="T159" s="86"/>
      <c r="U159" s="1"/>
    </row>
    <row r="160" spans="3:21" x14ac:dyDescent="0.3">
      <c r="C160" s="21"/>
      <c r="D160" s="1"/>
      <c r="E160" s="1"/>
      <c r="F160" s="1"/>
      <c r="G160" s="1"/>
      <c r="H160" s="1"/>
      <c r="I160" s="1"/>
      <c r="J160" s="1"/>
      <c r="L160" s="86"/>
      <c r="M160" s="86"/>
      <c r="N160" s="86"/>
      <c r="O160" s="86"/>
      <c r="P160" s="86"/>
      <c r="Q160" s="86"/>
      <c r="R160" s="86"/>
      <c r="S160" s="86"/>
      <c r="T160" s="86"/>
      <c r="U160" s="1"/>
    </row>
    <row r="161" spans="3:21" x14ac:dyDescent="0.3">
      <c r="C161" s="21"/>
      <c r="D161" s="1"/>
      <c r="E161" s="1"/>
      <c r="F161" s="1"/>
      <c r="G161" s="1"/>
      <c r="H161" s="1"/>
      <c r="I161" s="1"/>
      <c r="J161" s="1"/>
      <c r="L161" s="86"/>
      <c r="M161" s="86"/>
      <c r="N161" s="86"/>
      <c r="O161" s="86"/>
      <c r="P161" s="86"/>
      <c r="Q161" s="86"/>
      <c r="R161" s="86"/>
      <c r="S161" s="86"/>
      <c r="T161" s="86"/>
      <c r="U161" s="1"/>
    </row>
    <row r="162" spans="3:21" x14ac:dyDescent="0.3">
      <c r="C162" s="21"/>
      <c r="D162" s="1"/>
      <c r="E162" s="1"/>
      <c r="F162" s="1"/>
      <c r="G162" s="1"/>
      <c r="H162" s="1"/>
      <c r="I162" s="1"/>
      <c r="J162" s="1"/>
      <c r="L162" s="86"/>
      <c r="M162" s="86"/>
      <c r="N162" s="86"/>
      <c r="O162" s="86"/>
      <c r="P162" s="86"/>
      <c r="Q162" s="86"/>
      <c r="R162" s="86"/>
      <c r="S162" s="86"/>
      <c r="T162" s="86"/>
      <c r="U162" s="1"/>
    </row>
    <row r="163" spans="3:21" x14ac:dyDescent="0.3">
      <c r="C163" s="21"/>
      <c r="D163" s="1"/>
      <c r="E163" s="1"/>
      <c r="F163" s="1"/>
      <c r="G163" s="1"/>
      <c r="H163" s="1"/>
      <c r="I163" s="1"/>
      <c r="J163" s="1"/>
      <c r="L163" s="86"/>
      <c r="M163" s="86"/>
      <c r="N163" s="86"/>
      <c r="O163" s="86"/>
      <c r="P163" s="86"/>
      <c r="Q163" s="86"/>
      <c r="R163" s="86"/>
      <c r="S163" s="86"/>
      <c r="T163" s="86"/>
      <c r="U163" s="1"/>
    </row>
    <row r="164" spans="3:21" x14ac:dyDescent="0.3">
      <c r="C164" s="21"/>
      <c r="D164" s="1"/>
      <c r="E164" s="1"/>
      <c r="F164" s="1"/>
      <c r="G164" s="1"/>
      <c r="H164" s="1"/>
      <c r="I164" s="1"/>
      <c r="J164" s="1"/>
      <c r="L164" s="86"/>
      <c r="M164" s="86"/>
      <c r="N164" s="86"/>
      <c r="O164" s="86"/>
      <c r="P164" s="86"/>
      <c r="Q164" s="86"/>
      <c r="R164" s="86"/>
      <c r="S164" s="86"/>
      <c r="T164" s="86"/>
      <c r="U164" s="1"/>
    </row>
    <row r="165" spans="3:21" x14ac:dyDescent="0.3">
      <c r="C165" s="21"/>
      <c r="D165" s="1"/>
      <c r="E165" s="1"/>
      <c r="F165" s="1"/>
      <c r="G165" s="1"/>
      <c r="H165" s="1"/>
      <c r="I165" s="1"/>
      <c r="J165" s="1"/>
      <c r="L165" s="86"/>
      <c r="M165" s="86"/>
      <c r="N165" s="86"/>
      <c r="O165" s="86"/>
      <c r="P165" s="86"/>
      <c r="Q165" s="86"/>
      <c r="R165" s="86"/>
      <c r="S165" s="86"/>
      <c r="T165" s="86"/>
      <c r="U165" s="1"/>
    </row>
    <row r="166" spans="3:21" x14ac:dyDescent="0.3">
      <c r="C166" s="21"/>
      <c r="D166" s="1"/>
      <c r="E166" s="1"/>
      <c r="F166" s="1"/>
      <c r="G166" s="1"/>
      <c r="H166" s="1"/>
      <c r="I166" s="1"/>
      <c r="J166" s="1"/>
      <c r="L166" s="86"/>
      <c r="M166" s="86"/>
      <c r="N166" s="86"/>
      <c r="O166" s="86"/>
      <c r="P166" s="86"/>
      <c r="Q166" s="86"/>
      <c r="R166" s="86"/>
      <c r="S166" s="86"/>
      <c r="T166" s="86"/>
      <c r="U166" s="1"/>
    </row>
    <row r="167" spans="3:21" x14ac:dyDescent="0.3">
      <c r="C167" s="21"/>
      <c r="D167" s="1"/>
      <c r="E167" s="1"/>
      <c r="F167" s="1"/>
      <c r="G167" s="1"/>
      <c r="H167" s="1"/>
      <c r="I167" s="1"/>
      <c r="J167" s="1"/>
      <c r="L167" s="86"/>
      <c r="M167" s="86"/>
      <c r="N167" s="86"/>
      <c r="O167" s="86"/>
      <c r="P167" s="86"/>
      <c r="Q167" s="86"/>
      <c r="R167" s="86"/>
      <c r="S167" s="86"/>
      <c r="T167" s="86"/>
      <c r="U167" s="1"/>
    </row>
    <row r="168" spans="3:21" x14ac:dyDescent="0.3">
      <c r="C168" s="21"/>
      <c r="D168" s="1"/>
      <c r="E168" s="1"/>
      <c r="F168" s="1"/>
      <c r="G168" s="1"/>
      <c r="H168" s="1"/>
      <c r="I168" s="1"/>
      <c r="J168" s="1"/>
      <c r="L168" s="86"/>
      <c r="M168" s="86"/>
      <c r="N168" s="86"/>
      <c r="O168" s="86"/>
      <c r="P168" s="86"/>
      <c r="Q168" s="86"/>
      <c r="R168" s="86"/>
      <c r="S168" s="86"/>
      <c r="T168" s="86"/>
      <c r="U168" s="1"/>
    </row>
    <row r="169" spans="3:21" x14ac:dyDescent="0.3">
      <c r="C169" s="21"/>
      <c r="D169" s="1"/>
      <c r="E169" s="1"/>
      <c r="F169" s="1"/>
      <c r="G169" s="1"/>
      <c r="H169" s="1"/>
      <c r="I169" s="1"/>
      <c r="J169" s="1"/>
      <c r="L169" s="86"/>
      <c r="M169" s="86"/>
      <c r="N169" s="86"/>
      <c r="O169" s="86"/>
      <c r="P169" s="86"/>
      <c r="Q169" s="86"/>
      <c r="R169" s="86"/>
      <c r="S169" s="86"/>
      <c r="T169" s="86"/>
      <c r="U169" s="1"/>
    </row>
    <row r="170" spans="3:21" x14ac:dyDescent="0.3">
      <c r="C170" s="21"/>
      <c r="D170" s="1"/>
      <c r="E170" s="1"/>
      <c r="F170" s="1"/>
      <c r="G170" s="1"/>
      <c r="H170" s="1"/>
      <c r="I170" s="1"/>
      <c r="J170" s="1"/>
      <c r="L170" s="86"/>
      <c r="M170" s="86"/>
      <c r="N170" s="86"/>
      <c r="O170" s="86"/>
      <c r="P170" s="86"/>
      <c r="Q170" s="86"/>
      <c r="R170" s="86"/>
      <c r="S170" s="86"/>
      <c r="T170" s="86"/>
      <c r="U170" s="1"/>
    </row>
    <row r="171" spans="3:21" x14ac:dyDescent="0.3">
      <c r="C171" s="21"/>
      <c r="D171" s="1"/>
      <c r="E171" s="1"/>
      <c r="F171" s="1"/>
      <c r="G171" s="1"/>
      <c r="H171" s="1"/>
      <c r="I171" s="1"/>
      <c r="J171" s="1"/>
      <c r="L171" s="86"/>
      <c r="M171" s="86"/>
      <c r="N171" s="86"/>
      <c r="O171" s="86"/>
      <c r="P171" s="86"/>
      <c r="Q171" s="86"/>
      <c r="R171" s="86"/>
      <c r="S171" s="86"/>
      <c r="T171" s="86"/>
      <c r="U171" s="1"/>
    </row>
    <row r="172" spans="3:21" x14ac:dyDescent="0.3">
      <c r="C172" s="21"/>
      <c r="D172" s="1"/>
      <c r="E172" s="1"/>
      <c r="F172" s="1"/>
      <c r="G172" s="1"/>
      <c r="H172" s="1"/>
      <c r="I172" s="1"/>
      <c r="J172" s="1"/>
      <c r="L172" s="86"/>
      <c r="M172" s="86"/>
      <c r="N172" s="86"/>
      <c r="O172" s="86"/>
      <c r="P172" s="86"/>
      <c r="Q172" s="86"/>
      <c r="R172" s="86"/>
      <c r="S172" s="86"/>
      <c r="T172" s="86"/>
      <c r="U172" s="1"/>
    </row>
    <row r="173" spans="3:21" x14ac:dyDescent="0.3">
      <c r="C173" s="21"/>
      <c r="D173" s="1"/>
      <c r="E173" s="1"/>
      <c r="F173" s="1"/>
      <c r="G173" s="1"/>
      <c r="H173" s="1"/>
      <c r="I173" s="1"/>
      <c r="J173" s="1"/>
      <c r="L173" s="86"/>
      <c r="M173" s="86"/>
      <c r="N173" s="86"/>
      <c r="O173" s="86"/>
      <c r="P173" s="86"/>
      <c r="Q173" s="86"/>
      <c r="R173" s="86"/>
      <c r="S173" s="86"/>
      <c r="T173" s="86"/>
      <c r="U173" s="1"/>
    </row>
    <row r="174" spans="3:21" x14ac:dyDescent="0.3">
      <c r="C174" s="21"/>
      <c r="D174" s="1"/>
      <c r="E174" s="1"/>
      <c r="F174" s="1"/>
      <c r="G174" s="1"/>
      <c r="H174" s="1"/>
      <c r="I174" s="1"/>
      <c r="J174" s="1"/>
      <c r="L174" s="86"/>
      <c r="M174" s="86"/>
      <c r="N174" s="86"/>
      <c r="O174" s="86"/>
      <c r="P174" s="86"/>
      <c r="Q174" s="86"/>
      <c r="R174" s="86"/>
      <c r="S174" s="86"/>
      <c r="T174" s="86"/>
      <c r="U174" s="1"/>
    </row>
    <row r="175" spans="3:21" x14ac:dyDescent="0.3">
      <c r="C175" s="21"/>
      <c r="D175" s="1"/>
      <c r="E175" s="1"/>
      <c r="F175" s="1"/>
      <c r="G175" s="1"/>
      <c r="H175" s="1"/>
      <c r="I175" s="1"/>
      <c r="J175" s="1"/>
      <c r="L175" s="86"/>
      <c r="M175" s="86"/>
      <c r="N175" s="86"/>
      <c r="O175" s="86"/>
      <c r="P175" s="86"/>
      <c r="Q175" s="86"/>
      <c r="R175" s="86"/>
      <c r="S175" s="86"/>
      <c r="T175" s="86"/>
      <c r="U175" s="1"/>
    </row>
    <row r="176" spans="3:21" x14ac:dyDescent="0.3">
      <c r="C176" s="21"/>
      <c r="D176" s="1"/>
      <c r="E176" s="1"/>
      <c r="F176" s="1"/>
      <c r="G176" s="1"/>
      <c r="H176" s="1"/>
      <c r="I176" s="1"/>
      <c r="J176" s="1"/>
      <c r="L176" s="86"/>
      <c r="M176" s="86"/>
      <c r="N176" s="86"/>
      <c r="O176" s="86"/>
      <c r="P176" s="86"/>
      <c r="Q176" s="86"/>
      <c r="R176" s="86"/>
      <c r="S176" s="86"/>
      <c r="T176" s="86"/>
      <c r="U176" s="1"/>
    </row>
    <row r="177" spans="3:21" x14ac:dyDescent="0.3">
      <c r="C177" s="21"/>
      <c r="D177" s="1"/>
      <c r="E177" s="1"/>
      <c r="F177" s="1"/>
      <c r="G177" s="1"/>
      <c r="H177" s="1"/>
      <c r="I177" s="1"/>
      <c r="J177" s="1"/>
      <c r="L177" s="86"/>
      <c r="M177" s="86"/>
      <c r="N177" s="86"/>
      <c r="O177" s="86"/>
      <c r="P177" s="86"/>
      <c r="Q177" s="86"/>
      <c r="R177" s="86"/>
      <c r="S177" s="86"/>
      <c r="T177" s="86"/>
      <c r="U177" s="1"/>
    </row>
    <row r="178" spans="3:21" x14ac:dyDescent="0.3">
      <c r="C178" s="21"/>
      <c r="D178" s="1"/>
      <c r="E178" s="1"/>
      <c r="F178" s="1"/>
      <c r="G178" s="1"/>
      <c r="H178" s="1"/>
      <c r="I178" s="1"/>
      <c r="J178" s="1"/>
      <c r="L178" s="86"/>
      <c r="M178" s="86"/>
      <c r="N178" s="86"/>
      <c r="O178" s="86"/>
      <c r="P178" s="86"/>
      <c r="Q178" s="86"/>
      <c r="R178" s="86"/>
      <c r="S178" s="86"/>
      <c r="T178" s="86"/>
      <c r="U178" s="1"/>
    </row>
    <row r="179" spans="3:21" x14ac:dyDescent="0.3">
      <c r="C179" s="21"/>
      <c r="D179" s="1"/>
      <c r="E179" s="1"/>
      <c r="F179" s="1"/>
      <c r="G179" s="1"/>
      <c r="H179" s="1"/>
      <c r="I179" s="1"/>
      <c r="J179" s="1"/>
      <c r="L179" s="86"/>
      <c r="M179" s="86"/>
      <c r="N179" s="86"/>
      <c r="O179" s="86"/>
      <c r="P179" s="86"/>
      <c r="Q179" s="86"/>
      <c r="R179" s="86"/>
      <c r="S179" s="86"/>
      <c r="T179" s="86"/>
      <c r="U179" s="1"/>
    </row>
    <row r="180" spans="3:21" x14ac:dyDescent="0.3">
      <c r="C180" s="21"/>
      <c r="D180" s="1"/>
      <c r="E180" s="1"/>
      <c r="F180" s="1"/>
      <c r="G180" s="1"/>
      <c r="H180" s="1"/>
      <c r="I180" s="1"/>
      <c r="J180" s="1"/>
      <c r="L180" s="86"/>
      <c r="M180" s="86"/>
      <c r="N180" s="86"/>
      <c r="O180" s="86"/>
      <c r="P180" s="86"/>
      <c r="Q180" s="86"/>
      <c r="R180" s="86"/>
      <c r="S180" s="86"/>
      <c r="T180" s="86"/>
      <c r="U180" s="1"/>
    </row>
    <row r="181" spans="3:21" x14ac:dyDescent="0.3">
      <c r="C181" s="21"/>
      <c r="D181" s="1"/>
      <c r="E181" s="1"/>
      <c r="F181" s="1"/>
      <c r="G181" s="1"/>
      <c r="H181" s="1"/>
      <c r="I181" s="1"/>
      <c r="J181" s="1"/>
      <c r="L181" s="86"/>
      <c r="M181" s="86"/>
      <c r="N181" s="86"/>
      <c r="O181" s="86"/>
      <c r="P181" s="86"/>
      <c r="Q181" s="86"/>
      <c r="R181" s="86"/>
      <c r="S181" s="86"/>
      <c r="T181" s="86"/>
      <c r="U181" s="1"/>
    </row>
    <row r="182" spans="3:21" x14ac:dyDescent="0.3">
      <c r="C182" s="21"/>
      <c r="D182" s="1"/>
      <c r="E182" s="1"/>
      <c r="F182" s="1"/>
      <c r="G182" s="1"/>
      <c r="H182" s="1"/>
      <c r="I182" s="1"/>
      <c r="J182" s="1"/>
      <c r="L182" s="86"/>
      <c r="M182" s="86"/>
      <c r="N182" s="86"/>
      <c r="O182" s="86"/>
      <c r="P182" s="86"/>
      <c r="Q182" s="86"/>
      <c r="R182" s="86"/>
      <c r="S182" s="86"/>
      <c r="T182" s="86"/>
      <c r="U182" s="1"/>
    </row>
    <row r="183" spans="3:21" x14ac:dyDescent="0.3">
      <c r="C183" s="21"/>
      <c r="D183" s="1"/>
      <c r="E183" s="1"/>
      <c r="F183" s="1"/>
      <c r="G183" s="1"/>
      <c r="H183" s="1"/>
      <c r="I183" s="1"/>
      <c r="J183" s="1"/>
      <c r="L183" s="86"/>
      <c r="M183" s="86"/>
      <c r="N183" s="86"/>
      <c r="O183" s="86"/>
      <c r="P183" s="86"/>
      <c r="Q183" s="86"/>
      <c r="R183" s="86"/>
      <c r="S183" s="86"/>
      <c r="T183" s="86"/>
      <c r="U183" s="1"/>
    </row>
    <row r="184" spans="3:21" x14ac:dyDescent="0.3">
      <c r="C184" s="21"/>
      <c r="D184" s="1"/>
      <c r="E184" s="1"/>
      <c r="F184" s="1"/>
      <c r="G184" s="1"/>
      <c r="H184" s="1"/>
      <c r="I184" s="1"/>
      <c r="J184" s="1"/>
      <c r="L184" s="86"/>
      <c r="M184" s="86"/>
      <c r="N184" s="86"/>
      <c r="O184" s="86"/>
      <c r="P184" s="86"/>
      <c r="Q184" s="86"/>
      <c r="R184" s="86"/>
      <c r="S184" s="86"/>
      <c r="T184" s="86"/>
      <c r="U184" s="1"/>
    </row>
    <row r="185" spans="3:21" x14ac:dyDescent="0.3">
      <c r="C185" s="21"/>
      <c r="D185" s="1"/>
      <c r="E185" s="1"/>
      <c r="F185" s="1"/>
      <c r="G185" s="1"/>
      <c r="H185" s="1"/>
      <c r="I185" s="1"/>
      <c r="J185" s="1"/>
      <c r="L185" s="86"/>
      <c r="M185" s="86"/>
      <c r="N185" s="86"/>
      <c r="O185" s="86"/>
      <c r="P185" s="86"/>
      <c r="Q185" s="86"/>
      <c r="R185" s="86"/>
      <c r="S185" s="86"/>
      <c r="T185" s="86"/>
      <c r="U185" s="1"/>
    </row>
    <row r="186" spans="3:21" x14ac:dyDescent="0.3">
      <c r="C186" s="21"/>
      <c r="D186" s="1"/>
      <c r="E186" s="1"/>
      <c r="F186" s="1"/>
      <c r="G186" s="1"/>
      <c r="H186" s="1"/>
      <c r="I186" s="1"/>
      <c r="J186" s="1"/>
      <c r="L186" s="86"/>
      <c r="M186" s="86"/>
      <c r="N186" s="86"/>
      <c r="O186" s="86"/>
      <c r="P186" s="86"/>
      <c r="Q186" s="86"/>
      <c r="R186" s="86"/>
      <c r="S186" s="86"/>
      <c r="T186" s="86"/>
      <c r="U186" s="1"/>
    </row>
    <row r="187" spans="3:21" x14ac:dyDescent="0.3">
      <c r="C187" s="21"/>
      <c r="D187" s="1"/>
      <c r="E187" s="1"/>
      <c r="F187" s="1"/>
      <c r="G187" s="1"/>
      <c r="H187" s="1"/>
      <c r="I187" s="1"/>
      <c r="J187" s="1"/>
      <c r="L187" s="86"/>
      <c r="M187" s="86"/>
      <c r="N187" s="86"/>
      <c r="O187" s="86"/>
      <c r="P187" s="86"/>
      <c r="Q187" s="86"/>
      <c r="R187" s="86"/>
      <c r="S187" s="86"/>
      <c r="T187" s="86"/>
      <c r="U187" s="1"/>
    </row>
    <row r="188" spans="3:21" x14ac:dyDescent="0.3">
      <c r="C188" s="21"/>
      <c r="D188" s="1"/>
      <c r="E188" s="1"/>
      <c r="F188" s="1"/>
      <c r="G188" s="1"/>
      <c r="H188" s="1"/>
      <c r="I188" s="1"/>
      <c r="J188" s="1"/>
      <c r="L188" s="86"/>
      <c r="M188" s="86"/>
      <c r="N188" s="86"/>
      <c r="O188" s="86"/>
      <c r="P188" s="86"/>
      <c r="Q188" s="86"/>
      <c r="R188" s="86"/>
      <c r="S188" s="86"/>
      <c r="T188" s="86"/>
      <c r="U188" s="1"/>
    </row>
    <row r="189" spans="3:21" x14ac:dyDescent="0.3">
      <c r="C189" s="21"/>
      <c r="D189" s="1"/>
      <c r="E189" s="1"/>
      <c r="F189" s="1"/>
      <c r="G189" s="1"/>
      <c r="H189" s="1"/>
      <c r="I189" s="1"/>
      <c r="J189" s="1"/>
      <c r="L189" s="86"/>
      <c r="M189" s="86"/>
      <c r="N189" s="86"/>
      <c r="O189" s="86"/>
      <c r="P189" s="86"/>
      <c r="Q189" s="86"/>
      <c r="R189" s="86"/>
      <c r="S189" s="86"/>
      <c r="T189" s="86"/>
      <c r="U189" s="1"/>
    </row>
    <row r="190" spans="3:21" x14ac:dyDescent="0.3">
      <c r="C190" s="21"/>
      <c r="D190" s="1"/>
      <c r="E190" s="1"/>
      <c r="F190" s="1"/>
      <c r="G190" s="1"/>
      <c r="H190" s="1"/>
      <c r="I190" s="1"/>
      <c r="J190" s="1"/>
      <c r="L190" s="86"/>
      <c r="M190" s="86"/>
      <c r="N190" s="86"/>
      <c r="O190" s="86"/>
      <c r="P190" s="86"/>
      <c r="Q190" s="86"/>
      <c r="R190" s="86"/>
      <c r="S190" s="86"/>
      <c r="T190" s="86"/>
      <c r="U190" s="1"/>
    </row>
    <row r="191" spans="3:21" x14ac:dyDescent="0.3">
      <c r="C191" s="21"/>
      <c r="D191" s="1"/>
      <c r="E191" s="1"/>
      <c r="F191" s="1"/>
      <c r="G191" s="1"/>
      <c r="H191" s="1"/>
      <c r="I191" s="1"/>
      <c r="J191" s="1"/>
      <c r="L191" s="86"/>
      <c r="M191" s="86"/>
      <c r="N191" s="86"/>
      <c r="O191" s="86"/>
      <c r="P191" s="86"/>
      <c r="Q191" s="86"/>
      <c r="R191" s="86"/>
      <c r="S191" s="86"/>
      <c r="T191" s="86"/>
      <c r="U191" s="1"/>
    </row>
    <row r="192" spans="3:21" x14ac:dyDescent="0.3">
      <c r="C192" s="21"/>
      <c r="D192" s="1"/>
      <c r="E192" s="1"/>
      <c r="F192" s="1"/>
      <c r="G192" s="1"/>
      <c r="H192" s="1"/>
      <c r="I192" s="1"/>
      <c r="J192" s="1"/>
      <c r="L192" s="86"/>
      <c r="M192" s="86"/>
      <c r="N192" s="86"/>
      <c r="O192" s="86"/>
      <c r="P192" s="86"/>
      <c r="Q192" s="86"/>
      <c r="R192" s="86"/>
      <c r="S192" s="86"/>
      <c r="T192" s="86"/>
      <c r="U192" s="1"/>
    </row>
    <row r="193" spans="3:21" x14ac:dyDescent="0.3">
      <c r="C193" s="21"/>
      <c r="D193" s="1"/>
      <c r="E193" s="1"/>
      <c r="F193" s="1"/>
      <c r="G193" s="1"/>
      <c r="H193" s="1"/>
      <c r="I193" s="1"/>
      <c r="J193" s="1"/>
      <c r="L193" s="86"/>
      <c r="M193" s="86"/>
      <c r="N193" s="86"/>
      <c r="O193" s="86"/>
      <c r="P193" s="86"/>
      <c r="Q193" s="86"/>
      <c r="R193" s="86"/>
      <c r="S193" s="86"/>
      <c r="T193" s="86"/>
      <c r="U193" s="1"/>
    </row>
    <row r="194" spans="3:21" x14ac:dyDescent="0.3">
      <c r="C194" s="21"/>
      <c r="D194" s="1"/>
      <c r="E194" s="1"/>
      <c r="F194" s="1"/>
      <c r="G194" s="1"/>
      <c r="H194" s="1"/>
      <c r="I194" s="1"/>
      <c r="J194" s="1"/>
      <c r="L194" s="86"/>
      <c r="M194" s="86"/>
      <c r="N194" s="86"/>
      <c r="O194" s="86"/>
      <c r="P194" s="86"/>
      <c r="Q194" s="86"/>
      <c r="R194" s="86"/>
      <c r="S194" s="86"/>
      <c r="T194" s="86"/>
      <c r="U194" s="1"/>
    </row>
    <row r="195" spans="3:21" x14ac:dyDescent="0.3">
      <c r="C195" s="21"/>
      <c r="D195" s="1"/>
      <c r="E195" s="1"/>
      <c r="F195" s="1"/>
      <c r="G195" s="1"/>
      <c r="H195" s="1"/>
      <c r="I195" s="1"/>
      <c r="J195" s="1"/>
      <c r="L195" s="86"/>
      <c r="M195" s="86"/>
      <c r="N195" s="86"/>
      <c r="O195" s="86"/>
      <c r="P195" s="86"/>
      <c r="Q195" s="86"/>
      <c r="R195" s="86"/>
      <c r="S195" s="86"/>
      <c r="T195" s="86"/>
      <c r="U195" s="1"/>
    </row>
    <row r="196" spans="3:21" x14ac:dyDescent="0.3">
      <c r="C196" s="21"/>
      <c r="D196" s="1"/>
      <c r="E196" s="1"/>
      <c r="F196" s="1"/>
      <c r="G196" s="1"/>
      <c r="H196" s="1"/>
      <c r="I196" s="1"/>
      <c r="J196" s="1"/>
      <c r="L196" s="86"/>
      <c r="M196" s="86"/>
      <c r="N196" s="86"/>
      <c r="O196" s="86"/>
      <c r="P196" s="86"/>
      <c r="Q196" s="86"/>
      <c r="R196" s="86"/>
      <c r="S196" s="86"/>
      <c r="T196" s="86"/>
      <c r="U196" s="1"/>
    </row>
    <row r="197" spans="3:21" x14ac:dyDescent="0.3">
      <c r="C197" s="21"/>
      <c r="D197" s="1"/>
      <c r="E197" s="1"/>
      <c r="F197" s="1"/>
      <c r="G197" s="1"/>
      <c r="H197" s="1"/>
      <c r="I197" s="1"/>
      <c r="J197" s="1"/>
      <c r="L197" s="86"/>
      <c r="M197" s="86"/>
      <c r="N197" s="86"/>
      <c r="O197" s="86"/>
      <c r="P197" s="86"/>
      <c r="Q197" s="86"/>
      <c r="R197" s="86"/>
      <c r="S197" s="86"/>
      <c r="T197" s="86"/>
      <c r="U197" s="1"/>
    </row>
    <row r="198" spans="3:21" x14ac:dyDescent="0.3">
      <c r="C198" s="21"/>
      <c r="D198" s="1"/>
      <c r="E198" s="1"/>
      <c r="F198" s="1"/>
      <c r="G198" s="1"/>
      <c r="H198" s="1"/>
      <c r="I198" s="1"/>
      <c r="J198" s="1"/>
      <c r="L198" s="86"/>
      <c r="M198" s="86"/>
      <c r="N198" s="86"/>
      <c r="O198" s="86"/>
      <c r="P198" s="86"/>
      <c r="Q198" s="86"/>
      <c r="R198" s="86"/>
      <c r="S198" s="86"/>
      <c r="T198" s="86"/>
      <c r="U198" s="1"/>
    </row>
    <row r="199" spans="3:21" x14ac:dyDescent="0.3">
      <c r="C199" s="21"/>
      <c r="D199" s="1"/>
      <c r="E199" s="1"/>
      <c r="F199" s="1"/>
      <c r="G199" s="1"/>
      <c r="H199" s="1"/>
      <c r="I199" s="1"/>
      <c r="J199" s="1"/>
      <c r="L199" s="86"/>
      <c r="M199" s="86"/>
      <c r="N199" s="86"/>
      <c r="O199" s="86"/>
      <c r="P199" s="86"/>
      <c r="Q199" s="86"/>
      <c r="R199" s="86"/>
      <c r="S199" s="86"/>
      <c r="T199" s="86"/>
      <c r="U199" s="1"/>
    </row>
    <row r="200" spans="3:21" x14ac:dyDescent="0.3">
      <c r="C200" s="21"/>
      <c r="D200" s="1"/>
      <c r="E200" s="1"/>
      <c r="F200" s="1"/>
      <c r="G200" s="1"/>
      <c r="H200" s="1"/>
      <c r="I200" s="1"/>
      <c r="J200" s="1"/>
      <c r="L200" s="86"/>
      <c r="M200" s="86"/>
      <c r="N200" s="86"/>
      <c r="O200" s="86"/>
      <c r="P200" s="86"/>
      <c r="Q200" s="86"/>
      <c r="R200" s="86"/>
      <c r="S200" s="86"/>
      <c r="T200" s="86"/>
      <c r="U200" s="1"/>
    </row>
    <row r="201" spans="3:21" x14ac:dyDescent="0.3">
      <c r="C201" s="21"/>
      <c r="D201" s="1"/>
      <c r="E201" s="1"/>
      <c r="F201" s="1"/>
      <c r="G201" s="1"/>
      <c r="H201" s="1"/>
      <c r="I201" s="1"/>
      <c r="J201" s="1"/>
      <c r="L201" s="86"/>
      <c r="M201" s="86"/>
      <c r="N201" s="86"/>
      <c r="O201" s="86"/>
      <c r="P201" s="86"/>
      <c r="Q201" s="86"/>
      <c r="R201" s="86"/>
      <c r="S201" s="86"/>
      <c r="T201" s="86"/>
      <c r="U201" s="1"/>
    </row>
    <row r="202" spans="3:21" x14ac:dyDescent="0.3">
      <c r="C202" s="21"/>
      <c r="D202" s="1"/>
      <c r="E202" s="1"/>
      <c r="F202" s="1"/>
      <c r="G202" s="1"/>
      <c r="H202" s="1"/>
      <c r="I202" s="1"/>
      <c r="J202" s="1"/>
      <c r="L202" s="86"/>
      <c r="M202" s="86"/>
      <c r="N202" s="86"/>
      <c r="O202" s="86"/>
      <c r="P202" s="86"/>
      <c r="Q202" s="86"/>
      <c r="R202" s="86"/>
      <c r="S202" s="86"/>
      <c r="T202" s="86"/>
      <c r="U202" s="1"/>
    </row>
    <row r="203" spans="3:21" x14ac:dyDescent="0.3">
      <c r="C203" s="21"/>
      <c r="D203" s="1"/>
      <c r="E203" s="1"/>
      <c r="F203" s="1"/>
      <c r="G203" s="1"/>
      <c r="H203" s="1"/>
      <c r="I203" s="1"/>
      <c r="J203" s="1"/>
      <c r="L203" s="86"/>
      <c r="M203" s="86"/>
      <c r="N203" s="86"/>
      <c r="O203" s="86"/>
      <c r="P203" s="86"/>
      <c r="Q203" s="86"/>
      <c r="R203" s="86"/>
      <c r="S203" s="86"/>
      <c r="T203" s="86"/>
      <c r="U203" s="98"/>
    </row>
    <row r="204" spans="3:21" x14ac:dyDescent="0.3">
      <c r="C204" s="21"/>
      <c r="D204" s="1"/>
      <c r="E204" s="1"/>
      <c r="F204" s="1"/>
      <c r="G204" s="1"/>
      <c r="H204" s="1"/>
      <c r="I204" s="1"/>
      <c r="J204" s="1"/>
      <c r="L204" s="86"/>
      <c r="M204" s="86"/>
      <c r="N204" s="86"/>
      <c r="O204" s="86"/>
      <c r="P204" s="86"/>
      <c r="Q204" s="86"/>
      <c r="R204" s="86"/>
      <c r="S204" s="86"/>
      <c r="T204" s="86"/>
      <c r="U204" s="1"/>
    </row>
    <row r="205" spans="3:21" x14ac:dyDescent="0.3">
      <c r="C205" s="21"/>
      <c r="D205" s="1"/>
      <c r="E205" s="1"/>
      <c r="F205" s="1"/>
      <c r="G205" s="1"/>
      <c r="H205" s="1"/>
      <c r="I205" s="1"/>
      <c r="J205" s="1"/>
      <c r="L205" s="86"/>
      <c r="M205" s="86"/>
      <c r="N205" s="86"/>
      <c r="O205" s="86"/>
      <c r="P205" s="86"/>
      <c r="Q205" s="86"/>
      <c r="R205" s="86"/>
      <c r="S205" s="86"/>
      <c r="T205" s="86"/>
      <c r="U205" s="1"/>
    </row>
    <row r="206" spans="3:21" x14ac:dyDescent="0.3">
      <c r="C206" s="21"/>
      <c r="D206" s="1"/>
      <c r="E206" s="1"/>
      <c r="F206" s="1"/>
      <c r="G206" s="1"/>
      <c r="H206" s="1"/>
      <c r="I206" s="1"/>
      <c r="J206" s="1"/>
      <c r="L206" s="86"/>
      <c r="M206" s="86"/>
      <c r="N206" s="86"/>
      <c r="O206" s="86"/>
      <c r="P206" s="86"/>
      <c r="Q206" s="86"/>
      <c r="R206" s="86"/>
      <c r="S206" s="86"/>
      <c r="T206" s="86"/>
      <c r="U206" s="1"/>
    </row>
    <row r="207" spans="3:21" x14ac:dyDescent="0.3">
      <c r="C207" s="21"/>
      <c r="D207" s="1"/>
      <c r="E207" s="1"/>
      <c r="F207" s="1"/>
      <c r="G207" s="1"/>
      <c r="H207" s="1"/>
      <c r="I207" s="1"/>
      <c r="J207" s="1"/>
      <c r="L207" s="86"/>
      <c r="M207" s="86"/>
      <c r="N207" s="86"/>
      <c r="O207" s="86"/>
      <c r="P207" s="86"/>
      <c r="Q207" s="86"/>
      <c r="R207" s="86"/>
      <c r="S207" s="86"/>
      <c r="T207" s="86"/>
      <c r="U207" s="1"/>
    </row>
    <row r="208" spans="3:21" x14ac:dyDescent="0.3">
      <c r="C208" s="21"/>
      <c r="D208" s="1"/>
      <c r="E208" s="1"/>
      <c r="F208" s="1"/>
      <c r="G208" s="1"/>
      <c r="H208" s="1"/>
      <c r="I208" s="1"/>
      <c r="J208" s="1"/>
      <c r="L208" s="86"/>
      <c r="M208" s="86"/>
      <c r="N208" s="86"/>
      <c r="O208" s="86"/>
      <c r="P208" s="86"/>
      <c r="Q208" s="86"/>
      <c r="R208" s="86"/>
      <c r="S208" s="86"/>
      <c r="T208" s="86"/>
      <c r="U208" s="1"/>
    </row>
    <row r="209" spans="3:21" x14ac:dyDescent="0.3">
      <c r="C209" s="21"/>
      <c r="D209" s="1"/>
      <c r="E209" s="1"/>
      <c r="F209" s="1"/>
      <c r="G209" s="1"/>
      <c r="H209" s="1"/>
      <c r="I209" s="1"/>
      <c r="J209" s="1"/>
      <c r="L209" s="86"/>
      <c r="M209" s="86"/>
      <c r="N209" s="86"/>
      <c r="O209" s="86"/>
      <c r="P209" s="86"/>
      <c r="Q209" s="86"/>
      <c r="R209" s="86"/>
      <c r="S209" s="86"/>
      <c r="T209" s="86"/>
      <c r="U209" s="1"/>
    </row>
    <row r="210" spans="3:21" x14ac:dyDescent="0.3">
      <c r="C210" s="21"/>
      <c r="D210" s="1"/>
      <c r="E210" s="1"/>
      <c r="F210" s="1"/>
      <c r="G210" s="1"/>
      <c r="H210" s="1"/>
      <c r="I210" s="1"/>
      <c r="J210" s="1"/>
      <c r="L210" s="86"/>
      <c r="M210" s="86"/>
      <c r="N210" s="86"/>
      <c r="O210" s="86"/>
      <c r="P210" s="86"/>
      <c r="Q210" s="86"/>
      <c r="R210" s="86"/>
      <c r="S210" s="86"/>
      <c r="T210" s="86"/>
      <c r="U210" s="1"/>
    </row>
    <row r="211" spans="3:21" x14ac:dyDescent="0.3">
      <c r="C211" s="21"/>
      <c r="D211" s="1"/>
      <c r="E211" s="1"/>
      <c r="F211" s="1"/>
      <c r="G211" s="1"/>
      <c r="H211" s="1"/>
      <c r="I211" s="1"/>
      <c r="J211" s="1"/>
      <c r="L211" s="86"/>
      <c r="M211" s="86"/>
      <c r="N211" s="86"/>
      <c r="O211" s="86"/>
      <c r="P211" s="86"/>
      <c r="Q211" s="86"/>
      <c r="R211" s="86"/>
      <c r="S211" s="86"/>
      <c r="T211" s="86"/>
      <c r="U211" s="1"/>
    </row>
    <row r="212" spans="3:21" x14ac:dyDescent="0.3">
      <c r="C212" s="21"/>
      <c r="D212" s="1"/>
      <c r="E212" s="1"/>
      <c r="F212" s="1"/>
      <c r="G212" s="1"/>
      <c r="H212" s="1"/>
      <c r="I212" s="1"/>
      <c r="J212" s="1"/>
      <c r="L212" s="86"/>
      <c r="M212" s="86"/>
      <c r="N212" s="86"/>
      <c r="O212" s="86"/>
      <c r="P212" s="86"/>
      <c r="Q212" s="86"/>
      <c r="R212" s="86"/>
      <c r="S212" s="86"/>
      <c r="T212" s="86"/>
      <c r="U212" s="1"/>
    </row>
    <row r="213" spans="3:21" x14ac:dyDescent="0.3">
      <c r="C213" s="21"/>
      <c r="D213" s="1"/>
      <c r="E213" s="1"/>
      <c r="F213" s="1"/>
      <c r="G213" s="1"/>
      <c r="H213" s="1"/>
      <c r="I213" s="1"/>
      <c r="J213" s="1"/>
      <c r="L213" s="86"/>
      <c r="M213" s="86"/>
      <c r="N213" s="86"/>
      <c r="O213" s="86"/>
      <c r="P213" s="86"/>
      <c r="Q213" s="86"/>
      <c r="R213" s="86"/>
      <c r="S213" s="86"/>
      <c r="T213" s="86"/>
      <c r="U213" s="1"/>
    </row>
    <row r="214" spans="3:21" x14ac:dyDescent="0.3">
      <c r="C214" s="21"/>
      <c r="D214" s="1"/>
      <c r="E214" s="1"/>
      <c r="F214" s="1"/>
      <c r="G214" s="1"/>
      <c r="H214" s="1"/>
      <c r="I214" s="1"/>
      <c r="J214" s="1"/>
      <c r="L214" s="86"/>
      <c r="M214" s="86"/>
      <c r="N214" s="86"/>
      <c r="O214" s="86"/>
      <c r="P214" s="86"/>
      <c r="Q214" s="86"/>
      <c r="R214" s="86"/>
      <c r="S214" s="86"/>
      <c r="T214" s="86"/>
      <c r="U214" s="1"/>
    </row>
    <row r="215" spans="3:21" x14ac:dyDescent="0.3">
      <c r="C215" s="21"/>
      <c r="D215" s="1"/>
      <c r="E215" s="1"/>
      <c r="F215" s="1"/>
      <c r="G215" s="1"/>
      <c r="H215" s="1"/>
      <c r="I215" s="1"/>
      <c r="J215" s="1"/>
      <c r="L215" s="86"/>
      <c r="M215" s="86"/>
      <c r="N215" s="86"/>
      <c r="O215" s="86"/>
      <c r="P215" s="86"/>
      <c r="Q215" s="86"/>
      <c r="R215" s="86"/>
      <c r="S215" s="86"/>
      <c r="T215" s="86"/>
      <c r="U215" s="1"/>
    </row>
    <row r="216" spans="3:21" x14ac:dyDescent="0.3">
      <c r="C216" s="21"/>
      <c r="D216" s="1"/>
      <c r="E216" s="1"/>
      <c r="F216" s="1"/>
      <c r="G216" s="1"/>
      <c r="H216" s="1"/>
      <c r="I216" s="1"/>
      <c r="J216" s="1"/>
      <c r="L216" s="86"/>
      <c r="M216" s="86"/>
      <c r="N216" s="86"/>
      <c r="O216" s="86"/>
      <c r="P216" s="86"/>
      <c r="Q216" s="86"/>
      <c r="R216" s="86"/>
      <c r="S216" s="86"/>
      <c r="T216" s="86"/>
      <c r="U216" s="1"/>
    </row>
    <row r="217" spans="3:21" x14ac:dyDescent="0.3">
      <c r="C217" s="21"/>
      <c r="D217" s="1"/>
      <c r="E217" s="1"/>
      <c r="F217" s="1"/>
      <c r="G217" s="1"/>
      <c r="H217" s="1"/>
      <c r="I217" s="1"/>
      <c r="J217" s="1"/>
      <c r="L217" s="86"/>
      <c r="M217" s="86"/>
      <c r="N217" s="86"/>
      <c r="O217" s="86"/>
      <c r="P217" s="86"/>
      <c r="Q217" s="86"/>
      <c r="R217" s="86"/>
      <c r="S217" s="86"/>
      <c r="T217" s="86"/>
      <c r="U217" s="1"/>
    </row>
    <row r="218" spans="3:21" x14ac:dyDescent="0.3">
      <c r="C218" s="21"/>
      <c r="D218" s="1"/>
      <c r="E218" s="1"/>
      <c r="F218" s="1"/>
      <c r="G218" s="1"/>
      <c r="H218" s="1"/>
      <c r="I218" s="1"/>
      <c r="J218" s="1"/>
      <c r="L218" s="86"/>
      <c r="M218" s="86"/>
      <c r="N218" s="86"/>
      <c r="O218" s="86"/>
      <c r="P218" s="86"/>
      <c r="Q218" s="86"/>
      <c r="R218" s="86"/>
      <c r="S218" s="86"/>
      <c r="T218" s="86"/>
      <c r="U218" s="1"/>
    </row>
    <row r="219" spans="3:21" x14ac:dyDescent="0.3">
      <c r="C219" s="21"/>
      <c r="D219" s="1"/>
      <c r="E219" s="1"/>
      <c r="F219" s="1"/>
      <c r="G219" s="1"/>
      <c r="H219" s="1"/>
      <c r="I219" s="1"/>
      <c r="J219" s="1"/>
      <c r="L219" s="86"/>
      <c r="M219" s="86"/>
      <c r="N219" s="86"/>
      <c r="O219" s="86"/>
      <c r="P219" s="86"/>
      <c r="Q219" s="86"/>
      <c r="R219" s="86"/>
      <c r="S219" s="86"/>
      <c r="T219" s="86"/>
      <c r="U219" s="1"/>
    </row>
    <row r="220" spans="3:21" x14ac:dyDescent="0.3">
      <c r="C220" s="21"/>
      <c r="D220" s="1"/>
      <c r="E220" s="1"/>
      <c r="F220" s="1"/>
      <c r="G220" s="1"/>
      <c r="H220" s="1"/>
      <c r="I220" s="1"/>
      <c r="J220" s="1"/>
      <c r="L220" s="86"/>
      <c r="M220" s="86"/>
      <c r="N220" s="86"/>
      <c r="O220" s="86"/>
      <c r="P220" s="86"/>
      <c r="Q220" s="86"/>
      <c r="R220" s="86"/>
      <c r="S220" s="86"/>
      <c r="T220" s="86"/>
      <c r="U220" s="1"/>
    </row>
    <row r="221" spans="3:21" x14ac:dyDescent="0.3">
      <c r="C221" s="21"/>
      <c r="D221" s="1"/>
      <c r="E221" s="1"/>
      <c r="F221" s="1"/>
      <c r="G221" s="1"/>
      <c r="H221" s="1"/>
      <c r="I221" s="1"/>
      <c r="J221" s="1"/>
      <c r="L221" s="86"/>
      <c r="M221" s="86"/>
      <c r="N221" s="86"/>
      <c r="O221" s="86"/>
      <c r="P221" s="86"/>
      <c r="Q221" s="86"/>
      <c r="R221" s="86"/>
      <c r="S221" s="86"/>
      <c r="T221" s="86"/>
      <c r="U221" s="1"/>
    </row>
    <row r="222" spans="3:21" x14ac:dyDescent="0.3">
      <c r="C222" s="21"/>
      <c r="D222" s="1"/>
      <c r="E222" s="1"/>
      <c r="F222" s="1"/>
      <c r="G222" s="1"/>
      <c r="H222" s="1"/>
      <c r="I222" s="1"/>
      <c r="J222" s="1"/>
      <c r="L222" s="86"/>
      <c r="M222" s="86"/>
      <c r="N222" s="86"/>
      <c r="O222" s="86"/>
      <c r="P222" s="86"/>
      <c r="Q222" s="86"/>
      <c r="R222" s="86"/>
      <c r="S222" s="86"/>
      <c r="T222" s="86"/>
      <c r="U222" s="1"/>
    </row>
    <row r="223" spans="3:21" x14ac:dyDescent="0.3">
      <c r="C223" s="21"/>
      <c r="D223" s="1"/>
      <c r="E223" s="1"/>
      <c r="F223" s="1"/>
      <c r="G223" s="1"/>
      <c r="H223" s="1"/>
      <c r="I223" s="1"/>
      <c r="J223" s="1"/>
      <c r="L223" s="86"/>
      <c r="M223" s="86"/>
      <c r="N223" s="86"/>
      <c r="O223" s="86"/>
      <c r="P223" s="86"/>
      <c r="Q223" s="86"/>
      <c r="R223" s="86"/>
      <c r="S223" s="86"/>
      <c r="T223" s="86"/>
      <c r="U223" s="1"/>
    </row>
    <row r="224" spans="3:21" x14ac:dyDescent="0.3">
      <c r="C224" s="21"/>
      <c r="D224" s="1"/>
      <c r="E224" s="1"/>
      <c r="F224" s="1"/>
      <c r="G224" s="1"/>
      <c r="H224" s="1"/>
      <c r="I224" s="1"/>
      <c r="J224" s="1"/>
      <c r="L224" s="86"/>
      <c r="M224" s="86"/>
      <c r="N224" s="86"/>
      <c r="O224" s="86"/>
      <c r="P224" s="86"/>
      <c r="Q224" s="86"/>
      <c r="R224" s="86"/>
      <c r="S224" s="86"/>
      <c r="T224" s="86"/>
      <c r="U224" s="1"/>
    </row>
    <row r="225" spans="3:21" x14ac:dyDescent="0.3">
      <c r="C225" s="21"/>
      <c r="D225" s="1"/>
      <c r="E225" s="1"/>
      <c r="F225" s="1"/>
      <c r="G225" s="1"/>
      <c r="H225" s="1"/>
      <c r="I225" s="1"/>
      <c r="J225" s="1"/>
      <c r="L225" s="86"/>
      <c r="M225" s="86"/>
      <c r="N225" s="86"/>
      <c r="O225" s="86"/>
      <c r="P225" s="86"/>
      <c r="Q225" s="86"/>
      <c r="R225" s="86"/>
      <c r="S225" s="86"/>
      <c r="T225" s="86"/>
      <c r="U225" s="1"/>
    </row>
    <row r="226" spans="3:21" x14ac:dyDescent="0.3">
      <c r="C226" s="21"/>
      <c r="D226" s="1"/>
      <c r="E226" s="1"/>
      <c r="F226" s="1"/>
      <c r="G226" s="1"/>
      <c r="H226" s="1"/>
      <c r="I226" s="1"/>
      <c r="J226" s="1"/>
      <c r="L226" s="86"/>
      <c r="M226" s="86"/>
      <c r="N226" s="86"/>
      <c r="O226" s="86"/>
      <c r="P226" s="86"/>
      <c r="Q226" s="86"/>
      <c r="R226" s="86"/>
      <c r="S226" s="86"/>
      <c r="T226" s="86"/>
      <c r="U226" s="1"/>
    </row>
    <row r="227" spans="3:21" x14ac:dyDescent="0.3">
      <c r="C227" s="21"/>
      <c r="D227" s="1"/>
      <c r="E227" s="1"/>
      <c r="F227" s="1"/>
      <c r="G227" s="1"/>
      <c r="H227" s="1"/>
      <c r="I227" s="1"/>
      <c r="J227" s="1"/>
      <c r="L227" s="86"/>
      <c r="M227" s="86"/>
      <c r="N227" s="86"/>
      <c r="O227" s="86"/>
      <c r="P227" s="86"/>
      <c r="Q227" s="86"/>
      <c r="R227" s="86"/>
      <c r="S227" s="86"/>
      <c r="T227" s="86"/>
      <c r="U227" s="1"/>
    </row>
    <row r="228" spans="3:21" x14ac:dyDescent="0.3">
      <c r="C228" s="21"/>
      <c r="D228" s="1"/>
      <c r="E228" s="1"/>
      <c r="F228" s="1"/>
      <c r="G228" s="1"/>
      <c r="H228" s="1"/>
      <c r="I228" s="1"/>
      <c r="J228" s="1"/>
      <c r="L228" s="86"/>
      <c r="M228" s="86"/>
      <c r="N228" s="86"/>
      <c r="O228" s="86"/>
      <c r="P228" s="86"/>
      <c r="Q228" s="86"/>
      <c r="R228" s="86"/>
      <c r="S228" s="86"/>
      <c r="T228" s="86"/>
      <c r="U228" s="1"/>
    </row>
    <row r="229" spans="3:21" x14ac:dyDescent="0.3">
      <c r="C229" s="21"/>
      <c r="D229" s="1"/>
      <c r="E229" s="1"/>
      <c r="F229" s="1"/>
      <c r="G229" s="1"/>
      <c r="H229" s="1"/>
      <c r="I229" s="1"/>
      <c r="J229" s="1"/>
      <c r="L229" s="86"/>
      <c r="M229" s="86"/>
      <c r="N229" s="86"/>
      <c r="O229" s="86"/>
      <c r="P229" s="86"/>
      <c r="Q229" s="86"/>
      <c r="R229" s="86"/>
      <c r="S229" s="86"/>
      <c r="T229" s="86"/>
      <c r="U229" s="1"/>
    </row>
    <row r="230" spans="3:21" x14ac:dyDescent="0.3">
      <c r="C230" s="21"/>
      <c r="D230" s="1"/>
      <c r="E230" s="1"/>
      <c r="F230" s="1"/>
      <c r="G230" s="1"/>
      <c r="H230" s="1"/>
      <c r="I230" s="1"/>
      <c r="J230" s="1"/>
      <c r="L230" s="86"/>
      <c r="M230" s="86"/>
      <c r="N230" s="86"/>
      <c r="O230" s="86"/>
      <c r="P230" s="86"/>
      <c r="Q230" s="86"/>
      <c r="R230" s="86"/>
      <c r="S230" s="86"/>
      <c r="T230" s="86"/>
      <c r="U230" s="1"/>
    </row>
    <row r="231" spans="3:21" x14ac:dyDescent="0.3">
      <c r="C231" s="21"/>
      <c r="D231" s="1"/>
      <c r="E231" s="1"/>
      <c r="F231" s="1"/>
      <c r="G231" s="1"/>
      <c r="H231" s="1"/>
      <c r="I231" s="1"/>
      <c r="J231" s="1"/>
      <c r="L231" s="86"/>
      <c r="M231" s="86"/>
      <c r="N231" s="86"/>
      <c r="O231" s="86"/>
      <c r="P231" s="86"/>
      <c r="Q231" s="86"/>
      <c r="R231" s="86"/>
      <c r="S231" s="86"/>
      <c r="T231" s="86"/>
      <c r="U231" s="1"/>
    </row>
    <row r="232" spans="3:21" x14ac:dyDescent="0.3">
      <c r="C232" s="21"/>
      <c r="D232" s="1"/>
      <c r="E232" s="1"/>
      <c r="F232" s="1"/>
      <c r="G232" s="1"/>
      <c r="H232" s="1"/>
      <c r="I232" s="1"/>
      <c r="J232" s="1"/>
      <c r="L232" s="86"/>
      <c r="M232" s="86"/>
      <c r="N232" s="86"/>
      <c r="O232" s="86"/>
      <c r="P232" s="86"/>
      <c r="Q232" s="86"/>
      <c r="R232" s="86"/>
      <c r="S232" s="86"/>
      <c r="T232" s="86"/>
      <c r="U232" s="1"/>
    </row>
    <row r="233" spans="3:21" x14ac:dyDescent="0.3">
      <c r="C233" s="21"/>
      <c r="D233" s="1"/>
      <c r="E233" s="1"/>
      <c r="F233" s="1"/>
      <c r="G233" s="1"/>
      <c r="H233" s="1"/>
      <c r="I233" s="1"/>
      <c r="J233" s="1"/>
      <c r="L233" s="86"/>
      <c r="M233" s="86"/>
      <c r="N233" s="86"/>
      <c r="O233" s="86"/>
      <c r="P233" s="86"/>
      <c r="Q233" s="86"/>
      <c r="R233" s="86"/>
      <c r="S233" s="86"/>
      <c r="T233" s="86"/>
      <c r="U233" s="1"/>
    </row>
    <row r="234" spans="3:21" x14ac:dyDescent="0.3">
      <c r="C234" s="21"/>
      <c r="D234" s="1"/>
      <c r="E234" s="1"/>
      <c r="F234" s="1"/>
      <c r="G234" s="1"/>
      <c r="H234" s="1"/>
      <c r="I234" s="1"/>
      <c r="J234" s="1"/>
      <c r="L234" s="86"/>
      <c r="M234" s="86"/>
      <c r="N234" s="86"/>
      <c r="O234" s="86"/>
      <c r="P234" s="86"/>
      <c r="Q234" s="86"/>
      <c r="R234" s="86"/>
      <c r="S234" s="86"/>
      <c r="T234" s="86"/>
      <c r="U234" s="1"/>
    </row>
    <row r="235" spans="3:21" x14ac:dyDescent="0.3">
      <c r="C235" s="21"/>
      <c r="D235" s="1"/>
      <c r="E235" s="1"/>
      <c r="F235" s="1"/>
      <c r="G235" s="1"/>
      <c r="H235" s="1"/>
      <c r="I235" s="1"/>
      <c r="J235" s="1"/>
      <c r="L235" s="86"/>
      <c r="M235" s="86"/>
      <c r="N235" s="86"/>
      <c r="O235" s="86"/>
      <c r="P235" s="86"/>
      <c r="Q235" s="86"/>
      <c r="R235" s="86"/>
      <c r="S235" s="86"/>
      <c r="T235" s="86"/>
      <c r="U235" s="1"/>
    </row>
    <row r="236" spans="3:21" x14ac:dyDescent="0.3">
      <c r="C236" s="21"/>
      <c r="D236" s="1"/>
      <c r="E236" s="1"/>
      <c r="F236" s="1"/>
      <c r="G236" s="1"/>
      <c r="H236" s="1"/>
      <c r="I236" s="1"/>
      <c r="J236" s="1"/>
      <c r="L236" s="86"/>
      <c r="M236" s="86"/>
      <c r="N236" s="86"/>
      <c r="O236" s="86"/>
      <c r="P236" s="86"/>
      <c r="Q236" s="86"/>
      <c r="R236" s="86"/>
      <c r="S236" s="86"/>
      <c r="T236" s="86"/>
      <c r="U236" s="1"/>
    </row>
    <row r="237" spans="3:21" x14ac:dyDescent="0.3">
      <c r="C237" s="21"/>
      <c r="D237" s="1"/>
      <c r="E237" s="1"/>
      <c r="F237" s="1"/>
      <c r="G237" s="1"/>
      <c r="H237" s="1"/>
      <c r="I237" s="1"/>
      <c r="J237" s="1"/>
      <c r="L237" s="86"/>
      <c r="M237" s="86"/>
      <c r="N237" s="86"/>
      <c r="O237" s="86"/>
      <c r="P237" s="86"/>
      <c r="Q237" s="86"/>
      <c r="R237" s="86"/>
      <c r="S237" s="86"/>
      <c r="T237" s="86"/>
      <c r="U237" s="1"/>
    </row>
    <row r="238" spans="3:21" x14ac:dyDescent="0.3">
      <c r="C238" s="21"/>
      <c r="D238" s="1"/>
      <c r="E238" s="1"/>
      <c r="F238" s="1"/>
      <c r="G238" s="1"/>
      <c r="H238" s="1"/>
      <c r="I238" s="1"/>
      <c r="J238" s="1"/>
      <c r="L238" s="86"/>
      <c r="M238" s="86"/>
      <c r="N238" s="86"/>
      <c r="O238" s="86"/>
      <c r="P238" s="86"/>
      <c r="Q238" s="86"/>
      <c r="R238" s="86"/>
      <c r="S238" s="86"/>
      <c r="T238" s="86"/>
      <c r="U238" s="1"/>
    </row>
    <row r="239" spans="3:21" x14ac:dyDescent="0.3">
      <c r="C239" s="21"/>
      <c r="D239" s="1"/>
      <c r="E239" s="1"/>
      <c r="F239" s="1"/>
      <c r="G239" s="1"/>
      <c r="H239" s="1"/>
      <c r="I239" s="1"/>
      <c r="J239" s="1"/>
      <c r="L239" s="86"/>
      <c r="M239" s="86"/>
      <c r="N239" s="86"/>
      <c r="O239" s="86"/>
      <c r="P239" s="86"/>
      <c r="Q239" s="86"/>
      <c r="R239" s="86"/>
      <c r="S239" s="86"/>
      <c r="T239" s="86"/>
      <c r="U239" s="1"/>
    </row>
    <row r="240" spans="3:21" x14ac:dyDescent="0.3">
      <c r="C240" s="21"/>
      <c r="D240" s="1"/>
      <c r="E240" s="1"/>
      <c r="F240" s="1"/>
      <c r="G240" s="1"/>
      <c r="H240" s="1"/>
      <c r="I240" s="1"/>
      <c r="J240" s="1"/>
      <c r="L240" s="86"/>
      <c r="M240" s="86"/>
      <c r="N240" s="86"/>
      <c r="O240" s="86"/>
      <c r="P240" s="86"/>
      <c r="Q240" s="86"/>
      <c r="R240" s="86"/>
      <c r="S240" s="86"/>
      <c r="T240" s="86"/>
      <c r="U240" s="1"/>
    </row>
    <row r="241" spans="3:21" x14ac:dyDescent="0.3">
      <c r="C241" s="21"/>
      <c r="D241" s="1"/>
      <c r="E241" s="1"/>
      <c r="F241" s="1"/>
      <c r="G241" s="1"/>
      <c r="H241" s="1"/>
      <c r="I241" s="1"/>
      <c r="J241" s="1"/>
      <c r="L241" s="86"/>
      <c r="M241" s="86"/>
      <c r="N241" s="86"/>
      <c r="O241" s="86"/>
      <c r="P241" s="86"/>
      <c r="Q241" s="86"/>
      <c r="R241" s="86"/>
      <c r="S241" s="86"/>
      <c r="T241" s="86"/>
      <c r="U241" s="1"/>
    </row>
    <row r="242" spans="3:21" x14ac:dyDescent="0.3">
      <c r="C242" s="21"/>
      <c r="D242" s="1"/>
      <c r="E242" s="1"/>
      <c r="F242" s="1"/>
      <c r="G242" s="1"/>
      <c r="H242" s="1"/>
      <c r="I242" s="1"/>
      <c r="J242" s="1"/>
      <c r="L242" s="86"/>
      <c r="M242" s="86"/>
      <c r="N242" s="86"/>
      <c r="O242" s="86"/>
      <c r="P242" s="86"/>
      <c r="Q242" s="86"/>
      <c r="R242" s="86"/>
      <c r="S242" s="86"/>
      <c r="T242" s="86"/>
      <c r="U242" s="1"/>
    </row>
    <row r="243" spans="3:21" x14ac:dyDescent="0.3">
      <c r="C243" s="21"/>
      <c r="D243" s="1"/>
      <c r="E243" s="1"/>
      <c r="F243" s="1"/>
      <c r="G243" s="1"/>
      <c r="H243" s="1"/>
      <c r="I243" s="1"/>
      <c r="J243" s="1"/>
      <c r="L243" s="86"/>
      <c r="M243" s="86"/>
      <c r="N243" s="86"/>
      <c r="O243" s="86"/>
      <c r="P243" s="86"/>
      <c r="Q243" s="86"/>
      <c r="R243" s="86"/>
      <c r="S243" s="86"/>
      <c r="T243" s="86"/>
      <c r="U243" s="1"/>
    </row>
    <row r="244" spans="3:21" x14ac:dyDescent="0.3">
      <c r="C244" s="21"/>
      <c r="D244" s="1"/>
      <c r="E244" s="1"/>
      <c r="F244" s="1"/>
      <c r="G244" s="1"/>
      <c r="H244" s="1"/>
      <c r="I244" s="1"/>
      <c r="J244" s="1"/>
      <c r="L244" s="86"/>
      <c r="M244" s="86"/>
      <c r="N244" s="86"/>
      <c r="O244" s="86"/>
      <c r="P244" s="86"/>
      <c r="Q244" s="86"/>
      <c r="R244" s="86"/>
      <c r="S244" s="86"/>
      <c r="T244" s="86"/>
      <c r="U244" s="1"/>
    </row>
    <row r="245" spans="3:21" x14ac:dyDescent="0.3">
      <c r="C245" s="21"/>
      <c r="D245" s="1"/>
      <c r="E245" s="1"/>
      <c r="F245" s="1"/>
      <c r="G245" s="1"/>
      <c r="H245" s="1"/>
      <c r="I245" s="1"/>
      <c r="J245" s="1"/>
      <c r="L245" s="86"/>
      <c r="M245" s="86"/>
      <c r="N245" s="86"/>
      <c r="O245" s="86"/>
      <c r="P245" s="86"/>
      <c r="Q245" s="86"/>
      <c r="R245" s="86"/>
      <c r="S245" s="86"/>
      <c r="T245" s="86"/>
      <c r="U245" s="1"/>
    </row>
    <row r="246" spans="3:21" x14ac:dyDescent="0.3">
      <c r="C246" s="21"/>
      <c r="D246" s="1"/>
      <c r="E246" s="1"/>
      <c r="F246" s="1"/>
      <c r="G246" s="1"/>
      <c r="H246" s="1"/>
      <c r="I246" s="1"/>
      <c r="J246" s="1"/>
      <c r="L246" s="86"/>
      <c r="M246" s="86"/>
      <c r="N246" s="86"/>
      <c r="O246" s="86"/>
      <c r="P246" s="86"/>
      <c r="Q246" s="86"/>
      <c r="R246" s="86"/>
      <c r="S246" s="86"/>
      <c r="T246" s="86"/>
      <c r="U246" s="1"/>
    </row>
    <row r="247" spans="3:21" x14ac:dyDescent="0.3">
      <c r="C247" s="21"/>
      <c r="D247" s="1"/>
      <c r="E247" s="1"/>
      <c r="F247" s="1"/>
      <c r="G247" s="1"/>
      <c r="H247" s="1"/>
      <c r="I247" s="1"/>
      <c r="J247" s="1"/>
      <c r="L247" s="86"/>
      <c r="M247" s="86"/>
      <c r="N247" s="86"/>
      <c r="O247" s="86"/>
      <c r="P247" s="86"/>
      <c r="Q247" s="86"/>
      <c r="R247" s="86"/>
      <c r="S247" s="86"/>
      <c r="T247" s="86"/>
      <c r="U247" s="1"/>
    </row>
    <row r="248" spans="3:21" x14ac:dyDescent="0.3">
      <c r="C248" s="21"/>
      <c r="D248" s="1"/>
      <c r="E248" s="1"/>
      <c r="F248" s="1"/>
      <c r="G248" s="1"/>
      <c r="H248" s="1"/>
      <c r="I248" s="1"/>
      <c r="J248" s="1"/>
      <c r="L248" s="86"/>
      <c r="M248" s="86"/>
      <c r="N248" s="86"/>
      <c r="O248" s="86"/>
      <c r="P248" s="86"/>
      <c r="Q248" s="86"/>
      <c r="R248" s="86"/>
      <c r="S248" s="86"/>
      <c r="T248" s="86"/>
      <c r="U248" s="1"/>
    </row>
    <row r="249" spans="3:21" x14ac:dyDescent="0.3">
      <c r="C249" s="21"/>
      <c r="D249" s="1"/>
      <c r="E249" s="1"/>
      <c r="F249" s="1"/>
      <c r="G249" s="1"/>
      <c r="H249" s="1"/>
      <c r="I249" s="1"/>
      <c r="J249" s="1"/>
      <c r="L249" s="86"/>
      <c r="M249" s="86"/>
      <c r="N249" s="86"/>
      <c r="O249" s="86"/>
      <c r="P249" s="86"/>
      <c r="Q249" s="86"/>
      <c r="R249" s="86"/>
      <c r="S249" s="86"/>
      <c r="T249" s="86"/>
      <c r="U249" s="1"/>
    </row>
    <row r="250" spans="3:21" x14ac:dyDescent="0.3">
      <c r="C250" s="21"/>
      <c r="D250" s="1"/>
      <c r="E250" s="1"/>
      <c r="F250" s="1"/>
      <c r="G250" s="1"/>
      <c r="H250" s="1"/>
      <c r="I250" s="1"/>
      <c r="J250" s="1"/>
      <c r="L250" s="86"/>
      <c r="M250" s="86"/>
      <c r="N250" s="86"/>
      <c r="O250" s="86"/>
      <c r="P250" s="86"/>
      <c r="Q250" s="86"/>
      <c r="R250" s="86"/>
      <c r="S250" s="86"/>
      <c r="T250" s="86"/>
      <c r="U250" s="1"/>
    </row>
    <row r="251" spans="3:21" x14ac:dyDescent="0.3">
      <c r="C251" s="21"/>
      <c r="D251" s="1"/>
      <c r="E251" s="1"/>
      <c r="F251" s="1"/>
      <c r="G251" s="1"/>
      <c r="H251" s="1"/>
      <c r="I251" s="1"/>
      <c r="J251" s="1"/>
      <c r="L251" s="86"/>
      <c r="M251" s="86"/>
      <c r="N251" s="86"/>
      <c r="O251" s="86"/>
      <c r="P251" s="86"/>
      <c r="Q251" s="86"/>
      <c r="R251" s="86"/>
      <c r="S251" s="86"/>
      <c r="T251" s="86"/>
      <c r="U251" s="1"/>
    </row>
    <row r="252" spans="3:21" x14ac:dyDescent="0.3">
      <c r="C252" s="21"/>
      <c r="D252" s="1"/>
      <c r="E252" s="1"/>
      <c r="F252" s="1"/>
      <c r="G252" s="1"/>
      <c r="H252" s="1"/>
      <c r="I252" s="1"/>
      <c r="J252" s="1"/>
      <c r="L252" s="86"/>
      <c r="M252" s="86"/>
      <c r="N252" s="86"/>
      <c r="O252" s="86"/>
      <c r="P252" s="86"/>
      <c r="Q252" s="86"/>
      <c r="R252" s="86"/>
      <c r="S252" s="86"/>
      <c r="T252" s="86"/>
      <c r="U252" s="1"/>
    </row>
    <row r="253" spans="3:21" x14ac:dyDescent="0.3">
      <c r="C253" s="21"/>
      <c r="D253" s="1"/>
      <c r="E253" s="1"/>
      <c r="F253" s="1"/>
      <c r="G253" s="1"/>
      <c r="H253" s="1"/>
      <c r="I253" s="1"/>
      <c r="J253" s="1"/>
      <c r="L253" s="86"/>
      <c r="M253" s="86"/>
      <c r="N253" s="86"/>
      <c r="O253" s="86"/>
      <c r="P253" s="86"/>
      <c r="Q253" s="86"/>
      <c r="R253" s="86"/>
      <c r="S253" s="86"/>
      <c r="T253" s="86"/>
      <c r="U253" s="1"/>
    </row>
    <row r="254" spans="3:21" x14ac:dyDescent="0.3">
      <c r="C254" s="21"/>
      <c r="D254" s="1"/>
      <c r="E254" s="1"/>
      <c r="F254" s="1"/>
      <c r="G254" s="1"/>
      <c r="H254" s="1"/>
      <c r="I254" s="1"/>
      <c r="J254" s="1"/>
      <c r="L254" s="86"/>
      <c r="M254" s="86"/>
      <c r="N254" s="86"/>
      <c r="O254" s="86"/>
      <c r="P254" s="86"/>
      <c r="Q254" s="86"/>
      <c r="R254" s="86"/>
      <c r="S254" s="86"/>
      <c r="T254" s="86"/>
      <c r="U254" s="1"/>
    </row>
    <row r="255" spans="3:21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86"/>
      <c r="N255" s="86"/>
      <c r="O255" s="86"/>
      <c r="P255" s="86"/>
      <c r="Q255" s="86"/>
      <c r="R255" s="86"/>
      <c r="S255" s="86"/>
      <c r="T255" s="86"/>
      <c r="U255" s="1"/>
    </row>
    <row r="256" spans="3:21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86"/>
      <c r="N256" s="86"/>
      <c r="O256" s="86"/>
      <c r="P256" s="86"/>
      <c r="Q256" s="86"/>
      <c r="R256" s="86"/>
      <c r="S256" s="86"/>
      <c r="T256" s="86"/>
      <c r="U256" s="1"/>
    </row>
    <row r="257" spans="3:21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86"/>
      <c r="N257" s="86"/>
      <c r="O257" s="86"/>
      <c r="P257" s="86"/>
      <c r="Q257" s="86"/>
      <c r="R257" s="86"/>
      <c r="S257" s="86"/>
      <c r="T257" s="86"/>
      <c r="U257" s="1"/>
    </row>
    <row r="258" spans="3:21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86"/>
      <c r="N258" s="86"/>
      <c r="O258" s="86"/>
      <c r="P258" s="86"/>
      <c r="Q258" s="86"/>
      <c r="R258" s="86"/>
      <c r="S258" s="86"/>
      <c r="T258" s="86"/>
      <c r="U258" s="1"/>
    </row>
    <row r="259" spans="3:21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86"/>
      <c r="N259" s="86"/>
      <c r="O259" s="86"/>
      <c r="P259" s="86"/>
      <c r="Q259" s="86"/>
      <c r="R259" s="86"/>
      <c r="S259" s="86"/>
      <c r="T259" s="86"/>
      <c r="U259" s="1"/>
    </row>
    <row r="260" spans="3:21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86"/>
      <c r="N260" s="86"/>
      <c r="O260" s="86"/>
      <c r="P260" s="86"/>
      <c r="Q260" s="86"/>
      <c r="R260" s="86"/>
      <c r="S260" s="86"/>
      <c r="T260" s="86"/>
      <c r="U260" s="1"/>
    </row>
    <row r="261" spans="3:21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86"/>
      <c r="N261" s="86"/>
      <c r="O261" s="86"/>
      <c r="P261" s="86"/>
      <c r="Q261" s="86"/>
      <c r="R261" s="86"/>
      <c r="S261" s="86"/>
      <c r="T261" s="86"/>
      <c r="U261" s="1"/>
    </row>
    <row r="262" spans="3:21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86"/>
      <c r="N262" s="86"/>
      <c r="O262" s="86"/>
      <c r="P262" s="86"/>
      <c r="Q262" s="86"/>
      <c r="R262" s="86"/>
      <c r="S262" s="86"/>
      <c r="T262" s="86"/>
      <c r="U262" s="1"/>
    </row>
    <row r="263" spans="3:21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86"/>
      <c r="N263" s="86"/>
      <c r="O263" s="86"/>
      <c r="P263" s="86"/>
      <c r="Q263" s="86"/>
      <c r="R263" s="86"/>
      <c r="S263" s="86"/>
      <c r="T263" s="86"/>
      <c r="U263" s="1"/>
    </row>
    <row r="264" spans="3:21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86"/>
      <c r="N264" s="86"/>
      <c r="O264" s="86"/>
      <c r="P264" s="86"/>
      <c r="Q264" s="86"/>
      <c r="R264" s="86"/>
      <c r="S264" s="86"/>
      <c r="T264" s="86"/>
      <c r="U264" s="1"/>
    </row>
    <row r="265" spans="3:21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86"/>
      <c r="N265" s="86"/>
      <c r="O265" s="86"/>
      <c r="P265" s="86"/>
      <c r="Q265" s="86"/>
      <c r="R265" s="86"/>
      <c r="S265" s="86"/>
      <c r="T265" s="86"/>
      <c r="U265" s="1"/>
    </row>
    <row r="266" spans="3:21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</row>
    <row r="267" spans="3:21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</row>
    <row r="268" spans="3:21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</row>
    <row r="269" spans="3:21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</row>
    <row r="270" spans="3:21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</row>
    <row r="271" spans="3:21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</row>
    <row r="272" spans="3:21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</row>
    <row r="273" spans="3:21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</row>
    <row r="274" spans="3:21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</row>
    <row r="275" spans="3:21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</row>
    <row r="276" spans="3:21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</row>
    <row r="277" spans="3:21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</row>
    <row r="278" spans="3:21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</row>
    <row r="279" spans="3:21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</row>
    <row r="280" spans="3:21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</row>
    <row r="281" spans="3:21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</row>
    <row r="282" spans="3:21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</row>
    <row r="283" spans="3:21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</row>
    <row r="284" spans="3:21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</row>
    <row r="285" spans="3:21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</row>
    <row r="286" spans="3:21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</row>
    <row r="287" spans="3:21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</row>
    <row r="288" spans="3:21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  <c r="V294" s="88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ht="13.5" customHeight="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25"/>
      <c r="K332" s="8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25"/>
      <c r="K333" s="8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25"/>
      <c r="K334" s="8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25"/>
      <c r="K335" s="8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1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1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1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1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1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1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1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1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1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1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1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1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1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1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1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1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  <c r="V398" s="96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1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1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1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1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1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1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1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1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1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1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1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1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1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1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1" x14ac:dyDescent="0.3">
      <c r="C447" s="21"/>
      <c r="D447" s="1"/>
      <c r="E447" s="1"/>
      <c r="F447" s="1"/>
      <c r="G447" s="1"/>
      <c r="H447" s="1"/>
      <c r="I447" s="1"/>
      <c r="J447" s="1"/>
      <c r="L447" s="97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1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  <c r="V495" s="83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1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1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1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1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1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1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1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1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1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1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1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1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1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1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1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1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1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1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1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1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1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1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1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1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1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1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1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1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1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1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1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1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25"/>
      <c r="K552" s="8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25"/>
      <c r="K609" s="8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25"/>
      <c r="K610" s="8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25"/>
      <c r="K611" s="8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25"/>
      <c r="K612" s="8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25"/>
      <c r="K613" s="8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25"/>
      <c r="K614" s="8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25"/>
      <c r="K615" s="8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25"/>
      <c r="K616" s="8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  <c r="V625" s="83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  <c r="V636" s="83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1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1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1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1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1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1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1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1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1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1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1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1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1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1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1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1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1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1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1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1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1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1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1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1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1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1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1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1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1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1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1" x14ac:dyDescent="0.3">
      <c r="C783" s="21"/>
      <c r="D783" s="1"/>
      <c r="E783" s="1"/>
      <c r="F783" s="1"/>
      <c r="G783" s="1"/>
      <c r="H783" s="1"/>
      <c r="I783" s="1"/>
      <c r="J783" s="25"/>
      <c r="K783" s="8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1" x14ac:dyDescent="0.3">
      <c r="C784" s="21"/>
      <c r="D784" s="1"/>
      <c r="E784" s="1"/>
      <c r="F784" s="1"/>
      <c r="G784" s="1"/>
      <c r="H784" s="1"/>
      <c r="I784" s="1"/>
      <c r="J784" s="25"/>
      <c r="K784" s="8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25"/>
      <c r="K785" s="8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25"/>
      <c r="K786" s="8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25"/>
      <c r="K787" s="8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25"/>
      <c r="K788" s="8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25"/>
      <c r="K789" s="8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25"/>
      <c r="K798" s="8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25"/>
      <c r="K799" s="8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25"/>
      <c r="K800" s="8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25"/>
      <c r="K801" s="8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25"/>
      <c r="K802" s="8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25"/>
      <c r="K803" s="8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25"/>
      <c r="K804" s="8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25"/>
      <c r="K805" s="8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25"/>
      <c r="K806" s="8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25"/>
      <c r="K845" s="8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25"/>
      <c r="K846" s="8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25"/>
      <c r="K847" s="8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25"/>
      <c r="K848" s="8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25"/>
      <c r="K849" s="8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25"/>
      <c r="K850" s="8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25"/>
      <c r="K851" s="8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25"/>
      <c r="K852" s="8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25"/>
      <c r="K853" s="8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25"/>
      <c r="K854" s="8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  <c r="V889" s="92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  <c r="V925" s="92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25"/>
      <c r="K1125" s="8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C1126" s="21"/>
      <c r="D1126" s="1"/>
      <c r="E1126" s="1"/>
      <c r="F1126" s="1"/>
      <c r="G1126" s="1"/>
      <c r="H1126" s="1"/>
      <c r="I1126" s="1"/>
      <c r="J1126" s="25"/>
      <c r="K1126" s="81"/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C1127" s="21"/>
      <c r="D1127" s="1"/>
      <c r="E1127" s="1"/>
      <c r="F1127" s="1"/>
      <c r="G1127" s="1"/>
      <c r="H1127" s="1"/>
      <c r="I1127" s="1"/>
      <c r="J1127" s="25"/>
      <c r="K1127" s="81"/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C1128" s="21"/>
      <c r="D1128" s="1"/>
      <c r="E1128" s="1"/>
      <c r="F1128" s="1"/>
      <c r="G1128" s="1"/>
      <c r="H1128" s="1"/>
      <c r="I1128" s="1"/>
      <c r="J1128" s="25"/>
      <c r="K1128" s="81"/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C1129" s="21"/>
      <c r="D1129" s="1"/>
      <c r="E1129" s="1"/>
      <c r="F1129" s="1"/>
      <c r="G1129" s="1"/>
      <c r="H1129" s="1"/>
      <c r="I1129" s="1"/>
      <c r="J1129" s="25"/>
      <c r="K1129" s="81"/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C1130" s="21"/>
      <c r="D1130" s="1"/>
      <c r="E1130" s="1"/>
      <c r="F1130" s="1"/>
      <c r="G1130" s="1"/>
      <c r="H1130" s="1"/>
      <c r="I1130" s="1"/>
      <c r="J1130" s="25"/>
      <c r="K1130" s="81"/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C1131" s="21"/>
      <c r="D1131" s="1"/>
      <c r="E1131" s="1"/>
      <c r="F1131" s="1"/>
      <c r="G1131" s="1"/>
      <c r="H1131" s="1"/>
      <c r="I1131" s="1"/>
      <c r="J1131" s="25"/>
      <c r="K1131" s="81"/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C1132" s="21"/>
      <c r="D1132" s="1"/>
      <c r="E1132" s="1"/>
      <c r="F1132" s="1"/>
      <c r="G1132" s="1"/>
      <c r="H1132" s="1"/>
      <c r="I1132" s="1"/>
      <c r="J1132" s="25"/>
      <c r="K1132" s="81"/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C1133" s="21"/>
      <c r="D1133" s="1"/>
      <c r="E1133" s="1"/>
      <c r="F1133" s="1"/>
      <c r="G1133" s="1"/>
      <c r="H1133" s="1"/>
      <c r="I1133" s="1"/>
      <c r="J1133" s="25"/>
      <c r="K1133" s="81"/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C1134" s="21"/>
      <c r="D1134" s="1"/>
      <c r="E1134" s="1"/>
      <c r="F1134" s="1"/>
      <c r="G1134" s="1"/>
      <c r="H1134" s="1"/>
      <c r="I1134" s="1"/>
      <c r="J1134" s="25"/>
      <c r="K1134" s="81"/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C1135" s="21"/>
      <c r="D1135" s="1"/>
      <c r="E1135" s="1"/>
      <c r="F1135" s="1"/>
      <c r="G1135" s="1"/>
      <c r="H1135" s="1"/>
      <c r="I1135" s="1"/>
      <c r="J1135" s="25"/>
      <c r="K1135" s="81"/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C1136" s="21"/>
      <c r="D1136" s="1"/>
      <c r="E1136" s="1"/>
      <c r="F1136" s="1"/>
      <c r="G1136" s="1"/>
      <c r="H1136" s="1"/>
      <c r="I1136" s="1"/>
      <c r="J1136" s="25"/>
      <c r="K1136" s="81"/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3:21" x14ac:dyDescent="0.3">
      <c r="C1137" s="21"/>
      <c r="D1137" s="1"/>
      <c r="E1137" s="1"/>
      <c r="F1137" s="1"/>
      <c r="G1137" s="1"/>
      <c r="H1137" s="1"/>
      <c r="I1137" s="1"/>
      <c r="J1137" s="25"/>
      <c r="K1137" s="81"/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3:21" x14ac:dyDescent="0.3">
      <c r="C1138" s="21"/>
      <c r="D1138" s="1"/>
      <c r="E1138" s="1"/>
      <c r="F1138" s="1"/>
      <c r="G1138" s="1"/>
      <c r="H1138" s="1"/>
      <c r="I1138" s="1"/>
      <c r="J1138" s="25"/>
      <c r="K1138" s="81"/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3:21" x14ac:dyDescent="0.3">
      <c r="C1139" s="21"/>
      <c r="D1139" s="1"/>
      <c r="E1139" s="1"/>
      <c r="F1139" s="1"/>
      <c r="G1139" s="1"/>
      <c r="H1139" s="1"/>
      <c r="I1139" s="1"/>
      <c r="J1139" s="25"/>
      <c r="K1139" s="81"/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3:21" x14ac:dyDescent="0.3">
      <c r="C1140" s="21"/>
      <c r="D1140" s="1"/>
      <c r="E1140" s="1"/>
      <c r="F1140" s="1"/>
      <c r="G1140" s="1"/>
      <c r="H1140" s="1"/>
      <c r="I1140" s="1"/>
      <c r="J1140" s="25"/>
      <c r="K1140" s="81"/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3:21" x14ac:dyDescent="0.3">
      <c r="C1141" s="21"/>
      <c r="D1141" s="1"/>
      <c r="E1141" s="1"/>
      <c r="F1141" s="1"/>
      <c r="G1141" s="1"/>
      <c r="H1141" s="1"/>
      <c r="I1141" s="1"/>
      <c r="J1141" s="25"/>
      <c r="K1141" s="81"/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3:21" x14ac:dyDescent="0.3">
      <c r="C1142" s="21"/>
      <c r="D1142" s="1"/>
      <c r="E1142" s="1"/>
      <c r="F1142" s="1"/>
      <c r="G1142" s="1"/>
      <c r="H1142" s="1"/>
      <c r="I1142" s="1"/>
      <c r="J1142" s="25"/>
      <c r="K1142" s="81"/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3:21" x14ac:dyDescent="0.3">
      <c r="C1143" s="21"/>
      <c r="D1143" s="1"/>
      <c r="E1143" s="1"/>
      <c r="F1143" s="1"/>
      <c r="G1143" s="1"/>
      <c r="H1143" s="1"/>
      <c r="I1143" s="1"/>
      <c r="J1143" s="1"/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3:21" x14ac:dyDescent="0.3">
      <c r="C1144" s="21"/>
      <c r="D1144" s="1"/>
      <c r="E1144" s="1"/>
      <c r="F1144" s="1"/>
      <c r="G1144" s="1"/>
      <c r="H1144" s="1"/>
      <c r="I1144" s="1"/>
      <c r="J1144" s="1"/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3:21" x14ac:dyDescent="0.3">
      <c r="C1145" s="21"/>
      <c r="D1145" s="1"/>
      <c r="E1145" s="1"/>
      <c r="F1145" s="1"/>
      <c r="G1145" s="1"/>
      <c r="H1145" s="1"/>
      <c r="I1145" s="1"/>
      <c r="J1145" s="1"/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3:21" x14ac:dyDescent="0.3">
      <c r="C1146" s="21"/>
      <c r="D1146" s="1"/>
      <c r="E1146" s="1"/>
      <c r="F1146" s="1"/>
      <c r="G1146" s="1"/>
      <c r="H1146" s="1"/>
      <c r="I1146" s="1"/>
      <c r="J1146" s="1"/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3:21" x14ac:dyDescent="0.3">
      <c r="C1147" s="21"/>
      <c r="D1147" s="1"/>
      <c r="E1147" s="1"/>
      <c r="F1147" s="1"/>
      <c r="G1147" s="1"/>
      <c r="H1147" s="1"/>
      <c r="I1147" s="1"/>
      <c r="J1147" s="1"/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3:21" x14ac:dyDescent="0.3">
      <c r="C1148" s="21"/>
      <c r="D1148" s="1"/>
      <c r="E1148" s="1"/>
      <c r="F1148" s="1"/>
      <c r="G1148" s="1"/>
      <c r="H1148" s="1"/>
      <c r="I1148" s="1"/>
      <c r="J1148" s="1"/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3:21" x14ac:dyDescent="0.3">
      <c r="C1149" s="21"/>
      <c r="D1149" s="1"/>
      <c r="E1149" s="1"/>
      <c r="F1149" s="1"/>
      <c r="G1149" s="1"/>
      <c r="H1149" s="1"/>
      <c r="I1149" s="1"/>
      <c r="J1149" s="1"/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3:21" x14ac:dyDescent="0.3">
      <c r="C1150" s="21"/>
      <c r="D1150" s="1"/>
      <c r="E1150" s="1"/>
      <c r="F1150" s="1"/>
      <c r="G1150" s="1"/>
      <c r="H1150" s="1"/>
      <c r="I1150" s="1"/>
      <c r="J1150" s="1"/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3:21" x14ac:dyDescent="0.3">
      <c r="C1151" s="21"/>
      <c r="D1151" s="1"/>
      <c r="E1151" s="1"/>
      <c r="F1151" s="1"/>
      <c r="G1151" s="1"/>
      <c r="H1151" s="1"/>
      <c r="I1151" s="1"/>
      <c r="J1151" s="1"/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3:21" x14ac:dyDescent="0.3">
      <c r="C1152" s="21"/>
      <c r="D1152" s="1"/>
      <c r="E1152" s="1"/>
      <c r="F1152" s="1"/>
      <c r="G1152" s="1"/>
      <c r="H1152" s="1"/>
      <c r="I1152" s="1"/>
      <c r="J1152" s="1"/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3:21" x14ac:dyDescent="0.3">
      <c r="C1153" s="21"/>
      <c r="D1153" s="1"/>
      <c r="E1153" s="1"/>
      <c r="F1153" s="1"/>
      <c r="G1153" s="1"/>
      <c r="H1153" s="1"/>
      <c r="I1153" s="1"/>
      <c r="J1153" s="1"/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3:21" x14ac:dyDescent="0.3">
      <c r="C1154" s="21"/>
      <c r="D1154" s="1"/>
      <c r="E1154" s="1"/>
      <c r="F1154" s="1"/>
      <c r="G1154" s="1"/>
      <c r="H1154" s="1"/>
      <c r="I1154" s="1"/>
      <c r="J1154" s="1"/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3:21" x14ac:dyDescent="0.3">
      <c r="C1155" s="21"/>
      <c r="D1155" s="1"/>
      <c r="E1155" s="1"/>
      <c r="F1155" s="1"/>
      <c r="G1155" s="1"/>
      <c r="H1155" s="1"/>
      <c r="I1155" s="1"/>
      <c r="J1155" s="1"/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3:21" x14ac:dyDescent="0.3">
      <c r="C1156" s="21"/>
      <c r="D1156" s="1"/>
      <c r="E1156" s="1"/>
      <c r="F1156" s="1"/>
      <c r="G1156" s="1"/>
      <c r="H1156" s="1"/>
      <c r="I1156" s="1"/>
      <c r="J1156" s="1"/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3:21" x14ac:dyDescent="0.3">
      <c r="C1157" s="21"/>
      <c r="D1157" s="1"/>
      <c r="E1157" s="1"/>
      <c r="F1157" s="1"/>
      <c r="G1157" s="1"/>
      <c r="H1157" s="1"/>
      <c r="I1157" s="1"/>
      <c r="J1157" s="1"/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3:21" x14ac:dyDescent="0.3">
      <c r="C1158" s="21"/>
      <c r="D1158" s="1"/>
      <c r="E1158" s="1"/>
      <c r="F1158" s="1"/>
      <c r="G1158" s="1"/>
      <c r="H1158" s="1"/>
      <c r="I1158" s="1"/>
      <c r="J1158" s="1"/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3:21" x14ac:dyDescent="0.3">
      <c r="C1159" s="21"/>
      <c r="D1159" s="1"/>
      <c r="E1159" s="1"/>
      <c r="F1159" s="1"/>
      <c r="G1159" s="1"/>
      <c r="H1159" s="1"/>
      <c r="I1159" s="1"/>
      <c r="J1159" s="1"/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3:21" x14ac:dyDescent="0.3">
      <c r="C1160" s="21"/>
      <c r="D1160" s="1"/>
      <c r="E1160" s="1"/>
      <c r="F1160" s="1"/>
      <c r="G1160" s="1"/>
      <c r="H1160" s="1"/>
      <c r="I1160" s="1"/>
      <c r="J1160" s="1"/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3:21" x14ac:dyDescent="0.3">
      <c r="C1161" s="21"/>
      <c r="D1161" s="1"/>
      <c r="E1161" s="1"/>
      <c r="F1161" s="1"/>
      <c r="G1161" s="1"/>
      <c r="H1161" s="1"/>
      <c r="I1161" s="1"/>
      <c r="J1161" s="1"/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3:21" x14ac:dyDescent="0.3">
      <c r="C1162" s="21"/>
      <c r="D1162" s="1"/>
      <c r="E1162" s="1"/>
      <c r="F1162" s="1"/>
      <c r="G1162" s="1"/>
      <c r="H1162" s="1"/>
      <c r="I1162" s="1"/>
      <c r="J1162" s="1"/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3:21" x14ac:dyDescent="0.3">
      <c r="C1163" s="21"/>
      <c r="D1163" s="1"/>
      <c r="E1163" s="1"/>
      <c r="F1163" s="1"/>
      <c r="G1163" s="1"/>
      <c r="H1163" s="1"/>
      <c r="I1163" s="1"/>
      <c r="J1163" s="1"/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3:21" x14ac:dyDescent="0.3">
      <c r="C1164" s="21"/>
      <c r="D1164" s="1"/>
      <c r="E1164" s="1"/>
      <c r="F1164" s="1"/>
      <c r="G1164" s="1"/>
      <c r="H1164" s="1"/>
      <c r="I1164" s="1"/>
      <c r="J1164" s="1"/>
      <c r="L1164" s="86"/>
      <c r="M1164" s="86"/>
      <c r="N1164" s="86"/>
      <c r="O1164" s="86"/>
      <c r="P1164" s="86"/>
      <c r="Q1164" s="86"/>
      <c r="R1164" s="86"/>
      <c r="S1164" s="86"/>
      <c r="T1164" s="86"/>
      <c r="U1164" s="1"/>
    </row>
    <row r="1165" spans="3:21" x14ac:dyDescent="0.3">
      <c r="C1165" s="21"/>
      <c r="D1165" s="1"/>
      <c r="E1165" s="1"/>
      <c r="F1165" s="1"/>
      <c r="G1165" s="1"/>
      <c r="H1165" s="1"/>
      <c r="I1165" s="1"/>
      <c r="J1165" s="1"/>
      <c r="L1165" s="86"/>
      <c r="M1165" s="86"/>
      <c r="N1165" s="86"/>
      <c r="O1165" s="86"/>
      <c r="P1165" s="86"/>
      <c r="Q1165" s="86"/>
      <c r="R1165" s="86"/>
      <c r="S1165" s="86"/>
      <c r="T1165" s="86"/>
      <c r="U1165" s="1"/>
    </row>
    <row r="1166" spans="3:21" x14ac:dyDescent="0.3">
      <c r="C1166" s="21"/>
      <c r="D1166" s="1"/>
      <c r="E1166" s="1"/>
      <c r="F1166" s="1"/>
      <c r="G1166" s="1"/>
      <c r="H1166" s="1"/>
      <c r="I1166" s="1"/>
      <c r="J1166" s="1"/>
      <c r="L1166" s="86"/>
      <c r="M1166" s="86"/>
      <c r="N1166" s="86"/>
      <c r="O1166" s="86"/>
      <c r="P1166" s="86"/>
      <c r="Q1166" s="86"/>
      <c r="R1166" s="86"/>
      <c r="S1166" s="86"/>
      <c r="T1166" s="86"/>
      <c r="U1166" s="1"/>
    </row>
    <row r="1167" spans="3:21" x14ac:dyDescent="0.3">
      <c r="C1167" s="21"/>
      <c r="D1167" s="1"/>
      <c r="E1167" s="1"/>
      <c r="F1167" s="1"/>
      <c r="G1167" s="1"/>
      <c r="H1167" s="1"/>
      <c r="I1167" s="1"/>
      <c r="J1167" s="1"/>
      <c r="L1167" s="86"/>
      <c r="M1167" s="86"/>
      <c r="N1167" s="86"/>
      <c r="O1167" s="86"/>
      <c r="P1167" s="86"/>
      <c r="Q1167" s="86"/>
      <c r="R1167" s="86"/>
      <c r="S1167" s="86"/>
      <c r="T1167" s="86"/>
      <c r="U1167" s="1"/>
    </row>
    <row r="1168" spans="3:21" x14ac:dyDescent="0.3">
      <c r="C1168" s="21"/>
      <c r="D1168" s="1"/>
      <c r="E1168" s="1"/>
      <c r="F1168" s="1"/>
      <c r="G1168" s="1"/>
      <c r="H1168" s="1"/>
      <c r="I1168" s="1"/>
      <c r="J1168" s="1"/>
      <c r="L1168" s="86"/>
      <c r="M1168" s="86"/>
      <c r="N1168" s="86"/>
      <c r="O1168" s="86"/>
      <c r="P1168" s="86"/>
      <c r="Q1168" s="86"/>
      <c r="R1168" s="86"/>
      <c r="S1168" s="86"/>
      <c r="T1168" s="86"/>
      <c r="U1168" s="1"/>
    </row>
    <row r="1169" spans="3:21" x14ac:dyDescent="0.3">
      <c r="C1169" s="21"/>
      <c r="D1169" s="1"/>
      <c r="E1169" s="1"/>
      <c r="F1169" s="1"/>
      <c r="G1169" s="1"/>
      <c r="H1169" s="1"/>
      <c r="I1169" s="1"/>
      <c r="J1169" s="1"/>
      <c r="L1169" s="86"/>
      <c r="M1169" s="86"/>
      <c r="N1169" s="86"/>
      <c r="O1169" s="86"/>
      <c r="P1169" s="86"/>
      <c r="Q1169" s="86"/>
      <c r="R1169" s="86"/>
      <c r="S1169" s="86"/>
      <c r="T1169" s="86"/>
      <c r="U1169" s="1"/>
    </row>
    <row r="1170" spans="3:21" x14ac:dyDescent="0.3">
      <c r="C1170" s="21"/>
      <c r="D1170" s="1"/>
      <c r="E1170" s="1"/>
      <c r="F1170" s="1"/>
      <c r="G1170" s="1"/>
      <c r="H1170" s="1"/>
      <c r="I1170" s="1"/>
      <c r="J1170" s="1"/>
      <c r="L1170" s="86"/>
      <c r="M1170" s="86"/>
      <c r="N1170" s="86"/>
      <c r="O1170" s="86"/>
      <c r="P1170" s="86"/>
      <c r="Q1170" s="86"/>
      <c r="R1170" s="86"/>
      <c r="S1170" s="86"/>
      <c r="T1170" s="86"/>
      <c r="U1170" s="1"/>
    </row>
    <row r="1171" spans="3:21" x14ac:dyDescent="0.3">
      <c r="C1171" s="21"/>
      <c r="D1171" s="1"/>
      <c r="E1171" s="1"/>
      <c r="F1171" s="1"/>
      <c r="G1171" s="1"/>
      <c r="H1171" s="1"/>
      <c r="I1171" s="1"/>
      <c r="J1171" s="1"/>
      <c r="L1171" s="86"/>
      <c r="M1171" s="86"/>
      <c r="N1171" s="86"/>
      <c r="O1171" s="86"/>
      <c r="P1171" s="86"/>
      <c r="Q1171" s="86"/>
      <c r="R1171" s="86"/>
      <c r="S1171" s="86"/>
      <c r="T1171" s="86"/>
      <c r="U1171" s="1"/>
    </row>
    <row r="1172" spans="3:21" x14ac:dyDescent="0.3">
      <c r="C1172" s="21"/>
      <c r="D1172" s="1"/>
      <c r="E1172" s="1"/>
      <c r="F1172" s="1"/>
      <c r="G1172" s="1"/>
      <c r="H1172" s="1"/>
      <c r="I1172" s="1"/>
      <c r="J1172" s="1"/>
      <c r="L1172" s="86"/>
      <c r="M1172" s="86"/>
      <c r="N1172" s="86"/>
      <c r="O1172" s="86"/>
      <c r="P1172" s="86"/>
      <c r="Q1172" s="86"/>
      <c r="R1172" s="86"/>
      <c r="S1172" s="86"/>
      <c r="T1172" s="86"/>
      <c r="U1172" s="1"/>
    </row>
    <row r="1173" spans="3:21" x14ac:dyDescent="0.3">
      <c r="C1173" s="21"/>
      <c r="D1173" s="1"/>
      <c r="E1173" s="1"/>
      <c r="F1173" s="1"/>
      <c r="G1173" s="1"/>
      <c r="H1173" s="1"/>
      <c r="I1173" s="1"/>
      <c r="J1173" s="1"/>
      <c r="L1173" s="86"/>
      <c r="M1173" s="86"/>
      <c r="N1173" s="86"/>
      <c r="O1173" s="86"/>
      <c r="P1173" s="86"/>
      <c r="Q1173" s="86"/>
      <c r="R1173" s="86"/>
      <c r="S1173" s="86"/>
      <c r="T1173" s="86"/>
      <c r="U1173" s="1"/>
    </row>
    <row r="1174" spans="3:21" x14ac:dyDescent="0.3">
      <c r="C1174" s="21"/>
      <c r="D1174" s="1"/>
      <c r="E1174" s="1"/>
      <c r="F1174" s="1"/>
      <c r="G1174" s="1"/>
      <c r="H1174" s="1"/>
      <c r="I1174" s="1"/>
      <c r="J1174" s="1"/>
      <c r="L1174" s="86"/>
      <c r="M1174" s="86"/>
      <c r="N1174" s="86"/>
      <c r="O1174" s="86"/>
      <c r="P1174" s="86"/>
      <c r="Q1174" s="86"/>
      <c r="R1174" s="86"/>
      <c r="S1174" s="86"/>
      <c r="T1174" s="86"/>
      <c r="U1174" s="1"/>
    </row>
    <row r="1175" spans="3:21" x14ac:dyDescent="0.3">
      <c r="C1175" s="21"/>
      <c r="D1175" s="1"/>
      <c r="E1175" s="1"/>
      <c r="F1175" s="1"/>
      <c r="G1175" s="1"/>
      <c r="H1175" s="1"/>
      <c r="I1175" s="1"/>
      <c r="J1175" s="1"/>
      <c r="L1175" s="86"/>
      <c r="M1175" s="86"/>
      <c r="N1175" s="86"/>
      <c r="O1175" s="86"/>
      <c r="P1175" s="86"/>
      <c r="Q1175" s="86"/>
      <c r="R1175" s="86"/>
      <c r="S1175" s="86"/>
      <c r="T1175" s="86"/>
      <c r="U1175" s="1"/>
    </row>
    <row r="1176" spans="3:21" x14ac:dyDescent="0.3">
      <c r="C1176" s="21"/>
      <c r="D1176" s="1"/>
      <c r="E1176" s="1"/>
      <c r="F1176" s="1"/>
      <c r="G1176" s="1"/>
      <c r="H1176" s="1"/>
      <c r="I1176" s="1"/>
      <c r="J1176" s="1"/>
      <c r="L1176" s="86"/>
      <c r="M1176" s="86"/>
      <c r="N1176" s="86"/>
      <c r="O1176" s="86"/>
      <c r="P1176" s="86"/>
      <c r="Q1176" s="86"/>
      <c r="R1176" s="86"/>
      <c r="S1176" s="86"/>
      <c r="T1176" s="86"/>
      <c r="U1176" s="1"/>
    </row>
    <row r="1177" spans="3:21" x14ac:dyDescent="0.3">
      <c r="C1177" s="21"/>
      <c r="D1177" s="1"/>
      <c r="E1177" s="1"/>
      <c r="F1177" s="1"/>
      <c r="G1177" s="1"/>
      <c r="H1177" s="1"/>
      <c r="I1177" s="1"/>
      <c r="J1177" s="1"/>
      <c r="L1177" s="86"/>
      <c r="M1177" s="86"/>
      <c r="N1177" s="86"/>
      <c r="O1177" s="86"/>
      <c r="P1177" s="86"/>
      <c r="Q1177" s="86"/>
      <c r="R1177" s="86"/>
      <c r="S1177" s="86"/>
      <c r="T1177" s="86"/>
      <c r="U1177" s="1"/>
    </row>
    <row r="1178" spans="3:21" x14ac:dyDescent="0.3">
      <c r="C1178" s="21"/>
      <c r="D1178" s="1"/>
      <c r="E1178" s="1"/>
      <c r="F1178" s="1"/>
      <c r="G1178" s="1"/>
      <c r="H1178" s="1"/>
      <c r="I1178" s="1"/>
      <c r="J1178" s="1"/>
      <c r="L1178" s="86"/>
      <c r="M1178" s="86"/>
      <c r="N1178" s="86"/>
      <c r="O1178" s="86"/>
      <c r="P1178" s="86"/>
      <c r="Q1178" s="86"/>
      <c r="R1178" s="86"/>
      <c r="S1178" s="86"/>
      <c r="T1178" s="86"/>
      <c r="U1178" s="1"/>
    </row>
    <row r="1179" spans="3:21" x14ac:dyDescent="0.3">
      <c r="C1179" s="21"/>
      <c r="D1179" s="1"/>
      <c r="E1179" s="1"/>
      <c r="F1179" s="1"/>
      <c r="G1179" s="1"/>
      <c r="H1179" s="1"/>
      <c r="I1179" s="1"/>
      <c r="J1179" s="1"/>
      <c r="L1179" s="86"/>
      <c r="M1179" s="86"/>
      <c r="N1179" s="86"/>
      <c r="O1179" s="86"/>
      <c r="P1179" s="86"/>
      <c r="Q1179" s="86"/>
      <c r="R1179" s="86"/>
      <c r="S1179" s="86"/>
      <c r="T1179" s="86"/>
      <c r="U1179" s="1"/>
    </row>
    <row r="1180" spans="3:21" x14ac:dyDescent="0.3">
      <c r="C1180" s="21"/>
      <c r="D1180" s="1"/>
      <c r="E1180" s="1"/>
      <c r="F1180" s="1"/>
      <c r="G1180" s="1"/>
      <c r="H1180" s="1"/>
      <c r="I1180" s="1"/>
      <c r="J1180" s="1"/>
      <c r="L1180" s="86"/>
      <c r="M1180" s="86"/>
      <c r="N1180" s="86"/>
      <c r="O1180" s="86"/>
      <c r="P1180" s="86"/>
      <c r="Q1180" s="86"/>
      <c r="R1180" s="86"/>
      <c r="S1180" s="86"/>
      <c r="T1180" s="86"/>
      <c r="U1180" s="1"/>
    </row>
    <row r="1181" spans="3:21" x14ac:dyDescent="0.3">
      <c r="C1181" s="21"/>
      <c r="D1181" s="1"/>
      <c r="E1181" s="1"/>
      <c r="F1181" s="1"/>
      <c r="G1181" s="1"/>
      <c r="H1181" s="1"/>
      <c r="I1181" s="1"/>
      <c r="J1181" s="1"/>
      <c r="L1181" s="86"/>
      <c r="M1181" s="86"/>
      <c r="N1181" s="86"/>
      <c r="O1181" s="86"/>
      <c r="P1181" s="86"/>
      <c r="Q1181" s="86"/>
      <c r="R1181" s="86"/>
      <c r="S1181" s="86"/>
      <c r="T1181" s="86"/>
      <c r="U1181" s="1"/>
    </row>
    <row r="1182" spans="3:21" x14ac:dyDescent="0.3">
      <c r="C1182" s="21"/>
      <c r="D1182" s="1"/>
      <c r="E1182" s="1"/>
      <c r="F1182" s="1"/>
      <c r="G1182" s="1"/>
      <c r="H1182" s="1"/>
      <c r="I1182" s="1"/>
      <c r="J1182" s="1"/>
      <c r="L1182" s="86"/>
      <c r="M1182" s="86"/>
      <c r="N1182" s="86"/>
      <c r="O1182" s="86"/>
      <c r="P1182" s="86"/>
      <c r="Q1182" s="86"/>
      <c r="R1182" s="86"/>
      <c r="S1182" s="86"/>
      <c r="T1182" s="86"/>
      <c r="U1182" s="1"/>
    </row>
    <row r="1183" spans="3:21" x14ac:dyDescent="0.3">
      <c r="C1183" s="21"/>
      <c r="D1183" s="1"/>
      <c r="E1183" s="1"/>
      <c r="F1183" s="1"/>
      <c r="G1183" s="1"/>
      <c r="H1183" s="1"/>
      <c r="I1183" s="1"/>
      <c r="J1183" s="1"/>
      <c r="L1183" s="86"/>
      <c r="M1183" s="86"/>
      <c r="N1183" s="86"/>
      <c r="O1183" s="86"/>
      <c r="P1183" s="86"/>
      <c r="Q1183" s="86"/>
      <c r="R1183" s="86"/>
      <c r="S1183" s="86"/>
      <c r="T1183" s="86"/>
      <c r="U1183" s="1"/>
    </row>
    <row r="1184" spans="3:21" x14ac:dyDescent="0.3">
      <c r="C1184" s="21"/>
      <c r="D1184" s="1"/>
      <c r="E1184" s="1"/>
      <c r="F1184" s="1"/>
      <c r="G1184" s="1"/>
      <c r="H1184" s="1"/>
      <c r="I1184" s="1"/>
      <c r="J1184" s="1"/>
      <c r="L1184" s="86"/>
      <c r="M1184" s="86"/>
      <c r="N1184" s="86"/>
      <c r="O1184" s="86"/>
      <c r="P1184" s="86"/>
      <c r="Q1184" s="86"/>
      <c r="R1184" s="86"/>
      <c r="S1184" s="86"/>
      <c r="T1184" s="86"/>
      <c r="U1184" s="1"/>
    </row>
    <row r="1185" spans="3:21" x14ac:dyDescent="0.3">
      <c r="C1185" s="21"/>
      <c r="D1185" s="1"/>
      <c r="E1185" s="1"/>
      <c r="F1185" s="1"/>
      <c r="G1185" s="1"/>
      <c r="H1185" s="1"/>
      <c r="I1185" s="1"/>
      <c r="J1185" s="1"/>
      <c r="L1185" s="86"/>
      <c r="M1185" s="86"/>
      <c r="N1185" s="86"/>
      <c r="O1185" s="86"/>
      <c r="P1185" s="86"/>
      <c r="Q1185" s="86"/>
      <c r="R1185" s="86"/>
      <c r="S1185" s="86"/>
      <c r="T1185" s="86"/>
      <c r="U1185" s="1"/>
    </row>
    <row r="1186" spans="3:21" x14ac:dyDescent="0.3">
      <c r="C1186" s="21"/>
      <c r="D1186" s="1"/>
      <c r="E1186" s="1"/>
      <c r="F1186" s="1"/>
      <c r="G1186" s="1"/>
      <c r="H1186" s="1"/>
      <c r="I1186" s="1"/>
      <c r="J1186" s="1"/>
      <c r="L1186" s="86"/>
      <c r="M1186" s="86"/>
      <c r="N1186" s="86"/>
      <c r="O1186" s="86"/>
      <c r="P1186" s="86"/>
      <c r="Q1186" s="86"/>
      <c r="R1186" s="86"/>
      <c r="S1186" s="86"/>
      <c r="T1186" s="86"/>
      <c r="U1186" s="1"/>
    </row>
    <row r="1187" spans="3:21" x14ac:dyDescent="0.3">
      <c r="C1187" s="21"/>
      <c r="D1187" s="1"/>
      <c r="E1187" s="1"/>
      <c r="F1187" s="1"/>
      <c r="G1187" s="1"/>
      <c r="H1187" s="1"/>
      <c r="I1187" s="1"/>
      <c r="J1187" s="1"/>
      <c r="L1187" s="86"/>
      <c r="M1187" s="86"/>
      <c r="N1187" s="86"/>
      <c r="O1187" s="86"/>
      <c r="P1187" s="86"/>
      <c r="Q1187" s="86"/>
      <c r="R1187" s="86"/>
      <c r="S1187" s="86"/>
      <c r="T1187" s="86"/>
      <c r="U1187" s="1"/>
    </row>
    <row r="1188" spans="3:21" x14ac:dyDescent="0.3">
      <c r="C1188" s="21"/>
      <c r="D1188" s="1"/>
      <c r="E1188" s="1"/>
      <c r="F1188" s="1"/>
      <c r="G1188" s="1"/>
      <c r="H1188" s="1"/>
      <c r="I1188" s="1"/>
      <c r="J1188" s="1"/>
      <c r="L1188" s="86"/>
      <c r="M1188" s="86"/>
      <c r="N1188" s="86"/>
      <c r="O1188" s="86"/>
      <c r="P1188" s="86"/>
      <c r="Q1188" s="86"/>
      <c r="R1188" s="86"/>
      <c r="S1188" s="86"/>
      <c r="T1188" s="86"/>
      <c r="U1188" s="1"/>
    </row>
    <row r="1189" spans="3:21" x14ac:dyDescent="0.3">
      <c r="C1189" s="21"/>
      <c r="D1189" s="1"/>
      <c r="E1189" s="1"/>
      <c r="F1189" s="1"/>
      <c r="G1189" s="1"/>
      <c r="H1189" s="1"/>
      <c r="I1189" s="1"/>
      <c r="J1189" s="1"/>
      <c r="L1189" s="86"/>
      <c r="M1189" s="86"/>
      <c r="N1189" s="86"/>
      <c r="O1189" s="86"/>
      <c r="P1189" s="86"/>
      <c r="Q1189" s="86"/>
      <c r="R1189" s="86"/>
      <c r="S1189" s="86"/>
      <c r="T1189" s="86"/>
      <c r="U1189" s="1"/>
    </row>
    <row r="1190" spans="3:21" x14ac:dyDescent="0.3">
      <c r="C1190" s="21"/>
      <c r="D1190" s="1"/>
      <c r="E1190" s="1"/>
      <c r="F1190" s="1"/>
      <c r="G1190" s="1"/>
      <c r="H1190" s="1"/>
      <c r="I1190" s="1"/>
      <c r="J1190" s="1"/>
      <c r="L1190" s="86"/>
      <c r="M1190" s="86"/>
      <c r="N1190" s="86"/>
      <c r="O1190" s="86"/>
      <c r="P1190" s="86"/>
      <c r="Q1190" s="86"/>
      <c r="R1190" s="86"/>
      <c r="S1190" s="86"/>
      <c r="T1190" s="86"/>
      <c r="U1190" s="1"/>
    </row>
    <row r="1191" spans="3:21" x14ac:dyDescent="0.3">
      <c r="C1191" s="21"/>
      <c r="D1191" s="1"/>
      <c r="E1191" s="1"/>
      <c r="F1191" s="1"/>
      <c r="G1191" s="1"/>
      <c r="H1191" s="1"/>
      <c r="I1191" s="1"/>
      <c r="J1191" s="1"/>
      <c r="L1191" s="86"/>
      <c r="M1191" s="86"/>
      <c r="N1191" s="86"/>
      <c r="O1191" s="86"/>
      <c r="P1191" s="86"/>
      <c r="Q1191" s="86"/>
      <c r="R1191" s="86"/>
      <c r="S1191" s="86"/>
      <c r="T1191" s="86"/>
      <c r="U1191" s="1"/>
    </row>
    <row r="1192" spans="3:21" x14ac:dyDescent="0.3">
      <c r="C1192" s="21"/>
      <c r="D1192" s="1"/>
      <c r="E1192" s="1"/>
      <c r="F1192" s="1"/>
      <c r="G1192" s="1"/>
      <c r="H1192" s="1"/>
      <c r="I1192" s="1"/>
      <c r="J1192" s="1"/>
      <c r="L1192" s="86"/>
      <c r="M1192" s="86"/>
      <c r="N1192" s="86"/>
      <c r="O1192" s="86"/>
      <c r="P1192" s="86"/>
      <c r="Q1192" s="86"/>
      <c r="R1192" s="86"/>
      <c r="S1192" s="86"/>
      <c r="T1192" s="86"/>
      <c r="U1192" s="1"/>
    </row>
    <row r="1193" spans="3:21" x14ac:dyDescent="0.3">
      <c r="C1193" s="21"/>
      <c r="D1193" s="1"/>
      <c r="E1193" s="1"/>
      <c r="F1193" s="1"/>
      <c r="G1193" s="1"/>
      <c r="H1193" s="1"/>
      <c r="I1193" s="1"/>
      <c r="J1193" s="1"/>
      <c r="L1193" s="86"/>
      <c r="M1193" s="86"/>
      <c r="N1193" s="86"/>
      <c r="O1193" s="86"/>
      <c r="P1193" s="86"/>
      <c r="Q1193" s="86"/>
      <c r="R1193" s="86"/>
      <c r="S1193" s="86"/>
      <c r="T1193" s="86"/>
      <c r="U1193" s="1"/>
    </row>
    <row r="1194" spans="3:21" x14ac:dyDescent="0.3">
      <c r="C1194" s="21"/>
      <c r="D1194" s="1"/>
      <c r="E1194" s="1"/>
      <c r="F1194" s="1"/>
      <c r="G1194" s="1"/>
      <c r="H1194" s="1"/>
      <c r="I1194" s="1"/>
      <c r="J1194" s="1"/>
      <c r="L1194" s="86"/>
      <c r="M1194" s="86"/>
      <c r="N1194" s="86"/>
      <c r="O1194" s="86"/>
      <c r="P1194" s="86"/>
      <c r="Q1194" s="86"/>
      <c r="R1194" s="86"/>
      <c r="S1194" s="86"/>
      <c r="T1194" s="86"/>
      <c r="U1194" s="1"/>
    </row>
    <row r="1195" spans="3:21" x14ac:dyDescent="0.3">
      <c r="C1195" s="21"/>
      <c r="D1195" s="1"/>
      <c r="E1195" s="1"/>
      <c r="F1195" s="1"/>
      <c r="G1195" s="1"/>
      <c r="H1195" s="1"/>
      <c r="I1195" s="1"/>
      <c r="J1195" s="1"/>
      <c r="L1195" s="86"/>
      <c r="M1195" s="86"/>
      <c r="N1195" s="86"/>
      <c r="O1195" s="86"/>
      <c r="P1195" s="86"/>
      <c r="Q1195" s="86"/>
      <c r="R1195" s="86"/>
      <c r="S1195" s="86"/>
      <c r="T1195" s="86"/>
      <c r="U1195" s="1"/>
    </row>
    <row r="1196" spans="3:21" x14ac:dyDescent="0.3">
      <c r="C1196" s="21"/>
      <c r="D1196" s="1"/>
      <c r="E1196" s="1"/>
      <c r="F1196" s="1"/>
      <c r="G1196" s="1"/>
      <c r="H1196" s="1"/>
      <c r="I1196" s="1"/>
      <c r="J1196" s="1"/>
      <c r="L1196" s="86"/>
      <c r="M1196" s="86"/>
      <c r="N1196" s="86"/>
      <c r="O1196" s="86"/>
      <c r="P1196" s="86"/>
      <c r="Q1196" s="86"/>
      <c r="R1196" s="86"/>
      <c r="S1196" s="86"/>
      <c r="T1196" s="86"/>
      <c r="U1196" s="1"/>
    </row>
    <row r="1197" spans="3:21" x14ac:dyDescent="0.3">
      <c r="C1197" s="21"/>
      <c r="D1197" s="1"/>
      <c r="E1197" s="1"/>
      <c r="F1197" s="1"/>
      <c r="G1197" s="1"/>
      <c r="H1197" s="1"/>
      <c r="I1197" s="1"/>
      <c r="J1197" s="1"/>
      <c r="L1197" s="86"/>
      <c r="M1197" s="86"/>
      <c r="N1197" s="86"/>
      <c r="O1197" s="86"/>
      <c r="P1197" s="86"/>
      <c r="Q1197" s="86"/>
      <c r="R1197" s="86"/>
      <c r="S1197" s="86"/>
      <c r="T1197" s="86"/>
      <c r="U1197" s="1"/>
    </row>
    <row r="1198" spans="3:21" x14ac:dyDescent="0.3">
      <c r="C1198" s="21"/>
      <c r="D1198" s="1"/>
      <c r="E1198" s="1"/>
      <c r="F1198" s="1"/>
      <c r="G1198" s="1"/>
      <c r="H1198" s="1"/>
      <c r="I1198" s="1"/>
      <c r="J1198" s="1"/>
      <c r="L1198" s="86"/>
      <c r="M1198" s="86"/>
      <c r="N1198" s="86"/>
      <c r="O1198" s="86"/>
      <c r="P1198" s="86"/>
      <c r="Q1198" s="86"/>
      <c r="R1198" s="86"/>
      <c r="S1198" s="86"/>
      <c r="T1198" s="86"/>
      <c r="U1198" s="1"/>
    </row>
    <row r="1199" spans="3:21" x14ac:dyDescent="0.3">
      <c r="C1199" s="21"/>
      <c r="D1199" s="1"/>
      <c r="E1199" s="1"/>
      <c r="F1199" s="1"/>
      <c r="G1199" s="1"/>
      <c r="H1199" s="1"/>
      <c r="I1199" s="1"/>
      <c r="J1199" s="1"/>
      <c r="L1199" s="86"/>
      <c r="M1199" s="86"/>
      <c r="N1199" s="86"/>
      <c r="O1199" s="86"/>
      <c r="P1199" s="86"/>
      <c r="Q1199" s="86"/>
      <c r="R1199" s="86"/>
      <c r="S1199" s="86"/>
      <c r="T1199" s="86"/>
      <c r="U1199" s="1"/>
    </row>
    <row r="1200" spans="3:21" x14ac:dyDescent="0.3">
      <c r="C1200" s="21"/>
      <c r="D1200" s="1"/>
      <c r="E1200" s="1"/>
      <c r="F1200" s="1"/>
      <c r="G1200" s="1"/>
      <c r="H1200" s="1"/>
      <c r="I1200" s="1"/>
      <c r="J1200" s="1"/>
      <c r="L1200" s="86"/>
      <c r="M1200" s="86"/>
      <c r="N1200" s="86"/>
      <c r="O1200" s="86"/>
      <c r="P1200" s="86"/>
      <c r="Q1200" s="86"/>
      <c r="R1200" s="86"/>
      <c r="S1200" s="86"/>
      <c r="T1200" s="86"/>
      <c r="U1200" s="1"/>
    </row>
    <row r="1201" spans="3:21" x14ac:dyDescent="0.3">
      <c r="C1201" s="21"/>
      <c r="D1201" s="1"/>
      <c r="E1201" s="1"/>
      <c r="F1201" s="1"/>
      <c r="G1201" s="1"/>
      <c r="H1201" s="1"/>
      <c r="I1201" s="1"/>
      <c r="J1201" s="1"/>
      <c r="L1201" s="86"/>
      <c r="M1201" s="86"/>
      <c r="N1201" s="86"/>
      <c r="O1201" s="86"/>
      <c r="P1201" s="86"/>
      <c r="Q1201" s="86"/>
      <c r="R1201" s="86"/>
      <c r="S1201" s="86"/>
      <c r="T1201" s="86"/>
      <c r="U1201" s="1"/>
    </row>
    <row r="1202" spans="3:21" x14ac:dyDescent="0.3">
      <c r="C1202" s="21"/>
      <c r="D1202" s="1"/>
      <c r="E1202" s="1"/>
      <c r="F1202" s="1"/>
      <c r="G1202" s="1"/>
      <c r="H1202" s="1"/>
      <c r="I1202" s="1"/>
      <c r="J1202" s="1"/>
      <c r="L1202" s="86"/>
      <c r="M1202" s="86"/>
      <c r="N1202" s="86"/>
      <c r="O1202" s="86"/>
      <c r="P1202" s="86"/>
      <c r="Q1202" s="86"/>
      <c r="R1202" s="86"/>
      <c r="S1202" s="86"/>
      <c r="T1202" s="86"/>
      <c r="U1202" s="1"/>
    </row>
    <row r="1203" spans="3:21" x14ac:dyDescent="0.3">
      <c r="C1203" s="21"/>
      <c r="D1203" s="1"/>
      <c r="E1203" s="1"/>
      <c r="F1203" s="1"/>
      <c r="G1203" s="1"/>
      <c r="H1203" s="1"/>
      <c r="I1203" s="1"/>
      <c r="J1203" s="1"/>
      <c r="L1203" s="86"/>
      <c r="M1203" s="86"/>
      <c r="N1203" s="86"/>
      <c r="O1203" s="86"/>
      <c r="P1203" s="86"/>
      <c r="Q1203" s="86"/>
      <c r="R1203" s="86"/>
      <c r="S1203" s="86"/>
      <c r="T1203" s="86"/>
      <c r="U1203" s="1"/>
    </row>
    <row r="1204" spans="3:21" x14ac:dyDescent="0.3">
      <c r="C1204" s="21"/>
      <c r="D1204" s="1"/>
      <c r="E1204" s="1"/>
      <c r="F1204" s="1"/>
      <c r="G1204" s="1"/>
      <c r="H1204" s="1"/>
      <c r="I1204" s="1"/>
      <c r="J1204" s="1"/>
      <c r="L1204" s="86"/>
      <c r="M1204" s="86"/>
      <c r="N1204" s="86"/>
      <c r="O1204" s="86"/>
      <c r="P1204" s="86"/>
      <c r="Q1204" s="86"/>
      <c r="R1204" s="86"/>
      <c r="S1204" s="86"/>
      <c r="T1204" s="86"/>
      <c r="U1204" s="1"/>
    </row>
    <row r="1205" spans="3:21" x14ac:dyDescent="0.3">
      <c r="C1205" s="21"/>
      <c r="D1205" s="1"/>
      <c r="E1205" s="1"/>
      <c r="F1205" s="1"/>
      <c r="G1205" s="1"/>
      <c r="H1205" s="1"/>
      <c r="I1205" s="1"/>
      <c r="J1205" s="1"/>
      <c r="L1205" s="86"/>
      <c r="M1205" s="86"/>
      <c r="N1205" s="86"/>
      <c r="O1205" s="86"/>
      <c r="P1205" s="86"/>
      <c r="Q1205" s="86"/>
      <c r="R1205" s="86"/>
      <c r="S1205" s="86"/>
      <c r="T1205" s="86"/>
      <c r="U1205" s="1"/>
    </row>
    <row r="1206" spans="3:21" x14ac:dyDescent="0.3">
      <c r="C1206" s="21"/>
      <c r="D1206" s="1"/>
      <c r="E1206" s="1"/>
      <c r="F1206" s="1"/>
      <c r="G1206" s="1"/>
      <c r="H1206" s="1"/>
      <c r="I1206" s="1"/>
      <c r="J1206" s="1"/>
      <c r="L1206" s="86"/>
      <c r="M1206" s="86"/>
      <c r="N1206" s="86"/>
      <c r="O1206" s="86"/>
      <c r="P1206" s="86"/>
      <c r="Q1206" s="86"/>
      <c r="R1206" s="86"/>
      <c r="S1206" s="86"/>
      <c r="T1206" s="86"/>
      <c r="U1206" s="1"/>
    </row>
    <row r="1207" spans="3:21" x14ac:dyDescent="0.3">
      <c r="C1207" s="21"/>
      <c r="D1207" s="1"/>
      <c r="E1207" s="1"/>
      <c r="F1207" s="1"/>
      <c r="G1207" s="1"/>
      <c r="H1207" s="1"/>
      <c r="I1207" s="1"/>
      <c r="J1207" s="1"/>
      <c r="L1207" s="86"/>
      <c r="M1207" s="86"/>
      <c r="N1207" s="86"/>
      <c r="O1207" s="86"/>
      <c r="P1207" s="86"/>
      <c r="Q1207" s="86"/>
      <c r="R1207" s="86"/>
      <c r="S1207" s="86"/>
      <c r="T1207" s="86"/>
      <c r="U1207" s="1"/>
    </row>
    <row r="1208" spans="3:21" x14ac:dyDescent="0.3">
      <c r="C1208" s="21"/>
      <c r="D1208" s="1"/>
      <c r="E1208" s="1"/>
      <c r="F1208" s="1"/>
      <c r="G1208" s="1"/>
      <c r="H1208" s="1"/>
      <c r="I1208" s="1"/>
      <c r="J1208" s="1"/>
      <c r="L1208" s="86"/>
      <c r="M1208" s="86"/>
      <c r="N1208" s="86"/>
      <c r="O1208" s="86"/>
      <c r="P1208" s="86"/>
      <c r="Q1208" s="86"/>
      <c r="R1208" s="86"/>
      <c r="S1208" s="86"/>
      <c r="T1208" s="86"/>
      <c r="U1208" s="1"/>
    </row>
    <row r="1209" spans="3:21" x14ac:dyDescent="0.3">
      <c r="C1209" s="21"/>
      <c r="D1209" s="1"/>
      <c r="E1209" s="1"/>
      <c r="F1209" s="1"/>
      <c r="G1209" s="1"/>
      <c r="H1209" s="1"/>
      <c r="I1209" s="1"/>
      <c r="J1209" s="1"/>
      <c r="L1209" s="86"/>
      <c r="M1209" s="86"/>
      <c r="N1209" s="86"/>
      <c r="O1209" s="86"/>
      <c r="P1209" s="86"/>
      <c r="Q1209" s="86"/>
      <c r="R1209" s="86"/>
      <c r="S1209" s="86"/>
      <c r="T1209" s="86"/>
      <c r="U1209" s="1"/>
    </row>
    <row r="1210" spans="3:21" x14ac:dyDescent="0.3">
      <c r="C1210" s="21"/>
      <c r="D1210" s="1"/>
      <c r="E1210" s="1"/>
      <c r="F1210" s="1"/>
      <c r="G1210" s="1"/>
      <c r="H1210" s="1"/>
      <c r="I1210" s="1"/>
      <c r="J1210" s="1"/>
      <c r="L1210" s="86"/>
      <c r="M1210" s="86"/>
      <c r="N1210" s="86"/>
      <c r="O1210" s="86"/>
      <c r="P1210" s="86"/>
      <c r="Q1210" s="86"/>
      <c r="R1210" s="86"/>
      <c r="S1210" s="86"/>
      <c r="T1210" s="86"/>
      <c r="U1210" s="1"/>
    </row>
    <row r="1211" spans="3:21" x14ac:dyDescent="0.3">
      <c r="C1211" s="21"/>
      <c r="D1211" s="1"/>
      <c r="E1211" s="1"/>
      <c r="F1211" s="1"/>
      <c r="G1211" s="1"/>
      <c r="H1211" s="1"/>
      <c r="I1211" s="1"/>
      <c r="J1211" s="1"/>
      <c r="L1211" s="86"/>
      <c r="M1211" s="86"/>
      <c r="N1211" s="86"/>
      <c r="O1211" s="86"/>
      <c r="P1211" s="86"/>
      <c r="Q1211" s="86"/>
      <c r="R1211" s="86"/>
      <c r="S1211" s="86"/>
      <c r="T1211" s="86"/>
      <c r="U1211" s="1"/>
    </row>
    <row r="1212" spans="3:21" x14ac:dyDescent="0.3">
      <c r="C1212" s="21"/>
      <c r="D1212" s="1"/>
      <c r="E1212" s="1"/>
      <c r="F1212" s="1"/>
      <c r="G1212" s="1"/>
      <c r="H1212" s="1"/>
      <c r="I1212" s="1"/>
      <c r="J1212" s="1"/>
      <c r="L1212" s="86"/>
      <c r="M1212" s="86"/>
      <c r="N1212" s="86"/>
      <c r="O1212" s="86"/>
      <c r="P1212" s="86"/>
      <c r="Q1212" s="86"/>
      <c r="R1212" s="86"/>
      <c r="S1212" s="86"/>
      <c r="T1212" s="86"/>
      <c r="U1212" s="1"/>
    </row>
    <row r="1213" spans="3:21" x14ac:dyDescent="0.3">
      <c r="C1213" s="21"/>
      <c r="D1213" s="1"/>
      <c r="E1213" s="1"/>
      <c r="F1213" s="1"/>
      <c r="G1213" s="1"/>
      <c r="H1213" s="1"/>
      <c r="I1213" s="1"/>
      <c r="J1213" s="1"/>
      <c r="L1213" s="86"/>
      <c r="M1213" s="86"/>
      <c r="N1213" s="86"/>
      <c r="O1213" s="86"/>
      <c r="P1213" s="86"/>
      <c r="Q1213" s="86"/>
      <c r="R1213" s="86"/>
      <c r="S1213" s="86"/>
      <c r="T1213" s="86"/>
      <c r="U1213" s="1"/>
    </row>
    <row r="1214" spans="3:21" x14ac:dyDescent="0.3">
      <c r="C1214" s="21"/>
      <c r="D1214" s="1"/>
      <c r="E1214" s="1"/>
      <c r="F1214" s="1"/>
      <c r="G1214" s="1"/>
      <c r="H1214" s="1"/>
      <c r="I1214" s="1"/>
      <c r="J1214" s="1"/>
      <c r="L1214" s="86"/>
      <c r="M1214" s="86"/>
      <c r="N1214" s="86"/>
      <c r="O1214" s="86"/>
      <c r="P1214" s="86"/>
      <c r="Q1214" s="86"/>
      <c r="R1214" s="86"/>
      <c r="S1214" s="86"/>
      <c r="T1214" s="86"/>
      <c r="U1214" s="1"/>
    </row>
    <row r="1215" spans="3:21" x14ac:dyDescent="0.3">
      <c r="C1215" s="21"/>
      <c r="D1215" s="1"/>
      <c r="E1215" s="1"/>
      <c r="F1215" s="1"/>
      <c r="G1215" s="1"/>
      <c r="H1215" s="1"/>
      <c r="I1215" s="1"/>
      <c r="J1215" s="1"/>
      <c r="L1215" s="86"/>
      <c r="M1215" s="86"/>
      <c r="N1215" s="86"/>
      <c r="O1215" s="86"/>
      <c r="P1215" s="86"/>
      <c r="Q1215" s="86"/>
      <c r="R1215" s="86"/>
      <c r="S1215" s="86"/>
      <c r="T1215" s="86"/>
      <c r="U1215" s="1"/>
    </row>
    <row r="1216" spans="3:21" x14ac:dyDescent="0.3">
      <c r="C1216" s="21"/>
      <c r="D1216" s="1"/>
      <c r="E1216" s="1"/>
      <c r="F1216" s="1"/>
      <c r="G1216" s="1"/>
      <c r="H1216" s="1"/>
      <c r="I1216" s="1"/>
      <c r="J1216" s="1"/>
      <c r="L1216" s="86"/>
      <c r="M1216" s="86"/>
      <c r="N1216" s="86"/>
      <c r="O1216" s="86"/>
      <c r="P1216" s="86"/>
      <c r="Q1216" s="86"/>
      <c r="R1216" s="86"/>
      <c r="S1216" s="86"/>
      <c r="T1216" s="86"/>
      <c r="U1216" s="1"/>
    </row>
    <row r="1217" spans="3:21" x14ac:dyDescent="0.3">
      <c r="C1217" s="21"/>
      <c r="D1217" s="1"/>
      <c r="E1217" s="1"/>
      <c r="F1217" s="1"/>
      <c r="G1217" s="1"/>
      <c r="H1217" s="1"/>
      <c r="I1217" s="1"/>
      <c r="J1217" s="1"/>
      <c r="L1217" s="86"/>
      <c r="M1217" s="86"/>
      <c r="N1217" s="86"/>
      <c r="O1217" s="86"/>
      <c r="P1217" s="86"/>
      <c r="Q1217" s="86"/>
      <c r="R1217" s="86"/>
      <c r="S1217" s="86"/>
      <c r="T1217" s="86"/>
      <c r="U1217" s="1"/>
    </row>
    <row r="1218" spans="3:21" x14ac:dyDescent="0.3">
      <c r="C1218" s="21"/>
      <c r="D1218" s="1"/>
      <c r="E1218" s="1"/>
      <c r="F1218" s="1"/>
      <c r="G1218" s="1"/>
      <c r="H1218" s="1"/>
      <c r="I1218" s="1"/>
      <c r="J1218" s="1"/>
      <c r="L1218" s="86"/>
      <c r="M1218" s="86"/>
      <c r="N1218" s="86"/>
      <c r="O1218" s="86"/>
      <c r="P1218" s="86"/>
      <c r="Q1218" s="86"/>
      <c r="R1218" s="86"/>
      <c r="S1218" s="86"/>
      <c r="T1218" s="86"/>
      <c r="U1218" s="1"/>
    </row>
    <row r="1219" spans="3:21" x14ac:dyDescent="0.3">
      <c r="C1219" s="21"/>
      <c r="D1219" s="1"/>
      <c r="E1219" s="1"/>
      <c r="F1219" s="1"/>
      <c r="G1219" s="1"/>
      <c r="H1219" s="1"/>
      <c r="I1219" s="1"/>
      <c r="J1219" s="1"/>
      <c r="L1219" s="86"/>
      <c r="M1219" s="86"/>
      <c r="N1219" s="86"/>
      <c r="O1219" s="86"/>
      <c r="P1219" s="86"/>
      <c r="Q1219" s="86"/>
      <c r="R1219" s="86"/>
      <c r="S1219" s="86"/>
      <c r="T1219" s="86"/>
      <c r="U1219" s="1"/>
    </row>
    <row r="1220" spans="3:21" x14ac:dyDescent="0.3">
      <c r="C1220" s="21"/>
      <c r="D1220" s="1"/>
      <c r="E1220" s="1"/>
      <c r="F1220" s="1"/>
      <c r="G1220" s="1"/>
      <c r="H1220" s="1"/>
      <c r="I1220" s="1"/>
      <c r="J1220" s="1"/>
      <c r="L1220" s="86"/>
      <c r="M1220" s="86"/>
      <c r="N1220" s="86"/>
      <c r="O1220" s="86"/>
      <c r="P1220" s="86"/>
      <c r="Q1220" s="86"/>
      <c r="R1220" s="86"/>
      <c r="S1220" s="86"/>
      <c r="T1220" s="86"/>
      <c r="U1220" s="1"/>
    </row>
    <row r="1221" spans="3:21" x14ac:dyDescent="0.3">
      <c r="C1221" s="21"/>
      <c r="D1221" s="1"/>
      <c r="E1221" s="1"/>
      <c r="F1221" s="1"/>
      <c r="G1221" s="1"/>
      <c r="H1221" s="1"/>
      <c r="I1221" s="1"/>
      <c r="J1221" s="1"/>
      <c r="L1221" s="86"/>
      <c r="M1221" s="86"/>
      <c r="N1221" s="86"/>
      <c r="O1221" s="86"/>
      <c r="P1221" s="86"/>
      <c r="Q1221" s="86"/>
      <c r="R1221" s="86"/>
      <c r="S1221" s="86"/>
      <c r="T1221" s="86"/>
      <c r="U1221" s="1"/>
    </row>
    <row r="1222" spans="3:21" x14ac:dyDescent="0.3">
      <c r="C1222" s="21"/>
      <c r="D1222" s="1"/>
      <c r="E1222" s="1"/>
      <c r="F1222" s="1"/>
      <c r="G1222" s="1"/>
      <c r="H1222" s="1"/>
      <c r="I1222" s="1"/>
      <c r="J1222" s="1"/>
      <c r="L1222" s="86"/>
      <c r="M1222" s="86"/>
      <c r="N1222" s="86"/>
      <c r="O1222" s="86"/>
      <c r="P1222" s="86"/>
      <c r="Q1222" s="86"/>
      <c r="R1222" s="86"/>
      <c r="S1222" s="86"/>
      <c r="T1222" s="86"/>
      <c r="U1222" s="1"/>
    </row>
    <row r="1223" spans="3:21" x14ac:dyDescent="0.3">
      <c r="C1223" s="21"/>
      <c r="D1223" s="1"/>
      <c r="E1223" s="1"/>
      <c r="F1223" s="1"/>
      <c r="G1223" s="1"/>
      <c r="H1223" s="1"/>
      <c r="I1223" s="1"/>
      <c r="J1223" s="1"/>
      <c r="L1223" s="86"/>
      <c r="M1223" s="86"/>
      <c r="N1223" s="86"/>
      <c r="O1223" s="86"/>
      <c r="P1223" s="86"/>
      <c r="Q1223" s="86"/>
      <c r="R1223" s="86"/>
      <c r="S1223" s="86"/>
      <c r="T1223" s="86"/>
      <c r="U1223" s="1"/>
    </row>
    <row r="1224" spans="3:21" x14ac:dyDescent="0.3">
      <c r="C1224" s="21"/>
      <c r="D1224" s="1"/>
      <c r="E1224" s="1"/>
      <c r="F1224" s="1"/>
      <c r="G1224" s="1"/>
      <c r="H1224" s="1"/>
      <c r="I1224" s="1"/>
      <c r="J1224" s="1"/>
      <c r="L1224" s="86"/>
      <c r="M1224" s="86"/>
      <c r="N1224" s="86"/>
      <c r="O1224" s="86"/>
      <c r="P1224" s="86"/>
      <c r="Q1224" s="86"/>
      <c r="R1224" s="86"/>
      <c r="S1224" s="86"/>
      <c r="T1224" s="86"/>
      <c r="U1224" s="1"/>
    </row>
    <row r="1225" spans="3:21" x14ac:dyDescent="0.3">
      <c r="C1225" s="21"/>
      <c r="D1225" s="1"/>
      <c r="E1225" s="1"/>
      <c r="F1225" s="1"/>
      <c r="G1225" s="1"/>
      <c r="H1225" s="1"/>
      <c r="I1225" s="1"/>
      <c r="J1225" s="1"/>
      <c r="L1225" s="86"/>
      <c r="M1225" s="86"/>
      <c r="N1225" s="86"/>
      <c r="O1225" s="86"/>
      <c r="P1225" s="86"/>
      <c r="Q1225" s="86"/>
      <c r="R1225" s="86"/>
      <c r="S1225" s="86"/>
      <c r="T1225" s="86"/>
      <c r="U1225" s="1"/>
    </row>
    <row r="1226" spans="3:21" x14ac:dyDescent="0.3">
      <c r="C1226" s="21"/>
      <c r="D1226" s="1"/>
      <c r="E1226" s="1"/>
      <c r="F1226" s="1"/>
      <c r="G1226" s="1"/>
      <c r="H1226" s="1"/>
      <c r="I1226" s="1"/>
      <c r="J1226" s="1"/>
      <c r="L1226" s="86"/>
      <c r="M1226" s="86"/>
      <c r="N1226" s="86"/>
      <c r="O1226" s="86"/>
      <c r="P1226" s="86"/>
      <c r="Q1226" s="86"/>
      <c r="R1226" s="86"/>
      <c r="S1226" s="86"/>
      <c r="T1226" s="86"/>
      <c r="U1226" s="1"/>
    </row>
    <row r="1227" spans="3:21" x14ac:dyDescent="0.3">
      <c r="C1227" s="21"/>
      <c r="D1227" s="1"/>
      <c r="E1227" s="1"/>
      <c r="F1227" s="1"/>
      <c r="G1227" s="1"/>
      <c r="H1227" s="1"/>
      <c r="I1227" s="1"/>
      <c r="J1227" s="1"/>
      <c r="L1227" s="86"/>
      <c r="M1227" s="86"/>
      <c r="N1227" s="86"/>
      <c r="O1227" s="86"/>
      <c r="P1227" s="86"/>
      <c r="Q1227" s="86"/>
      <c r="R1227" s="86"/>
      <c r="S1227" s="86"/>
      <c r="T1227" s="86"/>
      <c r="U1227" s="1"/>
    </row>
    <row r="1228" spans="3:21" x14ac:dyDescent="0.3">
      <c r="C1228" s="21"/>
      <c r="D1228" s="1"/>
      <c r="E1228" s="1"/>
      <c r="F1228" s="1"/>
      <c r="G1228" s="1"/>
      <c r="H1228" s="1"/>
      <c r="I1228" s="1"/>
      <c r="J1228" s="1"/>
      <c r="L1228" s="86"/>
      <c r="M1228" s="86"/>
      <c r="N1228" s="86"/>
      <c r="O1228" s="86"/>
      <c r="P1228" s="86"/>
      <c r="Q1228" s="86"/>
      <c r="R1228" s="86"/>
      <c r="S1228" s="86"/>
      <c r="T1228" s="86"/>
      <c r="U1228" s="1"/>
    </row>
    <row r="1229" spans="3:21" x14ac:dyDescent="0.3">
      <c r="C1229" s="21"/>
      <c r="D1229" s="1"/>
      <c r="E1229" s="1"/>
      <c r="F1229" s="1"/>
      <c r="G1229" s="1"/>
      <c r="H1229" s="1"/>
      <c r="I1229" s="1"/>
      <c r="J1229" s="1"/>
      <c r="L1229" s="86"/>
      <c r="M1229" s="86"/>
      <c r="N1229" s="86"/>
      <c r="O1229" s="86"/>
      <c r="P1229" s="86"/>
      <c r="Q1229" s="86"/>
      <c r="R1229" s="86"/>
      <c r="S1229" s="86"/>
      <c r="T1229" s="86"/>
      <c r="U1229" s="1"/>
    </row>
    <row r="1230" spans="3:21" x14ac:dyDescent="0.3">
      <c r="C1230" s="21"/>
      <c r="D1230" s="1"/>
      <c r="E1230" s="1"/>
      <c r="F1230" s="1"/>
      <c r="G1230" s="1"/>
      <c r="H1230" s="1"/>
      <c r="I1230" s="1"/>
      <c r="J1230" s="1"/>
      <c r="L1230" s="86"/>
      <c r="M1230" s="86"/>
      <c r="N1230" s="86"/>
      <c r="O1230" s="86"/>
      <c r="P1230" s="86"/>
      <c r="Q1230" s="86"/>
      <c r="R1230" s="86"/>
      <c r="S1230" s="86"/>
      <c r="T1230" s="86"/>
      <c r="U1230" s="1"/>
    </row>
    <row r="1231" spans="3:21" x14ac:dyDescent="0.3">
      <c r="C1231" s="21"/>
      <c r="D1231" s="1"/>
      <c r="E1231" s="1"/>
      <c r="F1231" s="1"/>
      <c r="G1231" s="1"/>
      <c r="H1231" s="1"/>
      <c r="I1231" s="1"/>
      <c r="J1231" s="1"/>
      <c r="L1231" s="86"/>
      <c r="M1231" s="86"/>
      <c r="N1231" s="86"/>
      <c r="O1231" s="86"/>
      <c r="P1231" s="86"/>
      <c r="Q1231" s="86"/>
      <c r="R1231" s="86"/>
      <c r="S1231" s="86"/>
      <c r="T1231" s="86"/>
      <c r="U1231" s="1"/>
    </row>
    <row r="1232" spans="3:21" x14ac:dyDescent="0.3">
      <c r="L1232" s="86"/>
      <c r="M1232" s="86"/>
      <c r="N1232" s="86"/>
      <c r="O1232" s="86"/>
      <c r="P1232" s="86"/>
      <c r="Q1232" s="86"/>
      <c r="R1232" s="86"/>
      <c r="S1232" s="86"/>
      <c r="T1232" s="86"/>
      <c r="U1232" s="1"/>
    </row>
    <row r="1233" spans="12:21" x14ac:dyDescent="0.3">
      <c r="L1233" s="86"/>
      <c r="M1233" s="86"/>
      <c r="N1233" s="86"/>
      <c r="O1233" s="86"/>
      <c r="P1233" s="86"/>
      <c r="Q1233" s="86"/>
      <c r="R1233" s="86"/>
      <c r="S1233" s="86"/>
      <c r="T1233" s="86"/>
      <c r="U1233" s="1"/>
    </row>
    <row r="1234" spans="12:21" x14ac:dyDescent="0.3">
      <c r="L1234" s="86"/>
      <c r="M1234" s="86"/>
      <c r="N1234" s="86"/>
      <c r="O1234" s="86"/>
      <c r="P1234" s="86"/>
      <c r="Q1234" s="86"/>
      <c r="R1234" s="86"/>
      <c r="S1234" s="86"/>
      <c r="T1234" s="86"/>
      <c r="U1234" s="1"/>
    </row>
    <row r="1235" spans="12:21" x14ac:dyDescent="0.3">
      <c r="L1235" s="86"/>
      <c r="M1235" s="86"/>
      <c r="N1235" s="86"/>
      <c r="O1235" s="86"/>
      <c r="P1235" s="86"/>
      <c r="Q1235" s="86"/>
      <c r="R1235" s="86"/>
      <c r="S1235" s="86"/>
      <c r="T1235" s="86"/>
      <c r="U1235" s="1"/>
    </row>
    <row r="1236" spans="12:21" x14ac:dyDescent="0.3">
      <c r="L1236" s="86"/>
      <c r="M1236" s="86"/>
      <c r="N1236" s="86"/>
      <c r="O1236" s="86"/>
      <c r="P1236" s="86"/>
      <c r="Q1236" s="86"/>
      <c r="R1236" s="86"/>
      <c r="S1236" s="86"/>
      <c r="T1236" s="86"/>
      <c r="U1236" s="1"/>
    </row>
    <row r="1237" spans="12:21" x14ac:dyDescent="0.3">
      <c r="L1237" s="86"/>
      <c r="M1237" s="86"/>
      <c r="N1237" s="86"/>
      <c r="O1237" s="86"/>
      <c r="P1237" s="86"/>
      <c r="Q1237" s="86"/>
      <c r="R1237" s="86"/>
      <c r="S1237" s="86"/>
      <c r="T1237" s="86"/>
      <c r="U1237" s="1"/>
    </row>
    <row r="1238" spans="12:21" x14ac:dyDescent="0.3">
      <c r="L1238" s="86"/>
      <c r="M1238" s="86"/>
      <c r="N1238" s="86"/>
      <c r="O1238" s="86"/>
      <c r="P1238" s="86"/>
      <c r="Q1238" s="86"/>
      <c r="R1238" s="86"/>
      <c r="S1238" s="86"/>
      <c r="T1238" s="86"/>
      <c r="U1238" s="1"/>
    </row>
    <row r="1239" spans="12:21" x14ac:dyDescent="0.3">
      <c r="L1239" s="86"/>
      <c r="M1239" s="86"/>
      <c r="N1239" s="86"/>
      <c r="O1239" s="86"/>
      <c r="P1239" s="86"/>
      <c r="Q1239" s="86"/>
      <c r="R1239" s="86"/>
      <c r="S1239" s="86"/>
      <c r="T1239" s="86"/>
      <c r="U1239" s="1"/>
    </row>
    <row r="1240" spans="12:21" x14ac:dyDescent="0.3">
      <c r="L1240" s="86"/>
      <c r="M1240" s="86"/>
      <c r="N1240" s="86"/>
      <c r="O1240" s="86"/>
      <c r="P1240" s="86"/>
      <c r="Q1240" s="86"/>
      <c r="R1240" s="86"/>
      <c r="S1240" s="86"/>
      <c r="T1240" s="86"/>
      <c r="U1240" s="1"/>
    </row>
    <row r="1241" spans="12:21" x14ac:dyDescent="0.3">
      <c r="L1241" s="86"/>
      <c r="M1241" s="86"/>
      <c r="N1241" s="86"/>
      <c r="O1241" s="86"/>
      <c r="P1241" s="86"/>
      <c r="Q1241" s="86"/>
      <c r="R1241" s="86"/>
      <c r="S1241" s="86"/>
      <c r="T1241" s="86"/>
      <c r="U1241" s="1"/>
    </row>
    <row r="1242" spans="12:21" x14ac:dyDescent="0.3">
      <c r="L1242" s="86"/>
      <c r="M1242" s="86"/>
      <c r="N1242" s="86"/>
      <c r="O1242" s="86"/>
      <c r="P1242" s="86"/>
      <c r="Q1242" s="86"/>
      <c r="R1242" s="86"/>
      <c r="S1242" s="86"/>
      <c r="T1242" s="86"/>
      <c r="U1242" s="1"/>
    </row>
    <row r="1243" spans="12:21" x14ac:dyDescent="0.3">
      <c r="L1243" s="86"/>
      <c r="M1243" s="86"/>
      <c r="N1243" s="86"/>
      <c r="O1243" s="86"/>
      <c r="P1243" s="86"/>
      <c r="Q1243" s="86"/>
      <c r="R1243" s="86"/>
      <c r="S1243" s="86"/>
      <c r="T1243" s="86"/>
      <c r="U1243" s="1"/>
    </row>
    <row r="1244" spans="12:21" x14ac:dyDescent="0.3">
      <c r="L1244" s="86"/>
      <c r="M1244" s="86"/>
      <c r="N1244" s="86"/>
      <c r="O1244" s="86"/>
      <c r="P1244" s="86"/>
      <c r="Q1244" s="86"/>
      <c r="R1244" s="86"/>
      <c r="S1244" s="86"/>
      <c r="T1244" s="86"/>
      <c r="U1244" s="1"/>
    </row>
    <row r="1245" spans="12:21" x14ac:dyDescent="0.3">
      <c r="L1245" s="86"/>
      <c r="M1245" s="86"/>
      <c r="N1245" s="86"/>
      <c r="O1245" s="86"/>
      <c r="P1245" s="86"/>
      <c r="Q1245" s="86"/>
      <c r="R1245" s="86"/>
      <c r="S1245" s="86"/>
      <c r="T1245" s="86"/>
      <c r="U1245" s="1"/>
    </row>
    <row r="1246" spans="12:21" x14ac:dyDescent="0.3">
      <c r="L1246" s="86"/>
      <c r="M1246" s="86"/>
      <c r="N1246" s="86"/>
      <c r="O1246" s="86"/>
      <c r="P1246" s="86"/>
      <c r="Q1246" s="86"/>
      <c r="R1246" s="86"/>
      <c r="S1246" s="86"/>
      <c r="T1246" s="86"/>
      <c r="U1246" s="1"/>
    </row>
    <row r="1247" spans="12:21" x14ac:dyDescent="0.3">
      <c r="L1247" s="86"/>
      <c r="M1247" s="86"/>
      <c r="N1247" s="86"/>
      <c r="O1247" s="86"/>
      <c r="P1247" s="86"/>
      <c r="Q1247" s="86"/>
      <c r="R1247" s="86"/>
      <c r="S1247" s="86"/>
      <c r="T1247" s="86"/>
      <c r="U1247" s="1"/>
    </row>
    <row r="1248" spans="12:21" x14ac:dyDescent="0.3">
      <c r="L1248" s="86"/>
      <c r="M1248" s="86"/>
      <c r="N1248" s="86"/>
      <c r="O1248" s="86"/>
      <c r="P1248" s="86"/>
      <c r="Q1248" s="86"/>
      <c r="R1248" s="86"/>
      <c r="S1248" s="86"/>
      <c r="T1248" s="86"/>
      <c r="U1248" s="1"/>
    </row>
    <row r="1249" spans="12:21" x14ac:dyDescent="0.3">
      <c r="L1249" s="86"/>
      <c r="M1249" s="86"/>
      <c r="N1249" s="86"/>
      <c r="O1249" s="86"/>
      <c r="P1249" s="86"/>
      <c r="Q1249" s="86"/>
      <c r="R1249" s="86"/>
      <c r="S1249" s="86"/>
      <c r="T1249" s="86"/>
      <c r="U1249" s="1"/>
    </row>
    <row r="1250" spans="12:21" x14ac:dyDescent="0.3">
      <c r="L1250" s="86"/>
      <c r="M1250" s="86"/>
      <c r="N1250" s="86"/>
      <c r="O1250" s="86"/>
      <c r="P1250" s="86"/>
      <c r="Q1250" s="86"/>
      <c r="R1250" s="86"/>
      <c r="S1250" s="86"/>
      <c r="T1250" s="86"/>
      <c r="U1250" s="1"/>
    </row>
    <row r="1251" spans="12:21" x14ac:dyDescent="0.3">
      <c r="L1251" s="86"/>
      <c r="M1251" s="86"/>
      <c r="N1251" s="86"/>
      <c r="O1251" s="86"/>
      <c r="P1251" s="86"/>
      <c r="Q1251" s="86"/>
      <c r="R1251" s="86"/>
      <c r="S1251" s="86"/>
      <c r="T1251" s="86"/>
      <c r="U1251" s="1"/>
    </row>
    <row r="1252" spans="12:21" x14ac:dyDescent="0.3">
      <c r="L1252" s="86"/>
      <c r="M1252" s="86"/>
      <c r="N1252" s="86"/>
      <c r="O1252" s="86"/>
      <c r="P1252" s="86"/>
      <c r="Q1252" s="86"/>
      <c r="R1252" s="86"/>
      <c r="S1252" s="86"/>
      <c r="T1252" s="86"/>
      <c r="U1252" s="1"/>
    </row>
    <row r="1253" spans="12:21" x14ac:dyDescent="0.3">
      <c r="L1253" s="86"/>
      <c r="M1253" s="86"/>
      <c r="N1253" s="86"/>
      <c r="O1253" s="86"/>
      <c r="P1253" s="86"/>
      <c r="Q1253" s="86"/>
      <c r="R1253" s="86"/>
      <c r="S1253" s="86"/>
      <c r="T1253" s="86"/>
      <c r="U1253" s="1"/>
    </row>
    <row r="1254" spans="12:21" x14ac:dyDescent="0.3">
      <c r="L1254" s="86"/>
      <c r="M1254" s="86"/>
      <c r="N1254" s="86"/>
      <c r="O1254" s="86"/>
      <c r="P1254" s="86"/>
      <c r="Q1254" s="86"/>
      <c r="R1254" s="86"/>
      <c r="S1254" s="86"/>
      <c r="T1254" s="86"/>
      <c r="U1254" s="1"/>
    </row>
    <row r="1255" spans="12:21" x14ac:dyDescent="0.3">
      <c r="L1255" s="86"/>
      <c r="M1255" s="86"/>
      <c r="N1255" s="86"/>
      <c r="O1255" s="86"/>
      <c r="P1255" s="86"/>
      <c r="Q1255" s="86"/>
      <c r="R1255" s="86"/>
      <c r="S1255" s="86"/>
      <c r="T1255" s="86"/>
      <c r="U1255" s="1"/>
    </row>
    <row r="1256" spans="12:21" x14ac:dyDescent="0.3">
      <c r="L1256" s="86"/>
      <c r="M1256" s="86"/>
      <c r="N1256" s="86"/>
      <c r="O1256" s="86"/>
      <c r="P1256" s="86"/>
      <c r="Q1256" s="86"/>
      <c r="R1256" s="86"/>
      <c r="S1256" s="86"/>
      <c r="T1256" s="86"/>
      <c r="U1256" s="1"/>
    </row>
    <row r="1257" spans="12:21" x14ac:dyDescent="0.3">
      <c r="L1257" s="86"/>
      <c r="M1257" s="86"/>
      <c r="N1257" s="86"/>
      <c r="O1257" s="86"/>
      <c r="P1257" s="86"/>
      <c r="Q1257" s="86"/>
      <c r="R1257" s="86"/>
      <c r="S1257" s="86"/>
      <c r="T1257" s="86"/>
      <c r="U1257" s="1"/>
    </row>
    <row r="1258" spans="12:21" x14ac:dyDescent="0.3">
      <c r="L1258" s="86"/>
      <c r="M1258" s="86"/>
      <c r="N1258" s="86"/>
      <c r="O1258" s="86"/>
      <c r="P1258" s="86"/>
      <c r="Q1258" s="86"/>
      <c r="R1258" s="86"/>
      <c r="S1258" s="86"/>
      <c r="T1258" s="86"/>
      <c r="U1258" s="1"/>
    </row>
    <row r="1259" spans="12:21" x14ac:dyDescent="0.3">
      <c r="L1259" s="86"/>
      <c r="M1259" s="86"/>
      <c r="N1259" s="86"/>
      <c r="O1259" s="86"/>
      <c r="P1259" s="86"/>
      <c r="Q1259" s="86"/>
      <c r="R1259" s="86"/>
      <c r="S1259" s="86"/>
      <c r="T1259" s="86"/>
      <c r="U1259" s="1"/>
    </row>
    <row r="1260" spans="12:21" x14ac:dyDescent="0.3">
      <c r="L1260" s="86"/>
      <c r="M1260" s="86"/>
      <c r="N1260" s="86"/>
      <c r="O1260" s="86"/>
      <c r="P1260" s="86"/>
      <c r="Q1260" s="86"/>
      <c r="R1260" s="86"/>
      <c r="S1260" s="86"/>
      <c r="T1260" s="86"/>
      <c r="U1260" s="1"/>
    </row>
    <row r="1261" spans="12:21" x14ac:dyDescent="0.3">
      <c r="L1261" s="86"/>
      <c r="M1261" s="86"/>
      <c r="N1261" s="86"/>
      <c r="O1261" s="86"/>
      <c r="P1261" s="86"/>
      <c r="Q1261" s="86"/>
      <c r="R1261" s="86"/>
      <c r="S1261" s="86"/>
      <c r="T1261" s="86"/>
      <c r="U1261" s="1"/>
    </row>
    <row r="1262" spans="12:21" x14ac:dyDescent="0.3">
      <c r="L1262" s="86"/>
      <c r="M1262" s="86"/>
      <c r="N1262" s="86"/>
      <c r="O1262" s="86"/>
      <c r="P1262" s="86"/>
      <c r="Q1262" s="86"/>
      <c r="R1262" s="86"/>
      <c r="S1262" s="86"/>
      <c r="T1262" s="86"/>
      <c r="U1262" s="1"/>
    </row>
    <row r="1263" spans="12:21" x14ac:dyDescent="0.3">
      <c r="L1263" s="86"/>
      <c r="M1263" s="86"/>
      <c r="N1263" s="86"/>
      <c r="O1263" s="86"/>
      <c r="P1263" s="86"/>
      <c r="Q1263" s="86"/>
      <c r="R1263" s="86"/>
      <c r="S1263" s="86"/>
      <c r="T1263" s="86"/>
      <c r="U1263" s="1"/>
    </row>
    <row r="1264" spans="12:21" x14ac:dyDescent="0.3">
      <c r="L1264" s="86"/>
      <c r="M1264" s="86"/>
      <c r="N1264" s="86"/>
      <c r="O1264" s="86"/>
      <c r="P1264" s="86"/>
      <c r="Q1264" s="86"/>
      <c r="R1264" s="86"/>
      <c r="S1264" s="86"/>
      <c r="T1264" s="86"/>
      <c r="U1264" s="1"/>
    </row>
    <row r="1265" spans="12:21" x14ac:dyDescent="0.3">
      <c r="L1265" s="86"/>
      <c r="M1265" s="86"/>
      <c r="N1265" s="86"/>
      <c r="O1265" s="86"/>
      <c r="P1265" s="86"/>
      <c r="Q1265" s="86"/>
      <c r="R1265" s="86"/>
      <c r="S1265" s="86"/>
      <c r="T1265" s="86"/>
      <c r="U1265" s="1"/>
    </row>
    <row r="1266" spans="12:21" x14ac:dyDescent="0.3">
      <c r="L1266" s="86"/>
      <c r="M1266" s="86"/>
      <c r="N1266" s="86"/>
      <c r="O1266" s="86"/>
      <c r="P1266" s="86"/>
      <c r="Q1266" s="86"/>
      <c r="R1266" s="86"/>
      <c r="S1266" s="86"/>
      <c r="T1266" s="86"/>
      <c r="U1266" s="1"/>
    </row>
    <row r="1267" spans="12:21" x14ac:dyDescent="0.3">
      <c r="L1267" s="86"/>
      <c r="M1267" s="86"/>
      <c r="N1267" s="86"/>
      <c r="O1267" s="86"/>
      <c r="P1267" s="86"/>
      <c r="Q1267" s="86"/>
      <c r="R1267" s="86"/>
      <c r="S1267" s="86"/>
      <c r="T1267" s="86"/>
      <c r="U1267" s="1"/>
    </row>
    <row r="1268" spans="12:21" x14ac:dyDescent="0.3">
      <c r="L1268" s="86"/>
      <c r="M1268" s="86"/>
      <c r="N1268" s="86"/>
      <c r="O1268" s="86"/>
      <c r="P1268" s="86"/>
      <c r="Q1268" s="86"/>
      <c r="R1268" s="86"/>
      <c r="S1268" s="86"/>
      <c r="T1268" s="86"/>
      <c r="U1268" s="1"/>
    </row>
    <row r="1269" spans="12:21" x14ac:dyDescent="0.3">
      <c r="L1269" s="86"/>
      <c r="M1269" s="86"/>
      <c r="N1269" s="86"/>
      <c r="O1269" s="86"/>
      <c r="P1269" s="86"/>
      <c r="Q1269" s="86"/>
      <c r="R1269" s="86"/>
      <c r="S1269" s="86"/>
      <c r="T1269" s="86"/>
      <c r="U1269" s="1"/>
    </row>
    <row r="1270" spans="12:21" x14ac:dyDescent="0.3">
      <c r="L1270" s="86"/>
      <c r="M1270" s="86"/>
      <c r="N1270" s="86"/>
      <c r="O1270" s="86"/>
      <c r="P1270" s="86"/>
      <c r="Q1270" s="86"/>
      <c r="R1270" s="86"/>
      <c r="S1270" s="86"/>
      <c r="T1270" s="86"/>
    </row>
    <row r="1271" spans="12:21" x14ac:dyDescent="0.3">
      <c r="L1271" s="86"/>
      <c r="M1271" s="86"/>
      <c r="N1271" s="86"/>
      <c r="O1271" s="86"/>
      <c r="P1271" s="86"/>
      <c r="Q1271" s="86"/>
      <c r="R1271" s="86"/>
      <c r="S1271" s="86"/>
      <c r="T1271" s="86"/>
    </row>
    <row r="1272" spans="12:21" x14ac:dyDescent="0.3">
      <c r="L1272" s="86"/>
      <c r="M1272" s="86"/>
      <c r="N1272" s="86"/>
      <c r="O1272" s="86"/>
      <c r="P1272" s="86"/>
      <c r="Q1272" s="86"/>
      <c r="R1272" s="86"/>
      <c r="S1272" s="86"/>
      <c r="T1272" s="86"/>
    </row>
    <row r="1273" spans="12:21" x14ac:dyDescent="0.3">
      <c r="L1273" s="86"/>
      <c r="M1273" s="86"/>
      <c r="N1273" s="86"/>
      <c r="O1273" s="86"/>
      <c r="P1273" s="86"/>
      <c r="Q1273" s="86"/>
      <c r="R1273" s="86"/>
      <c r="S1273" s="86"/>
      <c r="T1273" s="86"/>
    </row>
    <row r="1274" spans="12:21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</row>
    <row r="1275" spans="12:21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</row>
    <row r="1276" spans="12:21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</row>
    <row r="1277" spans="12:21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</row>
    <row r="1278" spans="12:21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</row>
    <row r="1279" spans="12:21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</row>
    <row r="1280" spans="12:21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</row>
    <row r="1281" spans="12:20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</row>
    <row r="1282" spans="12:20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</row>
    <row r="1283" spans="12:20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</row>
    <row r="1284" spans="12:20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</row>
    <row r="1285" spans="12:20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</row>
    <row r="1286" spans="12:20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</row>
    <row r="1287" spans="12:20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</row>
    <row r="1288" spans="12:20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</row>
    <row r="1289" spans="12:20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</row>
    <row r="1290" spans="12:20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</row>
    <row r="1291" spans="12:20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</row>
    <row r="1292" spans="12:20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</row>
    <row r="1293" spans="12:20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</row>
    <row r="1294" spans="12:20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</row>
    <row r="1295" spans="12:20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</row>
    <row r="1296" spans="12:20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</row>
    <row r="1297" spans="12:20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</row>
    <row r="1298" spans="12:20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</row>
    <row r="1299" spans="12:20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</row>
    <row r="1300" spans="12:20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</row>
    <row r="1301" spans="12:20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</row>
    <row r="1302" spans="12:20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</row>
    <row r="1303" spans="12:20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</row>
    <row r="1304" spans="12:20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</row>
    <row r="1305" spans="12:20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</row>
    <row r="1306" spans="12:20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</row>
    <row r="1307" spans="12:20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</row>
    <row r="1308" spans="12:20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</row>
    <row r="1309" spans="12:20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</row>
    <row r="1310" spans="12:20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</row>
    <row r="1311" spans="12:20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</row>
    <row r="1312" spans="12:20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6"/>
      <c r="N1458" s="86"/>
      <c r="O1458" s="86"/>
      <c r="P1458" s="86"/>
      <c r="Q1458" s="86"/>
      <c r="R1458" s="86"/>
      <c r="S1458" s="86"/>
      <c r="T1458" s="86"/>
    </row>
    <row r="1459" spans="12:20" x14ac:dyDescent="0.3">
      <c r="L1459" s="86"/>
      <c r="M1459" s="86"/>
      <c r="N1459" s="86"/>
      <c r="O1459" s="86"/>
      <c r="P1459" s="86"/>
      <c r="Q1459" s="86"/>
      <c r="R1459" s="86"/>
      <c r="S1459" s="86"/>
      <c r="T1459" s="86"/>
    </row>
    <row r="1460" spans="12:20" x14ac:dyDescent="0.3">
      <c r="L1460" s="86"/>
      <c r="M1460" s="86"/>
      <c r="N1460" s="86"/>
      <c r="O1460" s="86"/>
      <c r="P1460" s="86"/>
      <c r="Q1460" s="86"/>
      <c r="R1460" s="86"/>
      <c r="S1460" s="86"/>
      <c r="T1460" s="86"/>
    </row>
    <row r="1461" spans="12:20" x14ac:dyDescent="0.3">
      <c r="L1461" s="86"/>
      <c r="M1461" s="86"/>
      <c r="N1461" s="86"/>
      <c r="O1461" s="86"/>
      <c r="P1461" s="86"/>
      <c r="Q1461" s="86"/>
      <c r="R1461" s="86"/>
      <c r="S1461" s="86"/>
      <c r="T1461" s="86"/>
    </row>
    <row r="1462" spans="12:20" x14ac:dyDescent="0.3">
      <c r="L1462" s="86"/>
      <c r="M1462" s="86"/>
      <c r="N1462" s="86"/>
      <c r="O1462" s="86"/>
      <c r="P1462" s="86"/>
      <c r="Q1462" s="86"/>
      <c r="R1462" s="86"/>
      <c r="S1462" s="86"/>
      <c r="T1462" s="86"/>
    </row>
    <row r="1463" spans="12:20" x14ac:dyDescent="0.3">
      <c r="L1463" s="86"/>
      <c r="M1463" s="86"/>
      <c r="N1463" s="86"/>
      <c r="O1463" s="86"/>
      <c r="P1463" s="86"/>
      <c r="Q1463" s="86"/>
      <c r="R1463" s="86"/>
      <c r="S1463" s="86"/>
      <c r="T1463" s="86"/>
    </row>
    <row r="1464" spans="12:20" x14ac:dyDescent="0.3">
      <c r="L1464" s="86"/>
      <c r="M1464" s="86"/>
      <c r="N1464" s="86"/>
      <c r="O1464" s="86"/>
      <c r="P1464" s="86"/>
      <c r="Q1464" s="86"/>
      <c r="R1464" s="86"/>
      <c r="S1464" s="86"/>
      <c r="T1464" s="86"/>
    </row>
    <row r="1465" spans="12:20" x14ac:dyDescent="0.3">
      <c r="L1465" s="86"/>
      <c r="M1465" s="86"/>
      <c r="N1465" s="86"/>
      <c r="O1465" s="86"/>
      <c r="P1465" s="86"/>
      <c r="Q1465" s="86"/>
      <c r="R1465" s="86"/>
      <c r="S1465" s="86"/>
      <c r="T1465" s="86"/>
    </row>
    <row r="1466" spans="12:20" x14ac:dyDescent="0.3">
      <c r="L1466" s="86"/>
      <c r="M1466" s="86"/>
      <c r="N1466" s="86"/>
      <c r="O1466" s="86"/>
      <c r="P1466" s="86"/>
      <c r="Q1466" s="86"/>
      <c r="R1466" s="86"/>
      <c r="S1466" s="86"/>
      <c r="T1466" s="86"/>
    </row>
    <row r="1467" spans="12:20" x14ac:dyDescent="0.3">
      <c r="L1467" s="86"/>
      <c r="M1467" s="86"/>
      <c r="N1467" s="86"/>
      <c r="O1467" s="86"/>
      <c r="P1467" s="86"/>
      <c r="Q1467" s="86"/>
      <c r="R1467" s="86"/>
      <c r="S1467" s="86"/>
      <c r="T1467" s="86"/>
    </row>
    <row r="1468" spans="12:20" x14ac:dyDescent="0.3">
      <c r="L1468" s="86"/>
      <c r="M1468" s="86"/>
      <c r="N1468" s="86"/>
      <c r="O1468" s="86"/>
      <c r="P1468" s="86"/>
      <c r="Q1468" s="86"/>
      <c r="R1468" s="86"/>
      <c r="S1468" s="86"/>
      <c r="T1468" s="86"/>
    </row>
    <row r="1469" spans="12:20" x14ac:dyDescent="0.3">
      <c r="L1469" s="86"/>
      <c r="M1469" s="86"/>
      <c r="N1469" s="86"/>
      <c r="O1469" s="86"/>
      <c r="P1469" s="86"/>
      <c r="Q1469" s="86"/>
      <c r="R1469" s="86"/>
      <c r="S1469" s="86"/>
      <c r="T1469" s="86"/>
    </row>
    <row r="1470" spans="12:20" x14ac:dyDescent="0.3">
      <c r="L1470" s="86"/>
      <c r="M1470" s="86"/>
      <c r="N1470" s="86"/>
      <c r="O1470" s="86"/>
      <c r="P1470" s="86"/>
      <c r="Q1470" s="86"/>
      <c r="R1470" s="86"/>
      <c r="S1470" s="86"/>
      <c r="T1470" s="86"/>
    </row>
    <row r="1471" spans="12:20" x14ac:dyDescent="0.3">
      <c r="L1471" s="86"/>
      <c r="M1471" s="86"/>
      <c r="N1471" s="86"/>
      <c r="O1471" s="86"/>
      <c r="P1471" s="86"/>
      <c r="Q1471" s="86"/>
      <c r="R1471" s="86"/>
      <c r="S1471" s="86"/>
      <c r="T1471" s="86"/>
    </row>
    <row r="1472" spans="12:20" x14ac:dyDescent="0.3">
      <c r="L1472" s="86"/>
      <c r="M1472" s="86"/>
      <c r="N1472" s="86"/>
      <c r="O1472" s="86"/>
      <c r="P1472" s="86"/>
      <c r="Q1472" s="86"/>
      <c r="R1472" s="86"/>
      <c r="S1472" s="86"/>
      <c r="T1472" s="86"/>
    </row>
    <row r="1473" spans="12:20" x14ac:dyDescent="0.3">
      <c r="L1473" s="86"/>
      <c r="M1473" s="86"/>
      <c r="N1473" s="86"/>
      <c r="O1473" s="86"/>
      <c r="P1473" s="86"/>
      <c r="Q1473" s="86"/>
      <c r="R1473" s="86"/>
      <c r="S1473" s="86"/>
      <c r="T1473" s="86"/>
    </row>
    <row r="1474" spans="12:20" x14ac:dyDescent="0.3">
      <c r="L1474" s="86"/>
      <c r="M1474" s="86"/>
      <c r="N1474" s="86"/>
      <c r="O1474" s="86"/>
      <c r="P1474" s="86"/>
      <c r="Q1474" s="86"/>
      <c r="R1474" s="86"/>
      <c r="S1474" s="86"/>
      <c r="T1474" s="86"/>
    </row>
    <row r="1475" spans="12:20" x14ac:dyDescent="0.3">
      <c r="L1475" s="86"/>
      <c r="M1475" s="86"/>
      <c r="N1475" s="86"/>
      <c r="O1475" s="86"/>
      <c r="P1475" s="86"/>
      <c r="Q1475" s="86"/>
      <c r="R1475" s="86"/>
      <c r="S1475" s="86"/>
      <c r="T1475" s="86"/>
    </row>
    <row r="1476" spans="12:20" x14ac:dyDescent="0.3">
      <c r="L1476" s="86"/>
      <c r="M1476" s="86"/>
      <c r="N1476" s="86"/>
      <c r="O1476" s="86"/>
      <c r="P1476" s="86"/>
      <c r="Q1476" s="86"/>
      <c r="R1476" s="86"/>
      <c r="S1476" s="86"/>
      <c r="T1476" s="86"/>
    </row>
    <row r="1477" spans="12:20" x14ac:dyDescent="0.3">
      <c r="L1477" s="86"/>
      <c r="M1477" s="86"/>
      <c r="N1477" s="86"/>
      <c r="O1477" s="86"/>
      <c r="P1477" s="86"/>
      <c r="Q1477" s="86"/>
      <c r="R1477" s="86"/>
      <c r="S1477" s="86"/>
      <c r="T1477" s="86"/>
    </row>
    <row r="1478" spans="12:20" x14ac:dyDescent="0.3">
      <c r="L1478" s="86"/>
      <c r="M1478" s="86"/>
      <c r="N1478" s="86"/>
      <c r="O1478" s="86"/>
      <c r="P1478" s="86"/>
      <c r="Q1478" s="86"/>
      <c r="R1478" s="86"/>
      <c r="S1478" s="86"/>
      <c r="T1478" s="86"/>
    </row>
    <row r="1479" spans="12:20" x14ac:dyDescent="0.3">
      <c r="L1479" s="86"/>
      <c r="M1479" s="86"/>
      <c r="N1479" s="86"/>
      <c r="O1479" s="86"/>
      <c r="P1479" s="86"/>
      <c r="Q1479" s="86"/>
      <c r="R1479" s="86"/>
      <c r="S1479" s="86"/>
      <c r="T1479" s="86"/>
    </row>
    <row r="1480" spans="12:20" x14ac:dyDescent="0.3">
      <c r="L1480" s="86"/>
      <c r="M1480" s="86"/>
      <c r="N1480" s="86"/>
      <c r="O1480" s="86"/>
      <c r="P1480" s="86"/>
      <c r="Q1480" s="86"/>
      <c r="R1480" s="86"/>
      <c r="S1480" s="86"/>
      <c r="T1480" s="86"/>
    </row>
    <row r="1481" spans="12:20" x14ac:dyDescent="0.3">
      <c r="L1481" s="86"/>
      <c r="M1481" s="86"/>
      <c r="N1481" s="86"/>
      <c r="O1481" s="86"/>
      <c r="P1481" s="86"/>
      <c r="Q1481" s="86"/>
      <c r="R1481" s="86"/>
      <c r="S1481" s="86"/>
      <c r="T1481" s="86"/>
    </row>
    <row r="1482" spans="12:20" x14ac:dyDescent="0.3">
      <c r="L1482" s="86"/>
      <c r="M1482" s="86"/>
      <c r="N1482" s="86"/>
      <c r="O1482" s="86"/>
      <c r="P1482" s="86"/>
      <c r="Q1482" s="86"/>
      <c r="R1482" s="86"/>
      <c r="S1482" s="86"/>
      <c r="T1482" s="86"/>
    </row>
    <row r="1483" spans="12:20" x14ac:dyDescent="0.3">
      <c r="L1483" s="86"/>
      <c r="M1483" s="86"/>
      <c r="N1483" s="86"/>
      <c r="O1483" s="86"/>
      <c r="P1483" s="86"/>
      <c r="Q1483" s="86"/>
      <c r="R1483" s="86"/>
      <c r="S1483" s="86"/>
      <c r="T1483" s="86"/>
    </row>
    <row r="1484" spans="12:20" x14ac:dyDescent="0.3">
      <c r="L1484" s="86"/>
      <c r="M1484" s="86"/>
      <c r="N1484" s="86"/>
      <c r="O1484" s="86"/>
      <c r="P1484" s="86"/>
      <c r="Q1484" s="86"/>
      <c r="R1484" s="86"/>
      <c r="S1484" s="86"/>
      <c r="T1484" s="86"/>
    </row>
    <row r="1485" spans="12:20" x14ac:dyDescent="0.3">
      <c r="L1485" s="86"/>
      <c r="M1485" s="86"/>
      <c r="N1485" s="86"/>
      <c r="O1485" s="86"/>
      <c r="P1485" s="86"/>
      <c r="Q1485" s="86"/>
      <c r="R1485" s="86"/>
      <c r="S1485" s="86"/>
      <c r="T1485" s="86"/>
    </row>
    <row r="1486" spans="12:20" x14ac:dyDescent="0.3">
      <c r="L1486" s="86"/>
      <c r="M1486" s="86"/>
      <c r="N1486" s="86"/>
      <c r="O1486" s="86"/>
      <c r="P1486" s="86"/>
      <c r="Q1486" s="86"/>
      <c r="R1486" s="86"/>
      <c r="S1486" s="86"/>
      <c r="T1486" s="86"/>
    </row>
    <row r="1487" spans="12:20" x14ac:dyDescent="0.3">
      <c r="L1487" s="86"/>
      <c r="M1487" s="86"/>
      <c r="N1487" s="86"/>
      <c r="O1487" s="86"/>
      <c r="P1487" s="86"/>
      <c r="Q1487" s="86"/>
      <c r="R1487" s="86"/>
      <c r="S1487" s="86"/>
      <c r="T1487" s="86"/>
    </row>
    <row r="1488" spans="12:20" x14ac:dyDescent="0.3">
      <c r="L1488" s="86"/>
      <c r="M1488" s="86"/>
      <c r="N1488" s="86"/>
      <c r="O1488" s="86"/>
      <c r="P1488" s="86"/>
      <c r="Q1488" s="86"/>
      <c r="R1488" s="86"/>
      <c r="S1488" s="86"/>
      <c r="T1488" s="86"/>
    </row>
    <row r="1489" spans="12:20" x14ac:dyDescent="0.3">
      <c r="L1489" s="86"/>
      <c r="M1489" s="86"/>
      <c r="N1489" s="86"/>
      <c r="O1489" s="86"/>
      <c r="P1489" s="86"/>
      <c r="Q1489" s="86"/>
      <c r="R1489" s="86"/>
      <c r="S1489" s="86"/>
      <c r="T1489" s="86"/>
    </row>
    <row r="1490" spans="12:20" x14ac:dyDescent="0.3">
      <c r="L1490" s="86"/>
      <c r="M1490" s="86"/>
      <c r="N1490" s="86"/>
      <c r="O1490" s="86"/>
      <c r="P1490" s="86"/>
      <c r="Q1490" s="86"/>
      <c r="R1490" s="86"/>
      <c r="S1490" s="86"/>
      <c r="T1490" s="86"/>
    </row>
    <row r="1491" spans="12:20" x14ac:dyDescent="0.3">
      <c r="L1491" s="86"/>
      <c r="M1491" s="86"/>
      <c r="N1491" s="86"/>
      <c r="O1491" s="86"/>
      <c r="P1491" s="86"/>
      <c r="Q1491" s="86"/>
      <c r="R1491" s="86"/>
      <c r="S1491" s="86"/>
      <c r="T1491" s="86"/>
    </row>
    <row r="1492" spans="12:20" x14ac:dyDescent="0.3">
      <c r="L1492" s="86"/>
      <c r="M1492" s="86"/>
      <c r="N1492" s="86"/>
      <c r="O1492" s="86"/>
      <c r="P1492" s="86"/>
      <c r="Q1492" s="86"/>
      <c r="R1492" s="86"/>
      <c r="S1492" s="86"/>
      <c r="T1492" s="86"/>
    </row>
    <row r="1493" spans="12:20" x14ac:dyDescent="0.3">
      <c r="L1493" s="86"/>
      <c r="M1493" s="86"/>
      <c r="N1493" s="86"/>
      <c r="O1493" s="86"/>
      <c r="P1493" s="86"/>
      <c r="Q1493" s="86"/>
      <c r="R1493" s="86"/>
      <c r="S1493" s="86"/>
      <c r="T1493" s="86"/>
    </row>
    <row r="1494" spans="12:20" x14ac:dyDescent="0.3">
      <c r="L1494" s="86"/>
      <c r="M1494" s="86"/>
      <c r="N1494" s="86"/>
      <c r="O1494" s="86"/>
      <c r="P1494" s="86"/>
      <c r="Q1494" s="86"/>
      <c r="R1494" s="86"/>
      <c r="S1494" s="86"/>
      <c r="T1494" s="86"/>
    </row>
    <row r="1495" spans="12:20" x14ac:dyDescent="0.3">
      <c r="L1495" s="86"/>
      <c r="M1495" s="86"/>
      <c r="N1495" s="86"/>
      <c r="O1495" s="86"/>
      <c r="P1495" s="86"/>
      <c r="Q1495" s="86"/>
      <c r="R1495" s="86"/>
      <c r="S1495" s="86"/>
      <c r="T1495" s="86"/>
    </row>
    <row r="1496" spans="12:20" x14ac:dyDescent="0.3">
      <c r="L1496" s="86"/>
      <c r="M1496" s="86"/>
      <c r="N1496" s="86"/>
      <c r="O1496" s="86"/>
      <c r="P1496" s="86"/>
      <c r="Q1496" s="86"/>
      <c r="R1496" s="86"/>
      <c r="S1496" s="86"/>
      <c r="T1496" s="86"/>
    </row>
    <row r="1497" spans="12:20" x14ac:dyDescent="0.3">
      <c r="L1497" s="86"/>
      <c r="M1497" s="86"/>
      <c r="N1497" s="86"/>
      <c r="O1497" s="86"/>
      <c r="P1497" s="86"/>
      <c r="Q1497" s="86"/>
      <c r="R1497" s="86"/>
      <c r="S1497" s="86"/>
      <c r="T1497" s="86"/>
    </row>
    <row r="1498" spans="12:20" x14ac:dyDescent="0.3">
      <c r="L1498" s="86"/>
      <c r="M1498" s="86"/>
      <c r="N1498" s="86"/>
      <c r="O1498" s="86"/>
      <c r="P1498" s="86"/>
      <c r="Q1498" s="86"/>
      <c r="R1498" s="86"/>
      <c r="S1498" s="86"/>
      <c r="T1498" s="86"/>
    </row>
    <row r="1499" spans="12:20" x14ac:dyDescent="0.3">
      <c r="L1499" s="86"/>
      <c r="M1499" s="86"/>
      <c r="N1499" s="86"/>
      <c r="O1499" s="86"/>
      <c r="P1499" s="86"/>
      <c r="Q1499" s="86"/>
      <c r="R1499" s="86"/>
      <c r="S1499" s="86"/>
      <c r="T1499" s="86"/>
    </row>
    <row r="1500" spans="12:20" x14ac:dyDescent="0.3">
      <c r="L1500" s="86"/>
      <c r="M1500" s="86"/>
      <c r="N1500" s="86"/>
      <c r="O1500" s="86"/>
      <c r="P1500" s="86"/>
      <c r="Q1500" s="86"/>
      <c r="R1500" s="86"/>
      <c r="S1500" s="86"/>
      <c r="T1500" s="86"/>
    </row>
    <row r="1501" spans="12:20" x14ac:dyDescent="0.3">
      <c r="L1501" s="86"/>
      <c r="M1501" s="86"/>
      <c r="N1501" s="86"/>
      <c r="O1501" s="86"/>
      <c r="P1501" s="86"/>
      <c r="Q1501" s="86"/>
      <c r="R1501" s="86"/>
      <c r="S1501" s="86"/>
      <c r="T1501" s="86"/>
    </row>
    <row r="1502" spans="12:20" x14ac:dyDescent="0.3">
      <c r="L1502" s="86"/>
      <c r="M1502" s="86"/>
      <c r="N1502" s="86"/>
      <c r="O1502" s="86"/>
      <c r="P1502" s="86"/>
      <c r="Q1502" s="86"/>
      <c r="R1502" s="86"/>
      <c r="S1502" s="86"/>
      <c r="T1502" s="86"/>
    </row>
    <row r="1503" spans="12:20" x14ac:dyDescent="0.3">
      <c r="L1503" s="86"/>
      <c r="M1503" s="86"/>
      <c r="N1503" s="86"/>
      <c r="O1503" s="86"/>
      <c r="P1503" s="86"/>
      <c r="Q1503" s="86"/>
      <c r="R1503" s="86"/>
      <c r="S1503" s="86"/>
      <c r="T1503" s="86"/>
    </row>
    <row r="1504" spans="12:20" x14ac:dyDescent="0.3">
      <c r="L1504" s="86"/>
      <c r="M1504" s="86"/>
      <c r="N1504" s="86"/>
      <c r="O1504" s="86"/>
      <c r="P1504" s="86"/>
      <c r="Q1504" s="86"/>
      <c r="R1504" s="86"/>
      <c r="S1504" s="86"/>
      <c r="T1504" s="86"/>
    </row>
    <row r="1505" spans="12:20" x14ac:dyDescent="0.3">
      <c r="L1505" s="86"/>
      <c r="M1505" s="86"/>
      <c r="N1505" s="86"/>
      <c r="O1505" s="86"/>
      <c r="P1505" s="86"/>
      <c r="Q1505" s="86"/>
      <c r="R1505" s="86"/>
      <c r="S1505" s="86"/>
      <c r="T1505" s="86"/>
    </row>
    <row r="1506" spans="12:20" x14ac:dyDescent="0.3">
      <c r="L1506" s="86"/>
      <c r="M1506" s="86"/>
      <c r="N1506" s="86"/>
      <c r="O1506" s="86"/>
      <c r="P1506" s="86"/>
      <c r="Q1506" s="86"/>
      <c r="R1506" s="86"/>
      <c r="S1506" s="86"/>
      <c r="T1506" s="86"/>
    </row>
    <row r="1507" spans="12:20" x14ac:dyDescent="0.3">
      <c r="L1507" s="86"/>
      <c r="M1507" s="86"/>
      <c r="N1507" s="86"/>
      <c r="O1507" s="86"/>
      <c r="P1507" s="86"/>
      <c r="Q1507" s="86"/>
      <c r="R1507" s="86"/>
      <c r="S1507" s="86"/>
      <c r="T1507" s="86"/>
    </row>
    <row r="1508" spans="12:20" x14ac:dyDescent="0.3">
      <c r="L1508" s="86"/>
      <c r="M1508" s="86"/>
      <c r="N1508" s="86"/>
      <c r="O1508" s="86"/>
      <c r="P1508" s="86"/>
      <c r="Q1508" s="86"/>
      <c r="R1508" s="86"/>
      <c r="S1508" s="86"/>
      <c r="T1508" s="86"/>
    </row>
    <row r="1509" spans="12:20" x14ac:dyDescent="0.3">
      <c r="L1509" s="86"/>
      <c r="M1509" s="86"/>
      <c r="N1509" s="86"/>
      <c r="O1509" s="86"/>
      <c r="P1509" s="86"/>
      <c r="Q1509" s="86"/>
      <c r="R1509" s="86"/>
      <c r="S1509" s="86"/>
      <c r="T1509" s="86"/>
    </row>
    <row r="1510" spans="12:20" x14ac:dyDescent="0.3">
      <c r="L1510" s="86"/>
      <c r="M1510" s="86"/>
      <c r="N1510" s="86"/>
      <c r="O1510" s="86"/>
      <c r="P1510" s="86"/>
      <c r="Q1510" s="86"/>
      <c r="R1510" s="86"/>
      <c r="S1510" s="86"/>
      <c r="T1510" s="86"/>
    </row>
    <row r="1511" spans="12:20" x14ac:dyDescent="0.3">
      <c r="L1511" s="86"/>
      <c r="M1511" s="86"/>
      <c r="N1511" s="86"/>
      <c r="O1511" s="86"/>
      <c r="P1511" s="86"/>
      <c r="Q1511" s="86"/>
      <c r="R1511" s="86"/>
      <c r="S1511" s="86"/>
      <c r="T1511" s="86"/>
    </row>
    <row r="1512" spans="12:20" x14ac:dyDescent="0.3">
      <c r="L1512" s="86"/>
      <c r="M1512" s="86"/>
      <c r="N1512" s="86"/>
      <c r="O1512" s="86"/>
      <c r="P1512" s="86"/>
      <c r="Q1512" s="86"/>
      <c r="R1512" s="86"/>
      <c r="S1512" s="86"/>
      <c r="T1512" s="86"/>
    </row>
    <row r="1513" spans="12:20" x14ac:dyDescent="0.3">
      <c r="L1513" s="86"/>
      <c r="M1513" s="86"/>
      <c r="N1513" s="86"/>
      <c r="O1513" s="86"/>
      <c r="P1513" s="86"/>
      <c r="Q1513" s="86"/>
      <c r="R1513" s="86"/>
      <c r="S1513" s="86"/>
      <c r="T1513" s="86"/>
    </row>
    <row r="1514" spans="12:20" x14ac:dyDescent="0.3">
      <c r="L1514" s="86"/>
      <c r="M1514" s="86"/>
      <c r="N1514" s="86"/>
      <c r="O1514" s="86"/>
      <c r="P1514" s="86"/>
      <c r="Q1514" s="86"/>
      <c r="R1514" s="86"/>
      <c r="S1514" s="86"/>
      <c r="T1514" s="86"/>
    </row>
    <row r="1515" spans="12:20" x14ac:dyDescent="0.3">
      <c r="L1515" s="86"/>
      <c r="M1515" s="86"/>
      <c r="N1515" s="86"/>
      <c r="O1515" s="86"/>
      <c r="P1515" s="86"/>
      <c r="Q1515" s="86"/>
      <c r="R1515" s="86"/>
      <c r="S1515" s="86"/>
      <c r="T1515" s="86"/>
    </row>
    <row r="1516" spans="12:20" x14ac:dyDescent="0.3">
      <c r="L1516" s="86"/>
      <c r="M1516" s="86"/>
      <c r="N1516" s="86"/>
      <c r="O1516" s="86"/>
      <c r="P1516" s="86"/>
      <c r="Q1516" s="86"/>
      <c r="R1516" s="86"/>
      <c r="S1516" s="86"/>
      <c r="T1516" s="86"/>
    </row>
    <row r="1517" spans="12:20" x14ac:dyDescent="0.3">
      <c r="L1517" s="86"/>
      <c r="M1517" s="86"/>
      <c r="N1517" s="86"/>
      <c r="O1517" s="86"/>
      <c r="P1517" s="86"/>
      <c r="Q1517" s="86"/>
      <c r="R1517" s="86"/>
      <c r="S1517" s="86"/>
      <c r="T1517" s="86"/>
    </row>
    <row r="1518" spans="12:20" x14ac:dyDescent="0.3">
      <c r="L1518" s="86"/>
      <c r="M1518" s="86"/>
      <c r="N1518" s="86"/>
      <c r="O1518" s="86"/>
      <c r="P1518" s="86"/>
      <c r="Q1518" s="86"/>
      <c r="R1518" s="86"/>
      <c r="S1518" s="86"/>
      <c r="T1518" s="86"/>
    </row>
    <row r="1519" spans="12:20" x14ac:dyDescent="0.3">
      <c r="L1519" s="86"/>
      <c r="M1519" s="86"/>
      <c r="N1519" s="86"/>
      <c r="O1519" s="86"/>
      <c r="P1519" s="86"/>
      <c r="Q1519" s="86"/>
      <c r="R1519" s="86"/>
      <c r="S1519" s="86"/>
      <c r="T1519" s="86"/>
    </row>
    <row r="1520" spans="12:20" x14ac:dyDescent="0.3">
      <c r="L1520" s="86"/>
      <c r="M1520" s="86"/>
      <c r="N1520" s="86"/>
      <c r="O1520" s="86"/>
      <c r="P1520" s="86"/>
      <c r="Q1520" s="86"/>
      <c r="R1520" s="86"/>
      <c r="S1520" s="86"/>
      <c r="T1520" s="86"/>
    </row>
    <row r="1521" spans="12:20" x14ac:dyDescent="0.3">
      <c r="L1521" s="86"/>
      <c r="M1521" s="86"/>
      <c r="N1521" s="86"/>
      <c r="O1521" s="86"/>
      <c r="P1521" s="86"/>
      <c r="Q1521" s="86"/>
      <c r="R1521" s="86"/>
      <c r="S1521" s="86"/>
      <c r="T1521" s="86"/>
    </row>
    <row r="1522" spans="12:20" x14ac:dyDescent="0.3">
      <c r="L1522" s="86"/>
      <c r="M1522" s="86"/>
      <c r="N1522" s="86"/>
      <c r="O1522" s="86"/>
      <c r="P1522" s="86"/>
      <c r="Q1522" s="86"/>
      <c r="R1522" s="86"/>
      <c r="S1522" s="86"/>
      <c r="T1522" s="86"/>
    </row>
    <row r="1523" spans="12:20" x14ac:dyDescent="0.3">
      <c r="L1523" s="86"/>
      <c r="M1523" s="86"/>
      <c r="N1523" s="86"/>
      <c r="O1523" s="86"/>
      <c r="P1523" s="86"/>
      <c r="Q1523" s="86"/>
      <c r="R1523" s="86"/>
      <c r="S1523" s="86"/>
      <c r="T1523" s="86"/>
    </row>
    <row r="1524" spans="12:20" x14ac:dyDescent="0.3">
      <c r="L1524" s="86"/>
      <c r="M1524" s="86"/>
      <c r="N1524" s="86"/>
      <c r="O1524" s="86"/>
      <c r="P1524" s="86"/>
      <c r="Q1524" s="86"/>
      <c r="R1524" s="86"/>
      <c r="S1524" s="86"/>
      <c r="T1524" s="86"/>
    </row>
    <row r="1525" spans="12:20" x14ac:dyDescent="0.3">
      <c r="L1525" s="86"/>
      <c r="M1525" s="86"/>
      <c r="N1525" s="86"/>
      <c r="O1525" s="86"/>
      <c r="P1525" s="86"/>
      <c r="Q1525" s="86"/>
      <c r="R1525" s="86"/>
      <c r="S1525" s="86"/>
      <c r="T1525" s="86"/>
    </row>
    <row r="1526" spans="12:20" x14ac:dyDescent="0.3">
      <c r="L1526" s="86"/>
      <c r="M1526" s="86"/>
      <c r="N1526" s="86"/>
      <c r="O1526" s="86"/>
      <c r="P1526" s="86"/>
      <c r="Q1526" s="86"/>
      <c r="R1526" s="86"/>
      <c r="S1526" s="86"/>
      <c r="T1526" s="86"/>
    </row>
    <row r="1527" spans="12:20" x14ac:dyDescent="0.3">
      <c r="L1527" s="86"/>
      <c r="M1527" s="86"/>
      <c r="N1527" s="86"/>
      <c r="O1527" s="86"/>
      <c r="P1527" s="86"/>
      <c r="Q1527" s="86"/>
      <c r="R1527" s="86"/>
      <c r="S1527" s="86"/>
      <c r="T1527" s="86"/>
    </row>
    <row r="1528" spans="12:20" x14ac:dyDescent="0.3">
      <c r="L1528" s="86"/>
      <c r="M1528" s="86"/>
      <c r="N1528" s="86"/>
      <c r="O1528" s="86"/>
      <c r="P1528" s="86"/>
      <c r="Q1528" s="86"/>
      <c r="R1528" s="86"/>
      <c r="S1528" s="86"/>
      <c r="T1528" s="86"/>
    </row>
    <row r="1529" spans="12:20" x14ac:dyDescent="0.3">
      <c r="L1529" s="86"/>
      <c r="M1529" s="86"/>
      <c r="N1529" s="86"/>
      <c r="O1529" s="86"/>
      <c r="P1529" s="86"/>
      <c r="Q1529" s="86"/>
      <c r="R1529" s="86"/>
      <c r="S1529" s="86"/>
      <c r="T1529" s="86"/>
    </row>
    <row r="1530" spans="12:20" x14ac:dyDescent="0.3">
      <c r="L1530" s="86"/>
      <c r="M1530" s="86"/>
      <c r="N1530" s="86"/>
      <c r="O1530" s="86"/>
      <c r="P1530" s="86"/>
      <c r="Q1530" s="86"/>
      <c r="R1530" s="86"/>
      <c r="S1530" s="86"/>
      <c r="T1530" s="86"/>
    </row>
    <row r="1531" spans="12:20" x14ac:dyDescent="0.3">
      <c r="L1531" s="86"/>
      <c r="M1531" s="86"/>
      <c r="N1531" s="86"/>
      <c r="O1531" s="86"/>
      <c r="P1531" s="86"/>
      <c r="Q1531" s="86"/>
      <c r="R1531" s="86"/>
      <c r="S1531" s="86"/>
      <c r="T1531" s="86"/>
    </row>
    <row r="1532" spans="12:20" x14ac:dyDescent="0.3">
      <c r="L1532" s="86"/>
      <c r="M1532" s="86"/>
      <c r="N1532" s="86"/>
      <c r="O1532" s="86"/>
      <c r="P1532" s="86"/>
      <c r="Q1532" s="86"/>
      <c r="R1532" s="86"/>
      <c r="S1532" s="86"/>
      <c r="T1532" s="86"/>
    </row>
    <row r="1533" spans="12:20" x14ac:dyDescent="0.3">
      <c r="L1533" s="86"/>
      <c r="M1533" s="86"/>
      <c r="N1533" s="86"/>
      <c r="O1533" s="86"/>
      <c r="P1533" s="86"/>
      <c r="Q1533" s="86"/>
      <c r="R1533" s="86"/>
      <c r="S1533" s="86"/>
      <c r="T1533" s="86"/>
    </row>
    <row r="1534" spans="12:20" x14ac:dyDescent="0.3">
      <c r="L1534" s="86"/>
      <c r="M1534" s="86"/>
      <c r="N1534" s="86"/>
      <c r="O1534" s="86"/>
      <c r="P1534" s="86"/>
      <c r="Q1534" s="86"/>
      <c r="R1534" s="86"/>
      <c r="S1534" s="86"/>
      <c r="T1534" s="86"/>
    </row>
    <row r="1535" spans="12:20" x14ac:dyDescent="0.3">
      <c r="L1535" s="86"/>
      <c r="M1535" s="86"/>
      <c r="N1535" s="86"/>
      <c r="O1535" s="86"/>
      <c r="P1535" s="86"/>
      <c r="Q1535" s="86"/>
      <c r="R1535" s="86"/>
      <c r="S1535" s="86"/>
      <c r="T1535" s="86"/>
    </row>
    <row r="1536" spans="12:20" x14ac:dyDescent="0.3">
      <c r="L1536" s="86"/>
      <c r="M1536" s="86"/>
      <c r="N1536" s="86"/>
      <c r="O1536" s="86"/>
      <c r="P1536" s="86"/>
      <c r="Q1536" s="86"/>
      <c r="R1536" s="86"/>
      <c r="S1536" s="86"/>
      <c r="T1536" s="86"/>
    </row>
    <row r="1537" spans="12:20" x14ac:dyDescent="0.3">
      <c r="L1537" s="86"/>
      <c r="M1537" s="86"/>
      <c r="N1537" s="86"/>
      <c r="O1537" s="86"/>
      <c r="P1537" s="86"/>
      <c r="Q1537" s="86"/>
      <c r="R1537" s="86"/>
      <c r="S1537" s="86"/>
      <c r="T1537" s="86"/>
    </row>
    <row r="1538" spans="12:20" x14ac:dyDescent="0.3">
      <c r="L1538" s="86"/>
      <c r="M1538" s="86"/>
      <c r="N1538" s="86"/>
      <c r="O1538" s="86"/>
      <c r="P1538" s="86"/>
      <c r="Q1538" s="86"/>
      <c r="R1538" s="86"/>
      <c r="S1538" s="86"/>
      <c r="T1538" s="86"/>
    </row>
    <row r="1539" spans="12:20" x14ac:dyDescent="0.3">
      <c r="L1539" s="86"/>
      <c r="M1539" s="86"/>
      <c r="N1539" s="86"/>
      <c r="O1539" s="86"/>
      <c r="P1539" s="86"/>
      <c r="Q1539" s="86"/>
      <c r="R1539" s="86"/>
      <c r="S1539" s="86"/>
      <c r="T1539" s="86"/>
    </row>
    <row r="1540" spans="12:20" x14ac:dyDescent="0.3">
      <c r="L1540" s="86"/>
      <c r="M1540" s="86"/>
      <c r="N1540" s="86"/>
      <c r="O1540" s="86"/>
      <c r="P1540" s="86"/>
      <c r="Q1540" s="86"/>
      <c r="R1540" s="86"/>
      <c r="S1540" s="86"/>
      <c r="T1540" s="86"/>
    </row>
    <row r="1541" spans="12:20" x14ac:dyDescent="0.3">
      <c r="L1541" s="86"/>
      <c r="M1541" s="86"/>
      <c r="N1541" s="86"/>
      <c r="O1541" s="86"/>
      <c r="P1541" s="86"/>
      <c r="Q1541" s="86"/>
      <c r="R1541" s="86"/>
      <c r="S1541" s="86"/>
      <c r="T1541" s="86"/>
    </row>
    <row r="1542" spans="12:20" x14ac:dyDescent="0.3">
      <c r="L1542" s="86"/>
      <c r="M1542" s="86"/>
      <c r="N1542" s="86"/>
      <c r="O1542" s="86"/>
      <c r="P1542" s="86"/>
      <c r="Q1542" s="86"/>
      <c r="R1542" s="86"/>
      <c r="S1542" s="86"/>
      <c r="T1542" s="86"/>
    </row>
    <row r="1543" spans="12:20" x14ac:dyDescent="0.3">
      <c r="L1543" s="86"/>
      <c r="M1543" s="86"/>
      <c r="N1543" s="86"/>
      <c r="O1543" s="86"/>
      <c r="P1543" s="86"/>
      <c r="Q1543" s="86"/>
      <c r="R1543" s="86"/>
      <c r="S1543" s="86"/>
      <c r="T1543" s="86"/>
    </row>
    <row r="1544" spans="12:20" x14ac:dyDescent="0.3">
      <c r="L1544" s="86"/>
      <c r="M1544" s="86"/>
      <c r="N1544" s="86"/>
      <c r="O1544" s="86"/>
      <c r="P1544" s="86"/>
      <c r="Q1544" s="86"/>
      <c r="R1544" s="86"/>
      <c r="S1544" s="86"/>
      <c r="T1544" s="86"/>
    </row>
    <row r="1545" spans="12:20" x14ac:dyDescent="0.3">
      <c r="L1545" s="86"/>
      <c r="M1545" s="86"/>
      <c r="N1545" s="86"/>
      <c r="O1545" s="86"/>
      <c r="P1545" s="86"/>
      <c r="Q1545" s="86"/>
      <c r="R1545" s="86"/>
      <c r="S1545" s="86"/>
      <c r="T1545" s="86"/>
    </row>
    <row r="1546" spans="12:20" x14ac:dyDescent="0.3">
      <c r="L1546" s="86"/>
      <c r="M1546" s="86"/>
      <c r="N1546" s="86"/>
      <c r="O1546" s="86"/>
      <c r="P1546" s="86"/>
      <c r="Q1546" s="86"/>
      <c r="R1546" s="86"/>
      <c r="S1546" s="86"/>
      <c r="T1546" s="86"/>
    </row>
    <row r="1547" spans="12:20" x14ac:dyDescent="0.3">
      <c r="L1547" s="86"/>
      <c r="M1547" s="86"/>
      <c r="N1547" s="86"/>
      <c r="O1547" s="86"/>
      <c r="P1547" s="86"/>
      <c r="Q1547" s="86"/>
      <c r="R1547" s="86"/>
      <c r="S1547" s="86"/>
      <c r="T1547" s="86"/>
    </row>
    <row r="1548" spans="12:20" x14ac:dyDescent="0.3">
      <c r="L1548" s="86"/>
      <c r="M1548" s="86"/>
      <c r="N1548" s="86"/>
      <c r="O1548" s="86"/>
      <c r="P1548" s="86"/>
      <c r="Q1548" s="86"/>
      <c r="R1548" s="86"/>
      <c r="S1548" s="86"/>
      <c r="T1548" s="86"/>
    </row>
    <row r="1549" spans="12:20" x14ac:dyDescent="0.3">
      <c r="L1549" s="86"/>
      <c r="M1549" s="86"/>
      <c r="N1549" s="86"/>
      <c r="O1549" s="86"/>
      <c r="P1549" s="86"/>
      <c r="Q1549" s="86"/>
      <c r="R1549" s="86"/>
      <c r="S1549" s="86"/>
      <c r="T1549" s="86"/>
    </row>
    <row r="1550" spans="12:20" x14ac:dyDescent="0.3">
      <c r="L1550" s="86"/>
      <c r="M1550" s="86"/>
      <c r="N1550" s="86"/>
      <c r="O1550" s="86"/>
      <c r="P1550" s="86"/>
      <c r="Q1550" s="86"/>
      <c r="R1550" s="86"/>
      <c r="S1550" s="86"/>
      <c r="T1550" s="86"/>
    </row>
    <row r="1551" spans="12:20" x14ac:dyDescent="0.3">
      <c r="L1551" s="86"/>
      <c r="M1551" s="86"/>
      <c r="N1551" s="86"/>
      <c r="O1551" s="86"/>
      <c r="P1551" s="86"/>
      <c r="Q1551" s="86"/>
      <c r="R1551" s="86"/>
      <c r="S1551" s="86"/>
      <c r="T1551" s="86"/>
    </row>
    <row r="1552" spans="12:20" x14ac:dyDescent="0.3">
      <c r="L1552" s="86"/>
      <c r="M1552" s="86"/>
      <c r="N1552" s="86"/>
      <c r="O1552" s="86"/>
      <c r="P1552" s="86"/>
      <c r="Q1552" s="86"/>
      <c r="R1552" s="86"/>
      <c r="S1552" s="86"/>
      <c r="T1552" s="86"/>
    </row>
    <row r="1553" spans="12:20" x14ac:dyDescent="0.3">
      <c r="L1553" s="86"/>
      <c r="M1553" s="86"/>
      <c r="N1553" s="86"/>
      <c r="O1553" s="86"/>
      <c r="P1553" s="86"/>
      <c r="Q1553" s="86"/>
      <c r="R1553" s="86"/>
      <c r="S1553" s="86"/>
      <c r="T1553" s="86"/>
    </row>
    <row r="1554" spans="12:20" x14ac:dyDescent="0.3">
      <c r="L1554" s="86"/>
      <c r="M1554" s="86"/>
      <c r="N1554" s="86"/>
      <c r="O1554" s="86"/>
      <c r="P1554" s="86"/>
      <c r="Q1554" s="86"/>
      <c r="R1554" s="86"/>
      <c r="S1554" s="86"/>
      <c r="T1554" s="86"/>
    </row>
    <row r="1555" spans="12:20" x14ac:dyDescent="0.3">
      <c r="L1555" s="86"/>
      <c r="M1555" s="86"/>
      <c r="N1555" s="86"/>
      <c r="O1555" s="86"/>
      <c r="P1555" s="86"/>
      <c r="Q1555" s="86"/>
      <c r="R1555" s="86"/>
      <c r="S1555" s="86"/>
      <c r="T1555" s="86"/>
    </row>
    <row r="1556" spans="12:20" x14ac:dyDescent="0.3">
      <c r="L1556" s="86"/>
      <c r="M1556" s="86"/>
      <c r="N1556" s="86"/>
      <c r="O1556" s="86"/>
      <c r="P1556" s="86"/>
      <c r="Q1556" s="86"/>
      <c r="R1556" s="86"/>
      <c r="S1556" s="86"/>
      <c r="T1556" s="86"/>
    </row>
    <row r="1557" spans="12:20" x14ac:dyDescent="0.3">
      <c r="L1557" s="86"/>
      <c r="M1557" s="86"/>
      <c r="N1557" s="86"/>
      <c r="O1557" s="86"/>
      <c r="P1557" s="86"/>
      <c r="Q1557" s="86"/>
      <c r="R1557" s="86"/>
      <c r="S1557" s="86"/>
      <c r="T1557" s="86"/>
    </row>
    <row r="1558" spans="12:20" x14ac:dyDescent="0.3">
      <c r="L1558" s="86"/>
      <c r="M1558" s="86"/>
      <c r="N1558" s="86"/>
      <c r="O1558" s="86"/>
      <c r="P1558" s="86"/>
      <c r="Q1558" s="86"/>
      <c r="R1558" s="86"/>
      <c r="S1558" s="86"/>
      <c r="T1558" s="86"/>
    </row>
    <row r="1559" spans="12:20" x14ac:dyDescent="0.3">
      <c r="L1559" s="86"/>
      <c r="M1559" s="86"/>
      <c r="N1559" s="86"/>
      <c r="O1559" s="86"/>
      <c r="P1559" s="86"/>
      <c r="Q1559" s="86"/>
      <c r="R1559" s="86"/>
      <c r="S1559" s="86"/>
      <c r="T1559" s="86"/>
    </row>
    <row r="1560" spans="12:20" x14ac:dyDescent="0.3">
      <c r="L1560" s="86"/>
      <c r="M1560" s="86"/>
      <c r="N1560" s="86"/>
      <c r="O1560" s="86"/>
      <c r="P1560" s="86"/>
      <c r="Q1560" s="86"/>
      <c r="R1560" s="86"/>
      <c r="S1560" s="86"/>
      <c r="T1560" s="86"/>
    </row>
    <row r="1561" spans="12:20" x14ac:dyDescent="0.3">
      <c r="L1561" s="86"/>
      <c r="M1561" s="86"/>
      <c r="N1561" s="86"/>
      <c r="O1561" s="86"/>
      <c r="P1561" s="86"/>
      <c r="Q1561" s="86"/>
      <c r="R1561" s="86"/>
      <c r="S1561" s="86"/>
      <c r="T1561" s="86"/>
    </row>
    <row r="1562" spans="12:20" x14ac:dyDescent="0.3">
      <c r="L1562" s="86"/>
      <c r="M1562" s="86"/>
      <c r="N1562" s="86"/>
      <c r="O1562" s="86"/>
      <c r="P1562" s="86"/>
      <c r="Q1562" s="86"/>
      <c r="R1562" s="86"/>
      <c r="S1562" s="86"/>
      <c r="T1562" s="86"/>
    </row>
    <row r="1563" spans="12:20" x14ac:dyDescent="0.3">
      <c r="L1563" s="86"/>
      <c r="M1563" s="86"/>
      <c r="N1563" s="86"/>
      <c r="O1563" s="86"/>
      <c r="P1563" s="86"/>
      <c r="Q1563" s="86"/>
      <c r="R1563" s="86"/>
      <c r="S1563" s="86"/>
      <c r="T1563" s="86"/>
    </row>
    <row r="1564" spans="12:20" x14ac:dyDescent="0.3">
      <c r="L1564" s="86"/>
      <c r="M1564" s="87"/>
      <c r="N1564" s="87"/>
      <c r="O1564" s="86"/>
      <c r="P1564" s="89"/>
      <c r="Q1564" s="89"/>
      <c r="R1564" s="89"/>
      <c r="S1564" s="89"/>
      <c r="T1564" s="86"/>
    </row>
    <row r="1565" spans="12:20" x14ac:dyDescent="0.3">
      <c r="L1565" s="86"/>
      <c r="M1565" s="87"/>
      <c r="N1565" s="87"/>
      <c r="O1565" s="89"/>
      <c r="P1565" s="89"/>
      <c r="Q1565" s="89"/>
      <c r="R1565" s="89"/>
      <c r="S1565" s="89"/>
      <c r="T1565" s="86"/>
    </row>
    <row r="1566" spans="12:20" x14ac:dyDescent="0.3">
      <c r="L1566" s="86"/>
      <c r="M1566" s="87"/>
      <c r="N1566" s="87"/>
      <c r="O1566" s="89"/>
      <c r="P1566" s="89"/>
      <c r="Q1566" s="89"/>
      <c r="R1566" s="89"/>
      <c r="S1566" s="89"/>
      <c r="T1566" s="86"/>
    </row>
    <row r="1567" spans="12:20" x14ac:dyDescent="0.3">
      <c r="L1567" s="86"/>
      <c r="M1567" s="87"/>
      <c r="N1567" s="87"/>
      <c r="O1567" s="89"/>
      <c r="P1567" s="89"/>
      <c r="Q1567" s="89"/>
      <c r="R1567" s="89"/>
      <c r="S1567" s="89"/>
      <c r="T1567" s="86"/>
    </row>
    <row r="1568" spans="12:20" x14ac:dyDescent="0.3">
      <c r="L1568" s="86"/>
      <c r="M1568" s="87"/>
      <c r="N1568" s="87"/>
      <c r="O1568" s="89"/>
      <c r="P1568" s="89"/>
      <c r="Q1568" s="89"/>
      <c r="R1568" s="89"/>
      <c r="S1568" s="89"/>
      <c r="T1568" s="86"/>
    </row>
    <row r="1569" spans="12:20" x14ac:dyDescent="0.3">
      <c r="L1569" s="86"/>
      <c r="M1569" s="87"/>
      <c r="N1569" s="87"/>
      <c r="O1569" s="89"/>
      <c r="P1569" s="89"/>
      <c r="Q1569" s="89"/>
      <c r="R1569" s="89"/>
      <c r="S1569" s="89"/>
      <c r="T1569" s="86"/>
    </row>
    <row r="1570" spans="12:20" x14ac:dyDescent="0.3">
      <c r="L1570" s="86"/>
      <c r="M1570" s="87"/>
      <c r="N1570" s="87"/>
      <c r="O1570" s="89"/>
      <c r="P1570" s="89"/>
      <c r="Q1570" s="89"/>
      <c r="R1570" s="89"/>
      <c r="S1570" s="89"/>
      <c r="T1570" s="86"/>
    </row>
    <row r="1571" spans="12:20" x14ac:dyDescent="0.3">
      <c r="L1571" s="86"/>
      <c r="M1571" s="87"/>
      <c r="N1571" s="87"/>
      <c r="O1571" s="89"/>
      <c r="P1571" s="89"/>
      <c r="Q1571" s="89"/>
      <c r="R1571" s="89"/>
      <c r="S1571" s="89"/>
      <c r="T1571" s="86"/>
    </row>
    <row r="1572" spans="12:20" x14ac:dyDescent="0.3">
      <c r="L1572" s="86"/>
      <c r="M1572" s="87"/>
      <c r="N1572" s="87"/>
      <c r="O1572" s="89"/>
      <c r="P1572" s="89"/>
      <c r="Q1572" s="89"/>
      <c r="R1572" s="89"/>
      <c r="S1572" s="89"/>
      <c r="T1572" s="86"/>
    </row>
    <row r="1573" spans="12:20" x14ac:dyDescent="0.3">
      <c r="L1573" s="86"/>
      <c r="M1573" s="87"/>
      <c r="N1573" s="87"/>
      <c r="O1573" s="89"/>
      <c r="P1573" s="89"/>
      <c r="Q1573" s="89"/>
      <c r="R1573" s="89"/>
      <c r="S1573" s="89"/>
      <c r="T1573" s="86"/>
    </row>
    <row r="1574" spans="12:20" x14ac:dyDescent="0.3">
      <c r="L1574" s="86"/>
      <c r="M1574" s="87"/>
      <c r="N1574" s="87"/>
      <c r="O1574" s="89"/>
      <c r="P1574" s="89"/>
      <c r="Q1574" s="89"/>
      <c r="R1574" s="89"/>
      <c r="S1574" s="89"/>
      <c r="T1574" s="86"/>
    </row>
    <row r="1575" spans="12:20" x14ac:dyDescent="0.3">
      <c r="L1575" s="86"/>
      <c r="M1575" s="87"/>
      <c r="N1575" s="87"/>
      <c r="O1575" s="89"/>
      <c r="P1575" s="89"/>
      <c r="Q1575" s="89"/>
      <c r="R1575" s="89"/>
      <c r="S1575" s="89"/>
      <c r="T1575" s="86"/>
    </row>
    <row r="1576" spans="12:20" x14ac:dyDescent="0.3">
      <c r="L1576" s="86"/>
      <c r="M1576" s="87"/>
      <c r="N1576" s="87"/>
      <c r="O1576" s="89"/>
      <c r="P1576" s="89"/>
      <c r="Q1576" s="89"/>
      <c r="R1576" s="89"/>
      <c r="S1576" s="89"/>
      <c r="T1576" s="86"/>
    </row>
    <row r="1577" spans="12:20" x14ac:dyDescent="0.3">
      <c r="L1577" s="86"/>
      <c r="M1577" s="87"/>
      <c r="N1577" s="87"/>
      <c r="O1577" s="89"/>
      <c r="P1577" s="89"/>
      <c r="Q1577" s="89"/>
      <c r="R1577" s="89"/>
      <c r="S1577" s="89"/>
      <c r="T1577" s="86"/>
    </row>
    <row r="1578" spans="12:20" x14ac:dyDescent="0.3">
      <c r="L1578" s="86"/>
      <c r="M1578" s="87"/>
      <c r="N1578" s="87"/>
      <c r="O1578" s="89"/>
      <c r="P1578" s="89"/>
      <c r="Q1578" s="89"/>
      <c r="R1578" s="89"/>
      <c r="S1578" s="89"/>
      <c r="T1578" s="86"/>
    </row>
    <row r="1579" spans="12:20" x14ac:dyDescent="0.3">
      <c r="L1579" s="86"/>
      <c r="M1579" s="87"/>
      <c r="N1579" s="87"/>
      <c r="O1579" s="89"/>
      <c r="P1579" s="89"/>
      <c r="Q1579" s="89"/>
      <c r="R1579" s="89"/>
      <c r="S1579" s="89"/>
      <c r="T1579" s="86"/>
    </row>
    <row r="1580" spans="12:20" x14ac:dyDescent="0.3">
      <c r="L1580" s="86"/>
      <c r="M1580" s="87"/>
      <c r="N1580" s="87"/>
      <c r="O1580" s="89"/>
      <c r="P1580" s="89"/>
      <c r="Q1580" s="89"/>
      <c r="R1580" s="89"/>
      <c r="S1580" s="89"/>
      <c r="T1580" s="86"/>
    </row>
    <row r="1581" spans="12:20" x14ac:dyDescent="0.3">
      <c r="L1581" s="86"/>
      <c r="M1581" s="87"/>
      <c r="N1581" s="87"/>
      <c r="O1581" s="89"/>
      <c r="P1581" s="89"/>
      <c r="Q1581" s="89"/>
      <c r="R1581" s="89"/>
      <c r="S1581" s="89"/>
      <c r="T1581" s="86"/>
    </row>
    <row r="1582" spans="12:20" x14ac:dyDescent="0.3">
      <c r="L1582" s="86"/>
      <c r="M1582" s="87"/>
      <c r="N1582" s="87"/>
      <c r="O1582" s="89"/>
      <c r="P1582" s="89"/>
      <c r="Q1582" s="89"/>
      <c r="R1582" s="89"/>
      <c r="S1582" s="89"/>
      <c r="T1582" s="86"/>
    </row>
    <row r="1583" spans="12:20" x14ac:dyDescent="0.3">
      <c r="L1583" s="86"/>
      <c r="M1583" s="87"/>
      <c r="N1583" s="87"/>
      <c r="O1583" s="89"/>
      <c r="P1583" s="89"/>
      <c r="Q1583" s="89"/>
      <c r="R1583" s="89"/>
      <c r="S1583" s="89"/>
      <c r="T1583" s="86"/>
    </row>
    <row r="1584" spans="12:20" x14ac:dyDescent="0.3">
      <c r="L1584" s="86"/>
      <c r="M1584" s="87"/>
      <c r="N1584" s="87"/>
      <c r="O1584" s="89"/>
      <c r="P1584" s="89"/>
      <c r="Q1584" s="89"/>
      <c r="R1584" s="89"/>
      <c r="S1584" s="89"/>
      <c r="T1584" s="86"/>
    </row>
    <row r="1585" spans="12:20" x14ac:dyDescent="0.3">
      <c r="L1585" s="86"/>
      <c r="M1585" s="87"/>
      <c r="N1585" s="87"/>
      <c r="O1585" s="89"/>
      <c r="P1585" s="89"/>
      <c r="Q1585" s="89"/>
      <c r="R1585" s="89"/>
      <c r="S1585" s="89"/>
      <c r="T1585" s="86"/>
    </row>
    <row r="1586" spans="12:20" x14ac:dyDescent="0.3">
      <c r="L1586" s="86"/>
      <c r="M1586" s="87"/>
      <c r="N1586" s="87"/>
      <c r="O1586" s="89"/>
      <c r="P1586" s="89"/>
      <c r="Q1586" s="89"/>
      <c r="R1586" s="89"/>
      <c r="S1586" s="89"/>
      <c r="T1586" s="86"/>
    </row>
    <row r="1587" spans="12:20" x14ac:dyDescent="0.3">
      <c r="L1587" s="86"/>
      <c r="M1587" s="87"/>
      <c r="N1587" s="87"/>
      <c r="O1587" s="89"/>
      <c r="P1587" s="89"/>
      <c r="Q1587" s="89"/>
      <c r="R1587" s="89"/>
      <c r="S1587" s="89"/>
      <c r="T1587" s="86"/>
    </row>
    <row r="1588" spans="12:20" x14ac:dyDescent="0.3">
      <c r="L1588" s="86"/>
      <c r="M1588" s="87"/>
      <c r="N1588" s="87"/>
      <c r="O1588" s="89"/>
      <c r="P1588" s="89"/>
      <c r="Q1588" s="89"/>
      <c r="R1588" s="89"/>
      <c r="S1588" s="89"/>
      <c r="T1588" s="86"/>
    </row>
    <row r="1589" spans="12:20" x14ac:dyDescent="0.3">
      <c r="L1589" s="86"/>
      <c r="M1589" s="87"/>
      <c r="N1589" s="87"/>
      <c r="O1589" s="89"/>
      <c r="P1589" s="89"/>
      <c r="Q1589" s="89"/>
      <c r="R1589" s="89"/>
      <c r="S1589" s="89"/>
      <c r="T1589" s="86"/>
    </row>
    <row r="1590" spans="12:20" x14ac:dyDescent="0.3">
      <c r="L1590" s="86"/>
      <c r="M1590" s="87"/>
      <c r="N1590" s="87"/>
      <c r="O1590" s="89"/>
      <c r="P1590" s="89"/>
      <c r="Q1590" s="89"/>
      <c r="R1590" s="89"/>
      <c r="S1590" s="89"/>
      <c r="T1590" s="86"/>
    </row>
    <row r="1591" spans="12:20" x14ac:dyDescent="0.3">
      <c r="L1591" s="86"/>
      <c r="M1591" s="87"/>
      <c r="N1591" s="87"/>
      <c r="O1591" s="89"/>
      <c r="P1591" s="89"/>
      <c r="Q1591" s="89"/>
      <c r="R1591" s="89"/>
      <c r="S1591" s="89"/>
      <c r="T1591" s="86"/>
    </row>
    <row r="1592" spans="12:20" x14ac:dyDescent="0.3">
      <c r="L1592" s="86"/>
      <c r="M1592" s="87"/>
      <c r="N1592" s="87"/>
      <c r="O1592" s="89"/>
      <c r="P1592" s="89"/>
      <c r="Q1592" s="89"/>
      <c r="R1592" s="89"/>
      <c r="S1592" s="89"/>
      <c r="T1592" s="86"/>
    </row>
    <row r="1593" spans="12:20" x14ac:dyDescent="0.3">
      <c r="L1593" s="86"/>
      <c r="M1593" s="87"/>
      <c r="N1593" s="87"/>
      <c r="O1593" s="89"/>
      <c r="P1593" s="89"/>
      <c r="Q1593" s="89"/>
      <c r="R1593" s="89"/>
      <c r="S1593" s="89"/>
      <c r="T1593" s="86"/>
    </row>
    <row r="1594" spans="12:20" x14ac:dyDescent="0.3">
      <c r="L1594" s="86"/>
      <c r="M1594" s="87"/>
      <c r="N1594" s="87"/>
      <c r="O1594" s="89"/>
      <c r="P1594" s="89"/>
      <c r="Q1594" s="89"/>
      <c r="R1594" s="89"/>
      <c r="S1594" s="89"/>
      <c r="T1594" s="86"/>
    </row>
    <row r="1595" spans="12:20" x14ac:dyDescent="0.3">
      <c r="L1595" s="86"/>
      <c r="M1595" s="87"/>
      <c r="N1595" s="87"/>
      <c r="O1595" s="89"/>
      <c r="P1595" s="89"/>
      <c r="Q1595" s="89"/>
      <c r="R1595" s="89"/>
      <c r="S1595" s="89"/>
      <c r="T1595" s="86"/>
    </row>
    <row r="1596" spans="12:20" x14ac:dyDescent="0.3">
      <c r="L1596" s="86"/>
      <c r="M1596" s="87"/>
      <c r="N1596" s="87"/>
      <c r="O1596" s="89"/>
      <c r="P1596" s="89"/>
      <c r="Q1596" s="89"/>
      <c r="R1596" s="89"/>
      <c r="S1596" s="89"/>
      <c r="T1596" s="86"/>
    </row>
    <row r="1597" spans="12:20" x14ac:dyDescent="0.3">
      <c r="L1597" s="86"/>
      <c r="M1597" s="87"/>
      <c r="N1597" s="87"/>
      <c r="O1597" s="89"/>
      <c r="P1597" s="89"/>
      <c r="Q1597" s="89"/>
      <c r="R1597" s="89"/>
      <c r="S1597" s="89"/>
      <c r="T1597" s="86"/>
    </row>
    <row r="1598" spans="12:20" x14ac:dyDescent="0.3">
      <c r="L1598" s="86"/>
      <c r="M1598" s="87"/>
      <c r="N1598" s="87"/>
      <c r="O1598" s="89"/>
      <c r="P1598" s="89"/>
      <c r="Q1598" s="89"/>
      <c r="R1598" s="89"/>
      <c r="S1598" s="89"/>
      <c r="T1598" s="86"/>
    </row>
    <row r="1599" spans="12:20" x14ac:dyDescent="0.3">
      <c r="L1599" s="86"/>
      <c r="M1599" s="87"/>
      <c r="N1599" s="87"/>
      <c r="O1599" s="89"/>
      <c r="P1599" s="89"/>
      <c r="Q1599" s="89"/>
      <c r="R1599" s="89"/>
      <c r="S1599" s="89"/>
      <c r="T1599" s="86"/>
    </row>
    <row r="1600" spans="12:20" x14ac:dyDescent="0.3">
      <c r="L1600" s="86"/>
      <c r="M1600" s="87"/>
      <c r="N1600" s="87"/>
      <c r="O1600" s="89"/>
      <c r="P1600" s="89"/>
      <c r="Q1600" s="89"/>
      <c r="R1600" s="89"/>
      <c r="S1600" s="89"/>
      <c r="T1600" s="86"/>
    </row>
    <row r="1601" spans="12:20" x14ac:dyDescent="0.3">
      <c r="L1601" s="86"/>
      <c r="M1601" s="87"/>
      <c r="N1601" s="87"/>
      <c r="O1601" s="89"/>
      <c r="P1601" s="89"/>
      <c r="Q1601" s="89"/>
      <c r="R1601" s="89"/>
      <c r="S1601" s="89"/>
      <c r="T1601" s="86"/>
    </row>
    <row r="1602" spans="12:20" x14ac:dyDescent="0.3">
      <c r="L1602" s="86"/>
      <c r="M1602" s="87"/>
      <c r="N1602" s="87"/>
      <c r="O1602" s="89"/>
      <c r="P1602" s="89"/>
      <c r="Q1602" s="89"/>
      <c r="R1602" s="89"/>
      <c r="S1602" s="89"/>
      <c r="T1602" s="86"/>
    </row>
    <row r="1603" spans="12:20" x14ac:dyDescent="0.3">
      <c r="L1603" s="86"/>
      <c r="M1603" s="87"/>
      <c r="N1603" s="87"/>
      <c r="O1603" s="89"/>
      <c r="P1603" s="89"/>
      <c r="Q1603" s="89"/>
      <c r="R1603" s="89"/>
      <c r="S1603" s="89"/>
      <c r="T1603" s="86"/>
    </row>
    <row r="1604" spans="12:20" x14ac:dyDescent="0.3">
      <c r="L1604" s="86"/>
      <c r="M1604" s="87"/>
      <c r="N1604" s="87"/>
      <c r="O1604" s="89"/>
      <c r="P1604" s="89"/>
      <c r="Q1604" s="89"/>
      <c r="R1604" s="89"/>
      <c r="S1604" s="89"/>
      <c r="T1604" s="86"/>
    </row>
    <row r="1605" spans="12:20" x14ac:dyDescent="0.3">
      <c r="L1605" s="86"/>
      <c r="M1605" s="87"/>
      <c r="N1605" s="87"/>
      <c r="O1605" s="89"/>
      <c r="P1605" s="89"/>
      <c r="Q1605" s="89"/>
      <c r="R1605" s="89"/>
      <c r="S1605" s="89"/>
      <c r="T1605" s="86"/>
    </row>
    <row r="1606" spans="12:20" x14ac:dyDescent="0.3">
      <c r="L1606" s="86"/>
      <c r="M1606" s="87"/>
      <c r="N1606" s="87"/>
      <c r="O1606" s="89"/>
      <c r="P1606" s="89"/>
      <c r="Q1606" s="89"/>
      <c r="R1606" s="89"/>
      <c r="S1606" s="89"/>
      <c r="T1606" s="86"/>
    </row>
    <row r="1607" spans="12:20" x14ac:dyDescent="0.3">
      <c r="L1607" s="86"/>
      <c r="M1607" s="87"/>
      <c r="N1607" s="87"/>
      <c r="O1607" s="89"/>
      <c r="P1607" s="89"/>
      <c r="Q1607" s="89"/>
      <c r="R1607" s="89"/>
      <c r="S1607" s="89"/>
      <c r="T1607" s="86"/>
    </row>
    <row r="1608" spans="12:20" x14ac:dyDescent="0.3">
      <c r="L1608" s="86"/>
      <c r="M1608" s="87"/>
      <c r="N1608" s="87"/>
      <c r="O1608" s="89"/>
      <c r="P1608" s="89"/>
      <c r="Q1608" s="89"/>
      <c r="R1608" s="89"/>
      <c r="S1608" s="89"/>
      <c r="T1608" s="86"/>
    </row>
    <row r="1609" spans="12:20" x14ac:dyDescent="0.3">
      <c r="L1609" s="86"/>
      <c r="M1609" s="87"/>
      <c r="N1609" s="87"/>
      <c r="O1609" s="89"/>
      <c r="P1609" s="89"/>
      <c r="Q1609" s="89"/>
      <c r="R1609" s="89"/>
      <c r="S1609" s="89"/>
      <c r="T1609" s="86"/>
    </row>
    <row r="1610" spans="12:20" x14ac:dyDescent="0.3">
      <c r="L1610" s="86"/>
      <c r="M1610" s="87"/>
      <c r="N1610" s="87"/>
      <c r="O1610" s="89"/>
      <c r="P1610" s="89"/>
      <c r="Q1610" s="89"/>
      <c r="R1610" s="89"/>
      <c r="S1610" s="89"/>
      <c r="T1610" s="86"/>
    </row>
    <row r="1611" spans="12:20" x14ac:dyDescent="0.3">
      <c r="L1611" s="86"/>
      <c r="M1611" s="87"/>
      <c r="N1611" s="87"/>
      <c r="O1611" s="89"/>
      <c r="P1611" s="89"/>
      <c r="Q1611" s="89"/>
      <c r="R1611" s="89"/>
      <c r="S1611" s="89"/>
      <c r="T1611" s="86"/>
    </row>
    <row r="1612" spans="12:20" x14ac:dyDescent="0.3">
      <c r="L1612" s="86"/>
      <c r="M1612" s="87"/>
      <c r="N1612" s="87"/>
      <c r="O1612" s="89"/>
      <c r="P1612" s="89"/>
      <c r="Q1612" s="89"/>
      <c r="R1612" s="89"/>
      <c r="S1612" s="89"/>
      <c r="T1612" s="86"/>
    </row>
    <row r="1613" spans="12:20" x14ac:dyDescent="0.3">
      <c r="L1613" s="86"/>
      <c r="M1613" s="87"/>
      <c r="N1613" s="87"/>
      <c r="O1613" s="89"/>
      <c r="P1613" s="89"/>
      <c r="Q1613" s="89"/>
      <c r="R1613" s="89"/>
      <c r="S1613" s="89"/>
      <c r="T1613" s="86"/>
    </row>
    <row r="1614" spans="12:20" x14ac:dyDescent="0.3">
      <c r="L1614" s="86"/>
      <c r="M1614" s="87"/>
      <c r="N1614" s="87"/>
      <c r="O1614" s="89"/>
      <c r="P1614" s="89"/>
      <c r="Q1614" s="89"/>
      <c r="R1614" s="89"/>
      <c r="S1614" s="89"/>
      <c r="T1614" s="86"/>
    </row>
    <row r="1615" spans="12:20" x14ac:dyDescent="0.3">
      <c r="L1615" s="86"/>
      <c r="M1615" s="87"/>
      <c r="N1615" s="87"/>
      <c r="O1615" s="89"/>
      <c r="P1615" s="89"/>
      <c r="Q1615" s="89"/>
      <c r="R1615" s="89"/>
      <c r="S1615" s="89"/>
      <c r="T1615" s="86"/>
    </row>
    <row r="1616" spans="12:20" x14ac:dyDescent="0.3">
      <c r="L1616" s="86"/>
      <c r="M1616" s="87"/>
      <c r="N1616" s="87"/>
      <c r="O1616" s="89"/>
      <c r="P1616" s="89"/>
      <c r="Q1616" s="89"/>
      <c r="R1616" s="89"/>
      <c r="S1616" s="89"/>
      <c r="T1616" s="86"/>
    </row>
    <row r="1617" spans="12:20" x14ac:dyDescent="0.3">
      <c r="L1617" s="86"/>
      <c r="M1617" s="87"/>
      <c r="N1617" s="87"/>
      <c r="O1617" s="89"/>
      <c r="P1617" s="89"/>
      <c r="Q1617" s="89"/>
      <c r="R1617" s="89"/>
      <c r="S1617" s="89"/>
      <c r="T1617" s="86"/>
    </row>
    <row r="1618" spans="12:20" x14ac:dyDescent="0.3">
      <c r="L1618" s="86"/>
      <c r="M1618" s="87"/>
      <c r="N1618" s="87"/>
      <c r="O1618" s="89"/>
      <c r="P1618" s="89"/>
      <c r="Q1618" s="89"/>
      <c r="R1618" s="89"/>
      <c r="S1618" s="89"/>
      <c r="T1618" s="86"/>
    </row>
    <row r="1619" spans="12:20" x14ac:dyDescent="0.3">
      <c r="L1619" s="86"/>
      <c r="M1619" s="87"/>
      <c r="N1619" s="87"/>
      <c r="O1619" s="89"/>
      <c r="P1619" s="89"/>
      <c r="Q1619" s="89"/>
      <c r="R1619" s="89"/>
      <c r="S1619" s="89"/>
      <c r="T1619" s="86"/>
    </row>
    <row r="1620" spans="12:20" x14ac:dyDescent="0.3">
      <c r="L1620" s="86"/>
      <c r="M1620" s="87"/>
      <c r="N1620" s="87"/>
      <c r="O1620" s="89"/>
      <c r="P1620" s="89"/>
      <c r="Q1620" s="89"/>
      <c r="R1620" s="89"/>
      <c r="S1620" s="89"/>
      <c r="T1620" s="86"/>
    </row>
    <row r="1621" spans="12:20" x14ac:dyDescent="0.3">
      <c r="L1621" s="86"/>
      <c r="M1621" s="87"/>
      <c r="N1621" s="87"/>
      <c r="O1621" s="89"/>
      <c r="P1621" s="89"/>
      <c r="Q1621" s="89"/>
      <c r="R1621" s="89"/>
      <c r="S1621" s="89"/>
      <c r="T1621" s="86"/>
    </row>
    <row r="1622" spans="12:20" x14ac:dyDescent="0.3">
      <c r="L1622" s="86"/>
      <c r="M1622" s="87"/>
      <c r="N1622" s="87"/>
      <c r="O1622" s="89"/>
      <c r="P1622" s="89"/>
      <c r="Q1622" s="89"/>
      <c r="R1622" s="89"/>
      <c r="S1622" s="89"/>
      <c r="T1622" s="86"/>
    </row>
    <row r="1623" spans="12:20" x14ac:dyDescent="0.3">
      <c r="L1623" s="86"/>
      <c r="M1623" s="87"/>
      <c r="N1623" s="87"/>
      <c r="O1623" s="89"/>
      <c r="P1623" s="89"/>
      <c r="Q1623" s="89"/>
      <c r="R1623" s="89"/>
      <c r="S1623" s="89"/>
      <c r="T1623" s="86"/>
    </row>
    <row r="1624" spans="12:20" x14ac:dyDescent="0.3">
      <c r="L1624" s="86"/>
      <c r="M1624" s="87"/>
      <c r="N1624" s="87"/>
      <c r="O1624" s="89"/>
      <c r="P1624" s="89"/>
      <c r="Q1624" s="89"/>
      <c r="R1624" s="89"/>
      <c r="S1624" s="89"/>
      <c r="T1624" s="86"/>
    </row>
    <row r="1625" spans="12:20" x14ac:dyDescent="0.3">
      <c r="L1625" s="86"/>
      <c r="M1625" s="87"/>
      <c r="N1625" s="87"/>
      <c r="O1625" s="89"/>
      <c r="P1625" s="89"/>
      <c r="Q1625" s="89"/>
      <c r="R1625" s="89"/>
      <c r="S1625" s="89"/>
      <c r="T1625" s="86"/>
    </row>
    <row r="1626" spans="12:20" x14ac:dyDescent="0.3">
      <c r="L1626" s="86"/>
      <c r="M1626" s="87"/>
      <c r="N1626" s="87"/>
      <c r="O1626" s="89"/>
      <c r="P1626" s="89"/>
      <c r="Q1626" s="89"/>
      <c r="R1626" s="89"/>
      <c r="S1626" s="89"/>
      <c r="T1626" s="86"/>
    </row>
    <row r="1627" spans="12:20" x14ac:dyDescent="0.3">
      <c r="L1627" s="86"/>
      <c r="M1627" s="87"/>
      <c r="N1627" s="87"/>
      <c r="O1627" s="89"/>
      <c r="P1627" s="89"/>
      <c r="Q1627" s="89"/>
      <c r="R1627" s="89"/>
      <c r="S1627" s="89"/>
      <c r="T1627" s="86"/>
    </row>
    <row r="1628" spans="12:20" x14ac:dyDescent="0.3">
      <c r="L1628" s="86"/>
      <c r="M1628" s="87"/>
      <c r="N1628" s="87"/>
      <c r="O1628" s="89"/>
      <c r="P1628" s="89"/>
      <c r="Q1628" s="89"/>
      <c r="R1628" s="89"/>
      <c r="S1628" s="89"/>
      <c r="T1628" s="86"/>
    </row>
    <row r="1629" spans="12:20" x14ac:dyDescent="0.3">
      <c r="L1629" s="86"/>
      <c r="M1629" s="87"/>
      <c r="N1629" s="87"/>
      <c r="O1629" s="89"/>
      <c r="P1629" s="89"/>
      <c r="Q1629" s="89"/>
      <c r="R1629" s="89"/>
      <c r="S1629" s="89"/>
      <c r="T1629" s="86"/>
    </row>
    <row r="1630" spans="12:20" x14ac:dyDescent="0.3">
      <c r="L1630" s="86"/>
      <c r="M1630" s="87"/>
      <c r="N1630" s="87"/>
      <c r="O1630" s="89"/>
      <c r="P1630" s="89"/>
      <c r="Q1630" s="89"/>
      <c r="R1630" s="89"/>
      <c r="S1630" s="89"/>
      <c r="T1630" s="86"/>
    </row>
    <row r="1631" spans="12:20" x14ac:dyDescent="0.3">
      <c r="L1631" s="86"/>
      <c r="M1631" s="87"/>
      <c r="N1631" s="87"/>
      <c r="O1631" s="89"/>
      <c r="P1631" s="89"/>
      <c r="Q1631" s="89"/>
      <c r="R1631" s="89"/>
      <c r="S1631" s="89"/>
      <c r="T1631" s="86"/>
    </row>
    <row r="1632" spans="12:20" x14ac:dyDescent="0.3">
      <c r="L1632" s="86"/>
      <c r="M1632" s="87"/>
      <c r="N1632" s="87"/>
      <c r="O1632" s="89"/>
      <c r="P1632" s="89"/>
      <c r="Q1632" s="89"/>
      <c r="R1632" s="89"/>
      <c r="S1632" s="89"/>
      <c r="T1632" s="86"/>
    </row>
    <row r="1633" spans="12:20" x14ac:dyDescent="0.3">
      <c r="L1633" s="86"/>
      <c r="M1633" s="87"/>
      <c r="N1633" s="87"/>
      <c r="O1633" s="89"/>
      <c r="P1633" s="89"/>
      <c r="Q1633" s="89"/>
      <c r="R1633" s="89"/>
      <c r="S1633" s="89"/>
      <c r="T1633" s="86"/>
    </row>
    <row r="1634" spans="12:20" x14ac:dyDescent="0.3">
      <c r="L1634" s="86"/>
      <c r="M1634" s="87"/>
      <c r="N1634" s="87"/>
      <c r="O1634" s="89"/>
      <c r="P1634" s="89"/>
      <c r="Q1634" s="89"/>
      <c r="R1634" s="89"/>
      <c r="S1634" s="89"/>
      <c r="T1634" s="86"/>
    </row>
    <row r="1635" spans="12:20" x14ac:dyDescent="0.3">
      <c r="L1635" s="86"/>
      <c r="M1635" s="87"/>
      <c r="N1635" s="87"/>
      <c r="O1635" s="89"/>
      <c r="P1635" s="89"/>
      <c r="Q1635" s="89"/>
      <c r="R1635" s="89"/>
      <c r="S1635" s="89"/>
      <c r="T1635" s="86"/>
    </row>
    <row r="1636" spans="12:20" x14ac:dyDescent="0.3">
      <c r="L1636" s="86"/>
      <c r="M1636" s="87"/>
      <c r="N1636" s="87"/>
      <c r="O1636" s="89"/>
      <c r="P1636" s="89"/>
      <c r="Q1636" s="89"/>
      <c r="R1636" s="89"/>
      <c r="S1636" s="89"/>
      <c r="T1636" s="86"/>
    </row>
    <row r="1637" spans="12:20" x14ac:dyDescent="0.3">
      <c r="L1637" s="86"/>
      <c r="M1637" s="87"/>
      <c r="N1637" s="87"/>
      <c r="O1637" s="89"/>
      <c r="P1637" s="89"/>
      <c r="Q1637" s="89"/>
      <c r="R1637" s="89"/>
      <c r="S1637" s="89"/>
      <c r="T1637" s="86"/>
    </row>
    <row r="1638" spans="12:20" x14ac:dyDescent="0.3">
      <c r="L1638" s="86"/>
      <c r="M1638" s="87"/>
      <c r="N1638" s="87"/>
      <c r="O1638" s="89"/>
      <c r="P1638" s="89"/>
      <c r="Q1638" s="89"/>
      <c r="R1638" s="89"/>
      <c r="S1638" s="89"/>
      <c r="T1638" s="86"/>
    </row>
    <row r="1639" spans="12:20" x14ac:dyDescent="0.3">
      <c r="L1639" s="86"/>
      <c r="M1639" s="87"/>
      <c r="N1639" s="87"/>
      <c r="O1639" s="89"/>
      <c r="P1639" s="89"/>
      <c r="Q1639" s="89"/>
      <c r="R1639" s="89"/>
      <c r="S1639" s="89"/>
      <c r="T1639" s="86"/>
    </row>
    <row r="1640" spans="12:20" x14ac:dyDescent="0.3">
      <c r="L1640" s="86"/>
      <c r="M1640" s="87"/>
      <c r="N1640" s="87"/>
      <c r="O1640" s="89"/>
      <c r="P1640" s="89"/>
      <c r="Q1640" s="89"/>
      <c r="R1640" s="89"/>
      <c r="S1640" s="89"/>
      <c r="T1640" s="86"/>
    </row>
    <row r="1641" spans="12:20" x14ac:dyDescent="0.3">
      <c r="L1641" s="86"/>
      <c r="M1641" s="87"/>
      <c r="N1641" s="87"/>
      <c r="O1641" s="89"/>
      <c r="P1641" s="89"/>
      <c r="Q1641" s="89"/>
      <c r="R1641" s="89"/>
      <c r="S1641" s="89"/>
      <c r="T1641" s="86"/>
    </row>
    <row r="1642" spans="12:20" x14ac:dyDescent="0.3">
      <c r="L1642" s="86"/>
      <c r="M1642" s="87"/>
      <c r="N1642" s="87"/>
      <c r="O1642" s="89"/>
      <c r="P1642" s="89"/>
      <c r="Q1642" s="89"/>
      <c r="R1642" s="89"/>
      <c r="S1642" s="89"/>
      <c r="T1642" s="86"/>
    </row>
    <row r="1643" spans="12:20" x14ac:dyDescent="0.3">
      <c r="L1643" s="86"/>
      <c r="M1643" s="87"/>
      <c r="N1643" s="87"/>
      <c r="O1643" s="89"/>
      <c r="P1643" s="89"/>
      <c r="Q1643" s="89"/>
      <c r="R1643" s="89"/>
      <c r="S1643" s="89"/>
      <c r="T1643" s="86"/>
    </row>
    <row r="1644" spans="12:20" x14ac:dyDescent="0.3">
      <c r="L1644" s="86"/>
      <c r="M1644" s="87"/>
      <c r="N1644" s="87"/>
      <c r="O1644" s="89"/>
      <c r="P1644" s="89"/>
      <c r="Q1644" s="89"/>
      <c r="R1644" s="89"/>
      <c r="S1644" s="89"/>
      <c r="T1644" s="86"/>
    </row>
    <row r="1645" spans="12:20" x14ac:dyDescent="0.3">
      <c r="L1645" s="86"/>
      <c r="M1645" s="87"/>
      <c r="N1645" s="87"/>
      <c r="O1645" s="89"/>
      <c r="P1645" s="89"/>
      <c r="Q1645" s="89"/>
      <c r="R1645" s="89"/>
      <c r="S1645" s="89"/>
      <c r="T1645" s="86"/>
    </row>
    <row r="1646" spans="12:20" x14ac:dyDescent="0.3">
      <c r="L1646" s="86"/>
      <c r="M1646" s="87"/>
      <c r="N1646" s="87"/>
      <c r="O1646" s="89"/>
      <c r="P1646" s="89"/>
      <c r="Q1646" s="89"/>
      <c r="R1646" s="89"/>
      <c r="S1646" s="89"/>
      <c r="T1646" s="86"/>
    </row>
    <row r="1647" spans="12:20" x14ac:dyDescent="0.3">
      <c r="L1647" s="86"/>
      <c r="M1647" s="87"/>
      <c r="N1647" s="87"/>
      <c r="O1647" s="89"/>
      <c r="P1647" s="89"/>
      <c r="Q1647" s="89"/>
      <c r="R1647" s="89"/>
      <c r="S1647" s="89"/>
      <c r="T1647" s="86"/>
    </row>
    <row r="1648" spans="12:20" x14ac:dyDescent="0.3">
      <c r="L1648" s="86"/>
      <c r="M1648" s="87"/>
      <c r="N1648" s="87"/>
      <c r="O1648" s="89"/>
      <c r="P1648" s="89"/>
      <c r="Q1648" s="89"/>
      <c r="R1648" s="89"/>
      <c r="S1648" s="89"/>
      <c r="T1648" s="86"/>
    </row>
    <row r="1649" spans="12:20" x14ac:dyDescent="0.3">
      <c r="L1649" s="86"/>
      <c r="M1649" s="87"/>
      <c r="N1649" s="87"/>
      <c r="O1649" s="89"/>
      <c r="P1649" s="89"/>
      <c r="Q1649" s="89"/>
      <c r="R1649" s="89"/>
      <c r="S1649" s="89"/>
      <c r="T1649" s="86"/>
    </row>
    <row r="1650" spans="12:20" x14ac:dyDescent="0.3">
      <c r="L1650" s="86"/>
      <c r="M1650" s="87"/>
      <c r="N1650" s="87"/>
      <c r="O1650" s="89"/>
      <c r="P1650" s="89"/>
      <c r="Q1650" s="89"/>
      <c r="R1650" s="89"/>
      <c r="S1650" s="89"/>
      <c r="T1650" s="86"/>
    </row>
    <row r="1651" spans="12:20" x14ac:dyDescent="0.3">
      <c r="L1651" s="86"/>
      <c r="M1651" s="87"/>
      <c r="N1651" s="87"/>
      <c r="O1651" s="89"/>
      <c r="P1651" s="89"/>
      <c r="Q1651" s="89"/>
      <c r="R1651" s="89"/>
      <c r="S1651" s="89"/>
      <c r="T1651" s="86"/>
    </row>
    <row r="1652" spans="12:20" x14ac:dyDescent="0.3">
      <c r="L1652" s="86"/>
      <c r="M1652" s="87"/>
      <c r="N1652" s="87"/>
      <c r="O1652" s="89"/>
      <c r="P1652" s="89"/>
      <c r="Q1652" s="89"/>
      <c r="R1652" s="89"/>
      <c r="S1652" s="89"/>
      <c r="T1652" s="86"/>
    </row>
    <row r="1653" spans="12:20" x14ac:dyDescent="0.3">
      <c r="L1653" s="86"/>
      <c r="M1653" s="87"/>
      <c r="N1653" s="87"/>
      <c r="O1653" s="89"/>
      <c r="P1653" s="89"/>
      <c r="Q1653" s="89"/>
      <c r="R1653" s="89"/>
      <c r="S1653" s="89"/>
      <c r="T1653" s="86"/>
    </row>
    <row r="1654" spans="12:20" x14ac:dyDescent="0.3">
      <c r="L1654" s="86"/>
      <c r="M1654" s="87"/>
      <c r="N1654" s="87"/>
      <c r="O1654" s="89"/>
      <c r="P1654" s="89"/>
      <c r="Q1654" s="89"/>
      <c r="R1654" s="89"/>
      <c r="S1654" s="89"/>
      <c r="T1654" s="86"/>
    </row>
    <row r="1655" spans="12:20" x14ac:dyDescent="0.3">
      <c r="L1655" s="86"/>
      <c r="M1655" s="87"/>
      <c r="N1655" s="87"/>
      <c r="O1655" s="89"/>
      <c r="P1655" s="89"/>
      <c r="Q1655" s="89"/>
      <c r="R1655" s="89"/>
      <c r="S1655" s="89"/>
      <c r="T1655" s="86"/>
    </row>
    <row r="1656" spans="12:20" x14ac:dyDescent="0.3">
      <c r="L1656" s="86"/>
      <c r="M1656" s="87"/>
      <c r="N1656" s="87"/>
      <c r="O1656" s="89"/>
      <c r="P1656" s="89"/>
      <c r="Q1656" s="89"/>
      <c r="R1656" s="89"/>
      <c r="S1656" s="89"/>
      <c r="T1656" s="86"/>
    </row>
    <row r="1657" spans="12:20" x14ac:dyDescent="0.3">
      <c r="L1657" s="86"/>
      <c r="M1657" s="87"/>
      <c r="N1657" s="87"/>
      <c r="O1657" s="89"/>
      <c r="P1657" s="89"/>
      <c r="Q1657" s="89"/>
      <c r="R1657" s="89"/>
      <c r="S1657" s="89"/>
      <c r="T1657" s="86"/>
    </row>
    <row r="1658" spans="12:20" x14ac:dyDescent="0.3">
      <c r="L1658" s="86"/>
      <c r="M1658" s="87"/>
      <c r="N1658" s="87"/>
      <c r="O1658" s="89"/>
      <c r="P1658" s="89"/>
      <c r="Q1658" s="89"/>
      <c r="R1658" s="89"/>
      <c r="S1658" s="89"/>
      <c r="T1658" s="86"/>
    </row>
    <row r="1659" spans="12:20" x14ac:dyDescent="0.3">
      <c r="L1659" s="86"/>
      <c r="M1659" s="87"/>
      <c r="N1659" s="87"/>
      <c r="O1659" s="89"/>
      <c r="P1659" s="89"/>
      <c r="Q1659" s="89"/>
      <c r="R1659" s="89"/>
      <c r="S1659" s="89"/>
      <c r="T1659" s="86"/>
    </row>
    <row r="1660" spans="12:20" x14ac:dyDescent="0.3">
      <c r="L1660" s="86"/>
      <c r="M1660" s="87"/>
      <c r="N1660" s="87"/>
      <c r="O1660" s="89"/>
      <c r="P1660" s="89"/>
      <c r="Q1660" s="89"/>
      <c r="R1660" s="89"/>
      <c r="S1660" s="89"/>
      <c r="T1660" s="86"/>
    </row>
    <row r="1661" spans="12:20" x14ac:dyDescent="0.3">
      <c r="L1661" s="86"/>
      <c r="M1661" s="87"/>
      <c r="N1661" s="87"/>
      <c r="O1661" s="89"/>
      <c r="P1661" s="89"/>
      <c r="Q1661" s="89"/>
      <c r="R1661" s="89"/>
      <c r="S1661" s="89"/>
      <c r="T1661" s="86"/>
    </row>
    <row r="1662" spans="12:20" x14ac:dyDescent="0.3">
      <c r="L1662" s="86"/>
      <c r="M1662" s="87"/>
      <c r="N1662" s="87"/>
      <c r="O1662" s="89"/>
      <c r="P1662" s="89"/>
      <c r="Q1662" s="89"/>
      <c r="R1662" s="89"/>
      <c r="S1662" s="89"/>
      <c r="T1662" s="86"/>
    </row>
    <row r="1663" spans="12:20" x14ac:dyDescent="0.3">
      <c r="L1663" s="86"/>
      <c r="M1663" s="87"/>
      <c r="N1663" s="87"/>
      <c r="O1663" s="89"/>
      <c r="P1663" s="89"/>
      <c r="Q1663" s="89"/>
      <c r="R1663" s="89"/>
      <c r="S1663" s="89"/>
      <c r="T1663" s="86"/>
    </row>
    <row r="1664" spans="12:20" x14ac:dyDescent="0.3">
      <c r="L1664" s="86"/>
      <c r="M1664" s="87"/>
      <c r="N1664" s="87"/>
      <c r="O1664" s="89"/>
      <c r="P1664" s="89"/>
      <c r="Q1664" s="89"/>
      <c r="R1664" s="89"/>
      <c r="S1664" s="89"/>
      <c r="T1664" s="86"/>
    </row>
    <row r="1665" spans="12:20" x14ac:dyDescent="0.3">
      <c r="L1665" s="86"/>
      <c r="M1665" s="87"/>
      <c r="N1665" s="87"/>
      <c r="O1665" s="89"/>
      <c r="P1665" s="89"/>
      <c r="Q1665" s="89"/>
      <c r="R1665" s="89"/>
      <c r="S1665" s="89"/>
      <c r="T1665" s="86"/>
    </row>
    <row r="1666" spans="12:20" x14ac:dyDescent="0.3">
      <c r="L1666" s="86"/>
      <c r="M1666" s="87"/>
      <c r="N1666" s="87"/>
      <c r="O1666" s="89"/>
      <c r="P1666" s="89"/>
      <c r="Q1666" s="89"/>
      <c r="R1666" s="89"/>
      <c r="S1666" s="89"/>
      <c r="T1666" s="86"/>
    </row>
    <row r="1667" spans="12:20" x14ac:dyDescent="0.3">
      <c r="L1667" s="86"/>
      <c r="M1667" s="87"/>
      <c r="N1667" s="87"/>
      <c r="O1667" s="89"/>
      <c r="P1667" s="89"/>
      <c r="Q1667" s="89"/>
      <c r="R1667" s="89"/>
      <c r="S1667" s="89"/>
      <c r="T1667" s="86"/>
    </row>
    <row r="1668" spans="12:20" x14ac:dyDescent="0.3">
      <c r="L1668" s="86"/>
      <c r="M1668" s="87"/>
      <c r="N1668" s="87"/>
      <c r="O1668" s="89"/>
      <c r="P1668" s="89"/>
      <c r="Q1668" s="89"/>
      <c r="R1668" s="89"/>
      <c r="S1668" s="89"/>
      <c r="T1668" s="86"/>
    </row>
    <row r="1669" spans="12:20" x14ac:dyDescent="0.3">
      <c r="L1669" s="86"/>
      <c r="M1669" s="87"/>
      <c r="N1669" s="87"/>
      <c r="O1669" s="89"/>
      <c r="P1669" s="89"/>
      <c r="Q1669" s="89"/>
      <c r="R1669" s="89"/>
      <c r="S1669" s="89"/>
      <c r="T1669" s="86"/>
    </row>
    <row r="1670" spans="12:20" x14ac:dyDescent="0.3">
      <c r="L1670" s="86"/>
      <c r="M1670" s="87"/>
      <c r="N1670" s="87"/>
      <c r="O1670" s="89"/>
      <c r="P1670" s="89"/>
      <c r="Q1670" s="89"/>
      <c r="R1670" s="89"/>
      <c r="S1670" s="89"/>
      <c r="T1670" s="86"/>
    </row>
    <row r="1671" spans="12:20" x14ac:dyDescent="0.3">
      <c r="L1671" s="86"/>
      <c r="M1671" s="87"/>
      <c r="N1671" s="87"/>
      <c r="O1671" s="89"/>
      <c r="P1671" s="89"/>
      <c r="Q1671" s="89"/>
      <c r="R1671" s="89"/>
      <c r="S1671" s="89"/>
      <c r="T1671" s="86"/>
    </row>
    <row r="1672" spans="12:20" x14ac:dyDescent="0.3">
      <c r="L1672" s="86"/>
      <c r="M1672" s="87"/>
      <c r="N1672" s="87"/>
      <c r="O1672" s="89"/>
      <c r="P1672" s="89"/>
      <c r="Q1672" s="89"/>
      <c r="R1672" s="89"/>
      <c r="S1672" s="89"/>
      <c r="T1672" s="86"/>
    </row>
    <row r="1673" spans="12:20" x14ac:dyDescent="0.3">
      <c r="L1673" s="86"/>
      <c r="M1673" s="87"/>
      <c r="N1673" s="87"/>
      <c r="O1673" s="89"/>
      <c r="P1673" s="89"/>
      <c r="Q1673" s="89"/>
      <c r="R1673" s="89"/>
      <c r="S1673" s="89"/>
      <c r="T1673" s="86"/>
    </row>
    <row r="1674" spans="12:20" x14ac:dyDescent="0.3">
      <c r="L1674" s="86"/>
      <c r="M1674" s="87"/>
      <c r="N1674" s="87"/>
      <c r="O1674" s="89"/>
      <c r="P1674" s="89"/>
      <c r="Q1674" s="89"/>
      <c r="R1674" s="89"/>
      <c r="S1674" s="89"/>
      <c r="T1674" s="86"/>
    </row>
    <row r="1675" spans="12:20" x14ac:dyDescent="0.3">
      <c r="L1675" s="86"/>
      <c r="M1675" s="87"/>
      <c r="N1675" s="87"/>
      <c r="O1675" s="89"/>
      <c r="P1675" s="89"/>
      <c r="Q1675" s="89"/>
      <c r="R1675" s="89"/>
      <c r="S1675" s="89"/>
      <c r="T1675" s="86"/>
    </row>
    <row r="1676" spans="12:20" x14ac:dyDescent="0.3">
      <c r="L1676" s="86"/>
      <c r="M1676" s="87"/>
      <c r="N1676" s="87"/>
      <c r="O1676" s="89"/>
      <c r="P1676" s="89"/>
      <c r="Q1676" s="89"/>
      <c r="R1676" s="89"/>
      <c r="S1676" s="89"/>
      <c r="T1676" s="86"/>
    </row>
    <row r="1677" spans="12:20" x14ac:dyDescent="0.3">
      <c r="L1677" s="86"/>
      <c r="M1677" s="87"/>
      <c r="N1677" s="87"/>
      <c r="O1677" s="89"/>
      <c r="P1677" s="89"/>
      <c r="Q1677" s="89"/>
      <c r="R1677" s="89"/>
      <c r="S1677" s="89"/>
      <c r="T1677" s="86"/>
    </row>
    <row r="1678" spans="12:20" x14ac:dyDescent="0.3">
      <c r="L1678" s="86"/>
      <c r="M1678" s="87"/>
      <c r="N1678" s="87"/>
      <c r="O1678" s="89"/>
      <c r="P1678" s="89"/>
      <c r="Q1678" s="89"/>
      <c r="R1678" s="89"/>
      <c r="S1678" s="89"/>
      <c r="T1678" s="86"/>
    </row>
    <row r="1679" spans="12:20" x14ac:dyDescent="0.3">
      <c r="L1679" s="86"/>
      <c r="M1679" s="87"/>
      <c r="N1679" s="87"/>
      <c r="O1679" s="89"/>
      <c r="P1679" s="89"/>
      <c r="Q1679" s="89"/>
      <c r="R1679" s="89"/>
      <c r="S1679" s="89"/>
      <c r="T1679" s="86"/>
    </row>
    <row r="1680" spans="12:20" x14ac:dyDescent="0.3">
      <c r="L1680" s="86"/>
      <c r="M1680" s="87"/>
      <c r="N1680" s="87"/>
      <c r="O1680" s="89"/>
      <c r="P1680" s="89"/>
      <c r="Q1680" s="89"/>
      <c r="R1680" s="89"/>
      <c r="S1680" s="89"/>
      <c r="T1680" s="86"/>
    </row>
    <row r="1681" spans="12:20" x14ac:dyDescent="0.3">
      <c r="L1681" s="86"/>
      <c r="M1681" s="87"/>
      <c r="N1681" s="87"/>
      <c r="O1681" s="89"/>
      <c r="P1681" s="89"/>
      <c r="Q1681" s="89"/>
      <c r="R1681" s="89"/>
      <c r="S1681" s="89"/>
      <c r="T1681" s="86"/>
    </row>
    <row r="1682" spans="12:20" x14ac:dyDescent="0.3">
      <c r="L1682" s="86"/>
      <c r="M1682" s="87"/>
      <c r="N1682" s="87"/>
      <c r="O1682" s="89"/>
      <c r="P1682" s="89"/>
      <c r="Q1682" s="89"/>
      <c r="R1682" s="89"/>
      <c r="S1682" s="89"/>
      <c r="T1682" s="86"/>
    </row>
    <row r="1683" spans="12:20" x14ac:dyDescent="0.3">
      <c r="L1683" s="86"/>
      <c r="M1683" s="87"/>
      <c r="N1683" s="87"/>
      <c r="O1683" s="89"/>
      <c r="P1683" s="89"/>
      <c r="Q1683" s="89"/>
      <c r="R1683" s="89"/>
      <c r="S1683" s="89"/>
      <c r="T1683" s="86"/>
    </row>
    <row r="1684" spans="12:20" x14ac:dyDescent="0.3">
      <c r="L1684" s="86"/>
      <c r="M1684" s="87"/>
      <c r="N1684" s="87"/>
      <c r="O1684" s="89"/>
      <c r="P1684" s="89"/>
      <c r="Q1684" s="89"/>
      <c r="R1684" s="89"/>
      <c r="S1684" s="89"/>
      <c r="T1684" s="86"/>
    </row>
    <row r="1685" spans="12:20" x14ac:dyDescent="0.3">
      <c r="L1685" s="86"/>
      <c r="M1685" s="87"/>
      <c r="N1685" s="87"/>
      <c r="O1685" s="89"/>
      <c r="P1685" s="89"/>
      <c r="Q1685" s="89"/>
      <c r="R1685" s="89"/>
      <c r="S1685" s="89"/>
      <c r="T1685" s="86"/>
    </row>
    <row r="1686" spans="12:20" x14ac:dyDescent="0.3">
      <c r="L1686" s="86"/>
      <c r="M1686" s="87"/>
      <c r="N1686" s="87"/>
      <c r="O1686" s="89"/>
      <c r="P1686" s="89"/>
      <c r="Q1686" s="89"/>
      <c r="R1686" s="89"/>
      <c r="S1686" s="89"/>
      <c r="T1686" s="86"/>
    </row>
    <row r="1687" spans="12:20" x14ac:dyDescent="0.3">
      <c r="L1687" s="86"/>
      <c r="M1687" s="87"/>
      <c r="N1687" s="87"/>
      <c r="O1687" s="89"/>
      <c r="P1687" s="89"/>
      <c r="Q1687" s="89"/>
      <c r="R1687" s="89"/>
      <c r="S1687" s="89"/>
      <c r="T1687" s="86"/>
    </row>
    <row r="1688" spans="12:20" x14ac:dyDescent="0.3">
      <c r="L1688" s="86"/>
      <c r="M1688" s="87"/>
      <c r="N1688" s="87"/>
      <c r="O1688" s="89"/>
      <c r="P1688" s="89"/>
      <c r="Q1688" s="89"/>
      <c r="R1688" s="89"/>
      <c r="S1688" s="89"/>
      <c r="T1688" s="86"/>
    </row>
    <row r="1689" spans="12:20" x14ac:dyDescent="0.3">
      <c r="L1689" s="86"/>
      <c r="M1689" s="87"/>
      <c r="N1689" s="87"/>
      <c r="O1689" s="89"/>
      <c r="P1689" s="89"/>
      <c r="Q1689" s="89"/>
      <c r="R1689" s="89"/>
      <c r="S1689" s="89"/>
      <c r="T1689" s="86"/>
    </row>
    <row r="1690" spans="12:20" x14ac:dyDescent="0.3">
      <c r="L1690" s="86"/>
      <c r="M1690" s="87"/>
      <c r="N1690" s="87"/>
      <c r="O1690" s="89"/>
      <c r="P1690" s="89"/>
      <c r="Q1690" s="89"/>
      <c r="R1690" s="89"/>
      <c r="S1690" s="89"/>
      <c r="T1690" s="86"/>
    </row>
    <row r="1691" spans="12:20" x14ac:dyDescent="0.3">
      <c r="L1691" s="86"/>
      <c r="M1691" s="87"/>
      <c r="N1691" s="87"/>
      <c r="O1691" s="89"/>
      <c r="P1691" s="89"/>
      <c r="Q1691" s="89"/>
      <c r="R1691" s="89"/>
      <c r="S1691" s="89"/>
      <c r="T1691" s="86"/>
    </row>
    <row r="1692" spans="12:20" x14ac:dyDescent="0.3">
      <c r="L1692" s="86"/>
      <c r="M1692" s="87"/>
      <c r="N1692" s="87"/>
      <c r="O1692" s="89"/>
      <c r="P1692" s="89"/>
      <c r="Q1692" s="89"/>
      <c r="R1692" s="89"/>
      <c r="S1692" s="89"/>
      <c r="T1692" s="86"/>
    </row>
    <row r="1693" spans="12:20" x14ac:dyDescent="0.3">
      <c r="L1693" s="86"/>
      <c r="M1693" s="87"/>
      <c r="N1693" s="87"/>
      <c r="O1693" s="89"/>
      <c r="P1693" s="89"/>
      <c r="Q1693" s="89"/>
      <c r="R1693" s="89"/>
      <c r="S1693" s="89"/>
      <c r="T1693" s="86"/>
    </row>
    <row r="1694" spans="12:20" x14ac:dyDescent="0.3">
      <c r="L1694" s="86"/>
      <c r="M1694" s="87"/>
      <c r="N1694" s="87"/>
      <c r="O1694" s="89"/>
      <c r="P1694" s="89"/>
      <c r="Q1694" s="89"/>
      <c r="R1694" s="89"/>
      <c r="S1694" s="89"/>
      <c r="T1694" s="86"/>
    </row>
    <row r="1695" spans="12:20" x14ac:dyDescent="0.3">
      <c r="L1695" s="86"/>
      <c r="M1695" s="87"/>
      <c r="N1695" s="87"/>
      <c r="O1695" s="89"/>
      <c r="P1695" s="86"/>
      <c r="Q1695" s="86"/>
      <c r="R1695" s="86"/>
      <c r="S1695" s="86"/>
      <c r="T1695" s="86"/>
    </row>
    <row r="1696" spans="12:20" x14ac:dyDescent="0.3">
      <c r="L1696" s="86"/>
      <c r="M1696" s="87"/>
      <c r="N1696" s="87"/>
      <c r="O1696" s="86"/>
      <c r="P1696" s="86"/>
      <c r="Q1696" s="86"/>
      <c r="R1696" s="86"/>
      <c r="S1696" s="86"/>
      <c r="T1696" s="86"/>
    </row>
    <row r="1697" spans="12:20" x14ac:dyDescent="0.3">
      <c r="L1697" s="86"/>
      <c r="M1697" s="87"/>
      <c r="N1697" s="87"/>
      <c r="O1697" s="86"/>
      <c r="P1697" s="86"/>
      <c r="Q1697" s="86"/>
      <c r="R1697" s="86"/>
      <c r="S1697" s="86"/>
      <c r="T1697" s="86"/>
    </row>
    <row r="1698" spans="12:20" x14ac:dyDescent="0.3">
      <c r="L1698" s="86"/>
      <c r="M1698" s="87"/>
      <c r="N1698" s="87"/>
      <c r="O1698" s="86"/>
      <c r="P1698" s="86"/>
      <c r="Q1698" s="86"/>
      <c r="R1698" s="86"/>
      <c r="S1698" s="86"/>
      <c r="T1698" s="86"/>
    </row>
    <row r="1699" spans="12:20" x14ac:dyDescent="0.3">
      <c r="L1699" s="86"/>
      <c r="M1699" s="87"/>
      <c r="N1699" s="87"/>
      <c r="O1699" s="86"/>
      <c r="P1699" s="86"/>
      <c r="Q1699" s="86"/>
      <c r="R1699" s="86"/>
      <c r="S1699" s="86"/>
      <c r="T1699" s="86"/>
    </row>
    <row r="1700" spans="12:20" x14ac:dyDescent="0.3">
      <c r="L1700" s="86"/>
      <c r="M1700" s="87"/>
      <c r="N1700" s="87"/>
      <c r="O1700" s="86"/>
      <c r="P1700" s="86"/>
      <c r="Q1700" s="86"/>
      <c r="R1700" s="86"/>
      <c r="S1700" s="86"/>
      <c r="T1700" s="86"/>
    </row>
    <row r="1701" spans="12:20" x14ac:dyDescent="0.3">
      <c r="L1701" s="86"/>
      <c r="M1701" s="87"/>
      <c r="N1701" s="87"/>
      <c r="O1701" s="86"/>
      <c r="P1701" s="86"/>
      <c r="Q1701" s="86"/>
      <c r="R1701" s="86"/>
      <c r="S1701" s="86"/>
      <c r="T1701" s="86"/>
    </row>
    <row r="1702" spans="12:20" x14ac:dyDescent="0.3">
      <c r="L1702" s="86"/>
      <c r="M1702" s="87"/>
      <c r="N1702" s="87"/>
      <c r="O1702" s="86"/>
      <c r="P1702" s="86"/>
      <c r="Q1702" s="86"/>
      <c r="R1702" s="86"/>
      <c r="S1702" s="86"/>
      <c r="T1702" s="86"/>
    </row>
    <row r="1703" spans="12:20" x14ac:dyDescent="0.3">
      <c r="L1703" s="86"/>
      <c r="M1703" s="87"/>
      <c r="N1703" s="87"/>
      <c r="O1703" s="86"/>
      <c r="P1703" s="86"/>
      <c r="Q1703" s="86"/>
      <c r="R1703" s="86"/>
      <c r="S1703" s="86"/>
      <c r="T1703" s="86"/>
    </row>
    <row r="1704" spans="12:20" x14ac:dyDescent="0.3">
      <c r="L1704" s="86"/>
      <c r="M1704" s="87"/>
      <c r="N1704" s="87"/>
      <c r="O1704" s="86"/>
      <c r="P1704" s="86"/>
      <c r="Q1704" s="86"/>
      <c r="R1704" s="86"/>
      <c r="S1704" s="86"/>
      <c r="T1704" s="86"/>
    </row>
    <row r="1705" spans="12:20" x14ac:dyDescent="0.3">
      <c r="L1705" s="86"/>
      <c r="M1705" s="87"/>
      <c r="N1705" s="87"/>
      <c r="O1705" s="86"/>
      <c r="P1705" s="86"/>
      <c r="Q1705" s="86"/>
      <c r="R1705" s="86"/>
      <c r="S1705" s="86"/>
      <c r="T1705" s="86"/>
    </row>
    <row r="1706" spans="12:20" x14ac:dyDescent="0.3">
      <c r="L1706" s="86"/>
      <c r="M1706" s="87"/>
      <c r="N1706" s="87"/>
      <c r="O1706" s="86"/>
      <c r="P1706" s="86"/>
      <c r="Q1706" s="86"/>
      <c r="R1706" s="86"/>
      <c r="S1706" s="86"/>
      <c r="T1706" s="86"/>
    </row>
    <row r="1707" spans="12:20" x14ac:dyDescent="0.3">
      <c r="L1707" s="86"/>
      <c r="M1707" s="87"/>
      <c r="N1707" s="87"/>
      <c r="O1707" s="86"/>
      <c r="P1707" s="86"/>
      <c r="Q1707" s="86"/>
      <c r="R1707" s="86"/>
      <c r="S1707" s="86"/>
      <c r="T1707" s="86"/>
    </row>
    <row r="1708" spans="12:20" x14ac:dyDescent="0.3">
      <c r="L1708" s="86"/>
      <c r="M1708" s="87"/>
      <c r="N1708" s="87"/>
      <c r="O1708" s="86"/>
      <c r="P1708" s="86"/>
      <c r="Q1708" s="86"/>
      <c r="R1708" s="86"/>
      <c r="S1708" s="86"/>
      <c r="T1708" s="86"/>
    </row>
    <row r="1709" spans="12:20" x14ac:dyDescent="0.3">
      <c r="L1709" s="86"/>
      <c r="M1709" s="87"/>
      <c r="N1709" s="87"/>
      <c r="O1709" s="86"/>
      <c r="P1709" s="86"/>
      <c r="Q1709" s="86"/>
      <c r="R1709" s="86"/>
      <c r="S1709" s="86"/>
      <c r="T1709" s="86"/>
    </row>
    <row r="1710" spans="12:20" x14ac:dyDescent="0.3">
      <c r="L1710" s="86"/>
      <c r="M1710" s="87"/>
      <c r="N1710" s="87"/>
      <c r="O1710" s="86"/>
      <c r="P1710" s="86"/>
      <c r="Q1710" s="86"/>
      <c r="R1710" s="86"/>
      <c r="S1710" s="86"/>
      <c r="T1710" s="86"/>
    </row>
    <row r="1711" spans="12:20" x14ac:dyDescent="0.3">
      <c r="L1711" s="86"/>
      <c r="M1711" s="87"/>
      <c r="N1711" s="87"/>
      <c r="O1711" s="86"/>
      <c r="P1711" s="86"/>
      <c r="Q1711" s="86"/>
      <c r="R1711" s="86"/>
      <c r="S1711" s="86"/>
      <c r="T1711" s="86"/>
    </row>
    <row r="1712" spans="12:20" x14ac:dyDescent="0.3">
      <c r="L1712" s="86"/>
      <c r="M1712" s="87"/>
      <c r="N1712" s="87"/>
      <c r="O1712" s="86"/>
      <c r="P1712" s="86"/>
      <c r="Q1712" s="86"/>
      <c r="R1712" s="86"/>
      <c r="S1712" s="86"/>
      <c r="T1712" s="86"/>
    </row>
    <row r="1713" spans="12:20" x14ac:dyDescent="0.3">
      <c r="L1713" s="86"/>
      <c r="M1713" s="87"/>
      <c r="N1713" s="87"/>
      <c r="O1713" s="86"/>
      <c r="P1713" s="86"/>
      <c r="Q1713" s="86"/>
      <c r="R1713" s="86"/>
      <c r="S1713" s="86"/>
      <c r="T1713" s="86"/>
    </row>
    <row r="1714" spans="12:20" x14ac:dyDescent="0.3">
      <c r="L1714" s="86"/>
      <c r="M1714" s="87"/>
      <c r="N1714" s="87"/>
      <c r="O1714" s="86"/>
      <c r="P1714" s="86"/>
      <c r="Q1714" s="86"/>
      <c r="R1714" s="86"/>
      <c r="S1714" s="86"/>
      <c r="T1714" s="86"/>
    </row>
    <row r="1715" spans="12:20" x14ac:dyDescent="0.3">
      <c r="L1715" s="86"/>
      <c r="M1715" s="87"/>
      <c r="N1715" s="87"/>
      <c r="O1715" s="86"/>
      <c r="P1715" s="86"/>
      <c r="Q1715" s="86"/>
      <c r="R1715" s="86"/>
      <c r="S1715" s="86"/>
      <c r="T1715" s="86"/>
    </row>
    <row r="1716" spans="12:20" x14ac:dyDescent="0.3">
      <c r="L1716" s="86"/>
      <c r="M1716" s="87"/>
      <c r="N1716" s="87"/>
      <c r="O1716" s="86"/>
      <c r="P1716" s="86"/>
      <c r="Q1716" s="86"/>
      <c r="R1716" s="86"/>
      <c r="S1716" s="86"/>
      <c r="T1716" s="86"/>
    </row>
    <row r="1717" spans="12:20" x14ac:dyDescent="0.3">
      <c r="L1717" s="86"/>
      <c r="M1717" s="87"/>
      <c r="N1717" s="87"/>
      <c r="O1717" s="86"/>
      <c r="P1717" s="86"/>
      <c r="Q1717" s="86"/>
      <c r="R1717" s="86"/>
      <c r="S1717" s="86"/>
      <c r="T1717" s="86"/>
    </row>
    <row r="1718" spans="12:20" x14ac:dyDescent="0.3">
      <c r="L1718" s="86"/>
      <c r="M1718" s="87"/>
      <c r="N1718" s="87"/>
      <c r="O1718" s="86"/>
      <c r="P1718" s="86"/>
      <c r="Q1718" s="86"/>
      <c r="R1718" s="86"/>
      <c r="S1718" s="86"/>
      <c r="T1718" s="86"/>
    </row>
    <row r="1719" spans="12:20" x14ac:dyDescent="0.3">
      <c r="L1719" s="86"/>
      <c r="M1719" s="87"/>
      <c r="N1719" s="87"/>
      <c r="O1719" s="86"/>
      <c r="P1719" s="86"/>
      <c r="Q1719" s="86"/>
      <c r="R1719" s="86"/>
      <c r="S1719" s="86"/>
      <c r="T1719" s="86"/>
    </row>
    <row r="1720" spans="12:20" x14ac:dyDescent="0.3">
      <c r="O1720" s="86"/>
    </row>
  </sheetData>
  <sortState ref="O6:U22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zoomScale="51" zoomScaleNormal="70" workbookViewId="0">
      <selection activeCell="S53" sqref="S53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1.4414062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43</v>
      </c>
    </row>
    <row r="4" spans="3:54" s="4" customFormat="1" ht="122.4" x14ac:dyDescent="0.3">
      <c r="C4" s="5"/>
      <c r="D4" s="116" t="s">
        <v>45</v>
      </c>
      <c r="E4" s="116" t="s">
        <v>46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6" t="s">
        <v>45</v>
      </c>
      <c r="P4" s="116" t="s">
        <v>46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6" t="s">
        <v>45</v>
      </c>
      <c r="AS4" s="116" t="s">
        <v>46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12"/>
      <c r="E5" s="112"/>
      <c r="F5" s="114">
        <v>0</v>
      </c>
      <c r="G5" s="114">
        <v>0</v>
      </c>
      <c r="H5" s="114">
        <v>0</v>
      </c>
      <c r="I5" s="114">
        <v>0</v>
      </c>
      <c r="J5" s="114">
        <v>0</v>
      </c>
      <c r="K5" s="86" t="s">
        <v>35</v>
      </c>
      <c r="L5" s="117"/>
      <c r="M5" s="3"/>
      <c r="N5" s="86">
        <v>1</v>
      </c>
      <c r="O5" s="112" t="s">
        <v>71</v>
      </c>
      <c r="P5" s="112" t="s">
        <v>72</v>
      </c>
      <c r="Q5" s="114">
        <v>5</v>
      </c>
      <c r="R5" s="114">
        <v>5</v>
      </c>
      <c r="S5" s="114">
        <v>5</v>
      </c>
      <c r="T5" s="114">
        <v>5</v>
      </c>
      <c r="U5" s="114">
        <v>5</v>
      </c>
      <c r="V5" s="86" t="s">
        <v>40</v>
      </c>
      <c r="W5" s="117">
        <v>45323</v>
      </c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12" t="s">
        <v>82</v>
      </c>
      <c r="AS5" s="112" t="s">
        <v>55</v>
      </c>
      <c r="AT5" s="125">
        <v>5</v>
      </c>
      <c r="AU5" s="125">
        <v>5</v>
      </c>
      <c r="AV5" s="125">
        <v>5</v>
      </c>
      <c r="AW5" s="125">
        <v>5</v>
      </c>
      <c r="AX5" s="125">
        <v>5</v>
      </c>
      <c r="AY5" s="86" t="s">
        <v>43</v>
      </c>
      <c r="AZ5" s="124">
        <v>45353</v>
      </c>
      <c r="BB5" s="3"/>
    </row>
    <row r="6" spans="3:54" x14ac:dyDescent="0.3">
      <c r="C6" s="86">
        <v>2</v>
      </c>
      <c r="D6" s="112"/>
      <c r="E6" s="112"/>
      <c r="F6" s="114"/>
      <c r="G6" s="114"/>
      <c r="H6" s="114"/>
      <c r="I6" s="114"/>
      <c r="J6" s="114"/>
      <c r="K6" s="86" t="s">
        <v>35</v>
      </c>
      <c r="L6" s="117"/>
      <c r="M6" s="3"/>
      <c r="N6" s="86">
        <v>2</v>
      </c>
      <c r="O6" s="112" t="s">
        <v>73</v>
      </c>
      <c r="P6" s="112" t="s">
        <v>74</v>
      </c>
      <c r="Q6" s="114">
        <v>5</v>
      </c>
      <c r="R6" s="114">
        <v>4</v>
      </c>
      <c r="S6" s="114">
        <v>4</v>
      </c>
      <c r="T6" s="114">
        <v>4</v>
      </c>
      <c r="U6" s="114">
        <v>5</v>
      </c>
      <c r="V6" s="86" t="s">
        <v>40</v>
      </c>
      <c r="W6" s="117">
        <v>45323</v>
      </c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12" t="s">
        <v>83</v>
      </c>
      <c r="AS6" s="112" t="s">
        <v>53</v>
      </c>
      <c r="AT6" s="125">
        <v>4</v>
      </c>
      <c r="AU6" s="125">
        <v>4</v>
      </c>
      <c r="AV6" s="125">
        <v>4</v>
      </c>
      <c r="AW6" s="125">
        <v>4</v>
      </c>
      <c r="AX6" s="125">
        <v>4</v>
      </c>
      <c r="AY6" s="86" t="s">
        <v>43</v>
      </c>
      <c r="AZ6" s="124">
        <v>45353</v>
      </c>
      <c r="BB6" s="3"/>
    </row>
    <row r="7" spans="3:54" x14ac:dyDescent="0.3">
      <c r="C7" s="86">
        <v>3</v>
      </c>
      <c r="D7" s="112"/>
      <c r="E7" s="112"/>
      <c r="F7" s="114"/>
      <c r="G7" s="114"/>
      <c r="H7" s="114"/>
      <c r="I7" s="114"/>
      <c r="J7" s="114"/>
      <c r="K7" s="86" t="s">
        <v>35</v>
      </c>
      <c r="L7" s="117"/>
      <c r="M7" s="3"/>
      <c r="N7" s="86">
        <v>3</v>
      </c>
      <c r="O7" s="112" t="s">
        <v>75</v>
      </c>
      <c r="P7" s="112" t="s">
        <v>49</v>
      </c>
      <c r="Q7" s="114">
        <v>5</v>
      </c>
      <c r="R7" s="114">
        <v>5</v>
      </c>
      <c r="S7" s="114">
        <v>5</v>
      </c>
      <c r="T7" s="114">
        <v>5</v>
      </c>
      <c r="U7" s="114">
        <v>5</v>
      </c>
      <c r="V7" s="86" t="s">
        <v>40</v>
      </c>
      <c r="W7" s="117">
        <v>45323</v>
      </c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12" t="s">
        <v>84</v>
      </c>
      <c r="AS7" s="112" t="s">
        <v>41</v>
      </c>
      <c r="AT7" s="125">
        <v>5</v>
      </c>
      <c r="AU7" s="125">
        <v>5</v>
      </c>
      <c r="AV7" s="125">
        <v>4</v>
      </c>
      <c r="AW7" s="125">
        <v>4</v>
      </c>
      <c r="AX7" s="125">
        <v>4</v>
      </c>
      <c r="AY7" s="86" t="s">
        <v>43</v>
      </c>
      <c r="AZ7" s="124">
        <v>45353</v>
      </c>
      <c r="BB7" s="3"/>
    </row>
    <row r="8" spans="3:54" x14ac:dyDescent="0.3">
      <c r="C8" s="86">
        <v>4</v>
      </c>
      <c r="D8" s="112"/>
      <c r="E8" s="112"/>
      <c r="F8" s="114"/>
      <c r="G8" s="114"/>
      <c r="H8" s="114"/>
      <c r="I8" s="114"/>
      <c r="J8" s="114"/>
      <c r="K8" s="86" t="s">
        <v>35</v>
      </c>
      <c r="L8" s="117"/>
      <c r="M8" s="3"/>
      <c r="N8" s="86">
        <v>4</v>
      </c>
      <c r="O8" s="112" t="s">
        <v>76</v>
      </c>
      <c r="P8" s="112" t="s">
        <v>77</v>
      </c>
      <c r="Q8" s="114">
        <v>5</v>
      </c>
      <c r="R8" s="114">
        <v>5</v>
      </c>
      <c r="S8" s="114">
        <v>5</v>
      </c>
      <c r="T8" s="114">
        <v>5</v>
      </c>
      <c r="U8" s="114">
        <v>5</v>
      </c>
      <c r="V8" s="86" t="s">
        <v>40</v>
      </c>
      <c r="W8" s="117">
        <v>45323</v>
      </c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12" t="s">
        <v>85</v>
      </c>
      <c r="AS8" s="112" t="s">
        <v>41</v>
      </c>
      <c r="AT8" s="125">
        <v>5</v>
      </c>
      <c r="AU8" s="125">
        <v>5</v>
      </c>
      <c r="AV8" s="125">
        <v>4</v>
      </c>
      <c r="AW8" s="125">
        <v>3</v>
      </c>
      <c r="AX8" s="125">
        <v>4</v>
      </c>
      <c r="AY8" s="86" t="s">
        <v>43</v>
      </c>
      <c r="AZ8" s="124">
        <v>45353</v>
      </c>
      <c r="BB8" s="3"/>
    </row>
    <row r="9" spans="3:54" x14ac:dyDescent="0.3">
      <c r="C9" s="86">
        <v>5</v>
      </c>
      <c r="D9" s="112"/>
      <c r="E9" s="112"/>
      <c r="F9" s="114"/>
      <c r="G9" s="114"/>
      <c r="H9" s="114"/>
      <c r="I9" s="114"/>
      <c r="J9" s="114"/>
      <c r="K9" s="86" t="s">
        <v>35</v>
      </c>
      <c r="L9" s="117"/>
      <c r="M9" s="3"/>
      <c r="N9" s="86">
        <v>5</v>
      </c>
      <c r="O9" s="112" t="s">
        <v>78</v>
      </c>
      <c r="P9" s="112" t="s">
        <v>77</v>
      </c>
      <c r="Q9" s="114">
        <v>5</v>
      </c>
      <c r="R9" s="114">
        <v>3</v>
      </c>
      <c r="S9" s="114">
        <v>4</v>
      </c>
      <c r="T9" s="114">
        <v>3</v>
      </c>
      <c r="U9" s="114">
        <v>5</v>
      </c>
      <c r="V9" s="86" t="s">
        <v>40</v>
      </c>
      <c r="W9" s="117">
        <v>45323</v>
      </c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12" t="s">
        <v>86</v>
      </c>
      <c r="AS9" s="112" t="s">
        <v>87</v>
      </c>
      <c r="AT9" s="125">
        <v>5</v>
      </c>
      <c r="AU9" s="125">
        <v>5</v>
      </c>
      <c r="AV9" s="125">
        <v>5</v>
      </c>
      <c r="AW9" s="125">
        <v>5</v>
      </c>
      <c r="AX9" s="125">
        <v>5</v>
      </c>
      <c r="AY9" s="86" t="s">
        <v>43</v>
      </c>
      <c r="AZ9" s="124">
        <v>45353</v>
      </c>
      <c r="BB9" s="3"/>
    </row>
    <row r="10" spans="3:54" x14ac:dyDescent="0.3">
      <c r="C10" s="86">
        <v>6</v>
      </c>
      <c r="D10" s="112"/>
      <c r="E10" s="112"/>
      <c r="F10" s="114"/>
      <c r="G10" s="114"/>
      <c r="H10" s="114"/>
      <c r="I10" s="114"/>
      <c r="J10" s="114"/>
      <c r="K10" s="86" t="s">
        <v>35</v>
      </c>
      <c r="L10" s="117"/>
      <c r="M10" s="3"/>
      <c r="N10" s="86">
        <v>6</v>
      </c>
      <c r="O10" s="112"/>
      <c r="P10" s="112"/>
      <c r="Q10" s="114"/>
      <c r="R10" s="114"/>
      <c r="S10" s="114"/>
      <c r="T10" s="114"/>
      <c r="U10" s="114"/>
      <c r="V10" s="86"/>
      <c r="W10" s="117"/>
      <c r="X10" s="126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12" t="s">
        <v>88</v>
      </c>
      <c r="AS10" s="112" t="s">
        <v>89</v>
      </c>
      <c r="AT10" s="125">
        <v>5</v>
      </c>
      <c r="AU10" s="125">
        <v>5</v>
      </c>
      <c r="AV10" s="125">
        <v>5</v>
      </c>
      <c r="AW10" s="125">
        <v>5</v>
      </c>
      <c r="AX10" s="125">
        <v>5</v>
      </c>
      <c r="AY10" s="86" t="s">
        <v>43</v>
      </c>
      <c r="AZ10" s="124">
        <v>45354</v>
      </c>
      <c r="BB10" s="3"/>
    </row>
    <row r="11" spans="3:54" x14ac:dyDescent="0.3">
      <c r="C11" s="86">
        <v>7</v>
      </c>
      <c r="D11" s="112"/>
      <c r="E11" s="112"/>
      <c r="F11" s="114"/>
      <c r="G11" s="114"/>
      <c r="H11" s="114"/>
      <c r="I11" s="114"/>
      <c r="J11" s="114"/>
      <c r="K11" s="86" t="s">
        <v>35</v>
      </c>
      <c r="L11" s="117"/>
      <c r="M11" s="3"/>
      <c r="N11" s="86">
        <v>7</v>
      </c>
      <c r="O11" s="112"/>
      <c r="P11" s="112"/>
      <c r="Q11" s="114"/>
      <c r="R11" s="114"/>
      <c r="S11" s="114"/>
      <c r="T11" s="114"/>
      <c r="U11" s="114"/>
      <c r="V11" s="86"/>
      <c r="W11" s="117"/>
      <c r="X11" s="126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12" t="s">
        <v>90</v>
      </c>
      <c r="AS11" s="112" t="s">
        <v>91</v>
      </c>
      <c r="AT11" s="125">
        <v>5</v>
      </c>
      <c r="AU11" s="125">
        <v>5</v>
      </c>
      <c r="AV11" s="125">
        <v>5</v>
      </c>
      <c r="AW11" s="125">
        <v>5</v>
      </c>
      <c r="AX11" s="125">
        <v>5</v>
      </c>
      <c r="AY11" s="86" t="s">
        <v>43</v>
      </c>
      <c r="AZ11" s="124">
        <v>45354</v>
      </c>
      <c r="BB11" s="3"/>
    </row>
    <row r="12" spans="3:54" x14ac:dyDescent="0.3">
      <c r="C12" s="86">
        <v>8</v>
      </c>
      <c r="D12" s="112"/>
      <c r="E12" s="112"/>
      <c r="F12" s="114"/>
      <c r="G12" s="114"/>
      <c r="H12" s="114"/>
      <c r="I12" s="114"/>
      <c r="J12" s="114"/>
      <c r="K12" s="86" t="s">
        <v>35</v>
      </c>
      <c r="L12" s="117"/>
      <c r="M12" s="3"/>
      <c r="N12" s="86">
        <v>8</v>
      </c>
      <c r="O12" s="112"/>
      <c r="P12" s="112"/>
      <c r="Q12" s="114"/>
      <c r="R12" s="114"/>
      <c r="S12" s="114"/>
      <c r="T12" s="114"/>
      <c r="U12" s="114"/>
      <c r="V12" s="86"/>
      <c r="W12" s="117"/>
      <c r="X12" s="126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12" t="s">
        <v>92</v>
      </c>
      <c r="AS12" s="112" t="s">
        <v>89</v>
      </c>
      <c r="AT12" s="125">
        <v>5</v>
      </c>
      <c r="AU12" s="125">
        <v>5</v>
      </c>
      <c r="AV12" s="125">
        <v>5</v>
      </c>
      <c r="AW12" s="125">
        <v>5</v>
      </c>
      <c r="AX12" s="125">
        <v>5</v>
      </c>
      <c r="AY12" s="86" t="s">
        <v>43</v>
      </c>
      <c r="AZ12" s="124">
        <v>45354</v>
      </c>
      <c r="BB12" s="3"/>
    </row>
    <row r="13" spans="3:54" x14ac:dyDescent="0.3">
      <c r="C13" s="86">
        <v>9</v>
      </c>
      <c r="D13" s="112"/>
      <c r="E13" s="112"/>
      <c r="F13" s="114"/>
      <c r="G13" s="114"/>
      <c r="H13" s="114"/>
      <c r="I13" s="114"/>
      <c r="J13" s="114"/>
      <c r="K13" s="86" t="s">
        <v>35</v>
      </c>
      <c r="L13" s="117"/>
      <c r="M13" s="3"/>
      <c r="N13" s="86">
        <v>9</v>
      </c>
      <c r="O13" s="112"/>
      <c r="P13" s="112"/>
      <c r="Q13" s="114"/>
      <c r="R13" s="114"/>
      <c r="S13" s="114"/>
      <c r="T13" s="114"/>
      <c r="U13" s="114"/>
      <c r="V13" s="86"/>
      <c r="W13" s="117"/>
      <c r="X13" s="126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12" t="s">
        <v>93</v>
      </c>
      <c r="AS13" s="112" t="s">
        <v>39</v>
      </c>
      <c r="AT13" s="125">
        <v>5</v>
      </c>
      <c r="AU13" s="125">
        <v>5</v>
      </c>
      <c r="AV13" s="125">
        <v>5</v>
      </c>
      <c r="AW13" s="125">
        <v>4</v>
      </c>
      <c r="AX13" s="125">
        <v>5</v>
      </c>
      <c r="AY13" s="86" t="s">
        <v>43</v>
      </c>
      <c r="AZ13" s="124">
        <v>45354</v>
      </c>
      <c r="BB13" s="3"/>
    </row>
    <row r="14" spans="3:54" x14ac:dyDescent="0.3">
      <c r="C14" s="86">
        <v>10</v>
      </c>
      <c r="D14" s="112"/>
      <c r="E14" s="112"/>
      <c r="F14" s="114"/>
      <c r="G14" s="114"/>
      <c r="H14" s="114"/>
      <c r="I14" s="114"/>
      <c r="J14" s="114"/>
      <c r="K14" s="86" t="s">
        <v>35</v>
      </c>
      <c r="L14" s="117"/>
      <c r="M14" s="3"/>
      <c r="N14" s="86">
        <v>10</v>
      </c>
      <c r="O14" s="112"/>
      <c r="P14" s="112"/>
      <c r="Q14" s="114"/>
      <c r="R14" s="114"/>
      <c r="S14" s="114"/>
      <c r="T14" s="114"/>
      <c r="U14" s="114"/>
      <c r="V14" s="86"/>
      <c r="W14" s="117"/>
      <c r="X14" s="126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12" t="s">
        <v>94</v>
      </c>
      <c r="AS14" s="112" t="s">
        <v>39</v>
      </c>
      <c r="AT14" s="125">
        <v>5</v>
      </c>
      <c r="AU14" s="125">
        <v>4</v>
      </c>
      <c r="AV14" s="125">
        <v>4</v>
      </c>
      <c r="AW14" s="125">
        <v>4</v>
      </c>
      <c r="AX14" s="125">
        <v>3</v>
      </c>
      <c r="AY14" s="86" t="s">
        <v>43</v>
      </c>
      <c r="AZ14" s="124">
        <v>45354</v>
      </c>
      <c r="BB14" s="3"/>
    </row>
    <row r="15" spans="3:54" x14ac:dyDescent="0.3">
      <c r="C15" s="86">
        <v>11</v>
      </c>
      <c r="D15" s="112"/>
      <c r="E15" s="112"/>
      <c r="F15" s="114"/>
      <c r="G15" s="114"/>
      <c r="H15" s="114"/>
      <c r="I15" s="114"/>
      <c r="J15" s="114"/>
      <c r="K15" s="86" t="s">
        <v>35</v>
      </c>
      <c r="L15" s="117"/>
      <c r="M15" s="3"/>
      <c r="N15" s="86">
        <v>11</v>
      </c>
      <c r="O15" s="112"/>
      <c r="P15" s="112"/>
      <c r="Q15" s="114"/>
      <c r="R15" s="114"/>
      <c r="S15" s="114"/>
      <c r="T15" s="114"/>
      <c r="U15" s="114"/>
      <c r="V15" s="86"/>
      <c r="W15" s="117"/>
      <c r="X15" s="126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12" t="s">
        <v>95</v>
      </c>
      <c r="AS15" s="112" t="s">
        <v>39</v>
      </c>
      <c r="AT15" s="125">
        <v>5</v>
      </c>
      <c r="AU15" s="125">
        <v>5</v>
      </c>
      <c r="AV15" s="125">
        <v>5</v>
      </c>
      <c r="AW15" s="125">
        <v>4</v>
      </c>
      <c r="AX15" s="125">
        <v>5</v>
      </c>
      <c r="AY15" s="86" t="s">
        <v>43</v>
      </c>
      <c r="AZ15" s="124">
        <v>45354</v>
      </c>
      <c r="BB15" s="3"/>
    </row>
    <row r="16" spans="3:54" x14ac:dyDescent="0.3">
      <c r="C16" s="86">
        <v>12</v>
      </c>
      <c r="D16" s="112"/>
      <c r="E16" s="112"/>
      <c r="F16" s="114"/>
      <c r="G16" s="114"/>
      <c r="H16" s="114"/>
      <c r="I16" s="114"/>
      <c r="J16" s="114"/>
      <c r="K16" s="86" t="s">
        <v>35</v>
      </c>
      <c r="L16" s="117"/>
      <c r="M16" s="3"/>
      <c r="N16" s="86">
        <v>12</v>
      </c>
      <c r="O16" s="112"/>
      <c r="P16" s="112"/>
      <c r="Q16" s="114"/>
      <c r="R16" s="114"/>
      <c r="S16" s="114"/>
      <c r="T16" s="114"/>
      <c r="U16" s="114"/>
      <c r="V16" s="86"/>
      <c r="W16" s="117"/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12" t="s">
        <v>96</v>
      </c>
      <c r="AS16" s="112" t="s">
        <v>39</v>
      </c>
      <c r="AT16" s="125">
        <v>5</v>
      </c>
      <c r="AU16" s="125">
        <v>5</v>
      </c>
      <c r="AV16" s="125">
        <v>5</v>
      </c>
      <c r="AW16" s="125">
        <v>5</v>
      </c>
      <c r="AX16" s="125">
        <v>5</v>
      </c>
      <c r="AY16" s="86" t="s">
        <v>43</v>
      </c>
      <c r="AZ16" s="124">
        <v>45354</v>
      </c>
      <c r="BB16" s="3"/>
    </row>
    <row r="17" spans="3:54" x14ac:dyDescent="0.3">
      <c r="C17" s="86">
        <v>13</v>
      </c>
      <c r="D17" s="86"/>
      <c r="E17" s="86"/>
      <c r="F17" s="86"/>
      <c r="G17" s="86"/>
      <c r="H17" s="86"/>
      <c r="I17" s="86"/>
      <c r="J17" s="86"/>
      <c r="K17" s="86" t="s">
        <v>35</v>
      </c>
      <c r="L17" s="86"/>
      <c r="M17" s="3"/>
      <c r="N17" s="86">
        <v>13</v>
      </c>
      <c r="O17" s="112"/>
      <c r="P17" s="112"/>
      <c r="Q17" s="114"/>
      <c r="R17" s="114"/>
      <c r="S17" s="114"/>
      <c r="T17" s="114"/>
      <c r="U17" s="114"/>
      <c r="V17" s="86"/>
      <c r="W17" s="117"/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12" t="s">
        <v>97</v>
      </c>
      <c r="AS17" s="112" t="s">
        <v>39</v>
      </c>
      <c r="AT17" s="125">
        <v>5</v>
      </c>
      <c r="AU17" s="125">
        <v>5</v>
      </c>
      <c r="AV17" s="125">
        <v>5</v>
      </c>
      <c r="AW17" s="125">
        <v>5</v>
      </c>
      <c r="AX17" s="125">
        <v>5</v>
      </c>
      <c r="AY17" s="86" t="s">
        <v>43</v>
      </c>
      <c r="AZ17" s="124">
        <v>45354</v>
      </c>
      <c r="BB17" s="3"/>
    </row>
    <row r="18" spans="3:54" x14ac:dyDescent="0.3">
      <c r="C18" s="86">
        <v>14</v>
      </c>
      <c r="D18" s="86"/>
      <c r="E18" s="86"/>
      <c r="F18" s="86"/>
      <c r="G18" s="86"/>
      <c r="H18" s="86"/>
      <c r="I18" s="86"/>
      <c r="J18" s="86"/>
      <c r="K18" s="86" t="s">
        <v>35</v>
      </c>
      <c r="L18" s="86"/>
      <c r="M18" s="3"/>
      <c r="N18" s="86">
        <v>14</v>
      </c>
      <c r="O18" s="112"/>
      <c r="P18" s="112"/>
      <c r="Q18" s="114"/>
      <c r="R18" s="114"/>
      <c r="S18" s="114"/>
      <c r="T18" s="114"/>
      <c r="U18" s="114"/>
      <c r="V18" s="86"/>
      <c r="W18" s="117"/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12" t="s">
        <v>98</v>
      </c>
      <c r="AS18" s="112" t="s">
        <v>99</v>
      </c>
      <c r="AT18" s="125">
        <v>5</v>
      </c>
      <c r="AU18" s="125">
        <v>5</v>
      </c>
      <c r="AV18" s="125">
        <v>5</v>
      </c>
      <c r="AW18" s="125">
        <v>5</v>
      </c>
      <c r="AX18" s="125">
        <v>5</v>
      </c>
      <c r="AY18" s="86" t="s">
        <v>43</v>
      </c>
      <c r="AZ18" s="124">
        <v>45354</v>
      </c>
      <c r="BB18" s="3"/>
    </row>
    <row r="19" spans="3:54" x14ac:dyDescent="0.3">
      <c r="C19" s="86">
        <v>15</v>
      </c>
      <c r="D19" s="86"/>
      <c r="E19" s="86"/>
      <c r="F19" s="86"/>
      <c r="G19" s="86"/>
      <c r="H19" s="86"/>
      <c r="I19" s="86"/>
      <c r="J19" s="86"/>
      <c r="K19" s="86" t="s">
        <v>35</v>
      </c>
      <c r="L19" s="86"/>
      <c r="M19" s="3"/>
      <c r="N19" s="86">
        <v>15</v>
      </c>
      <c r="O19" s="112"/>
      <c r="P19" s="112"/>
      <c r="Q19" s="114"/>
      <c r="R19" s="114"/>
      <c r="S19" s="114"/>
      <c r="T19" s="114"/>
      <c r="U19" s="114"/>
      <c r="V19" s="86"/>
      <c r="W19" s="117"/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12" t="s">
        <v>100</v>
      </c>
      <c r="AS19" s="112" t="s">
        <v>101</v>
      </c>
      <c r="AT19" s="125">
        <v>5</v>
      </c>
      <c r="AU19" s="125">
        <v>5</v>
      </c>
      <c r="AV19" s="125">
        <v>5</v>
      </c>
      <c r="AW19" s="125">
        <v>5</v>
      </c>
      <c r="AX19" s="125">
        <v>5</v>
      </c>
      <c r="AY19" s="86" t="s">
        <v>43</v>
      </c>
      <c r="AZ19" s="124">
        <v>45354</v>
      </c>
      <c r="BB19" s="3"/>
    </row>
    <row r="20" spans="3:54" x14ac:dyDescent="0.3">
      <c r="C20" s="86">
        <v>16</v>
      </c>
      <c r="D20" s="86"/>
      <c r="E20" s="86"/>
      <c r="F20" s="86"/>
      <c r="G20" s="86"/>
      <c r="H20" s="86"/>
      <c r="I20" s="86"/>
      <c r="J20" s="86"/>
      <c r="K20" s="86" t="s">
        <v>35</v>
      </c>
      <c r="L20" s="86"/>
      <c r="M20" s="3"/>
      <c r="N20" s="86">
        <v>16</v>
      </c>
      <c r="O20" s="112"/>
      <c r="P20" s="112"/>
      <c r="Q20" s="114"/>
      <c r="R20" s="114"/>
      <c r="S20" s="114"/>
      <c r="T20" s="114"/>
      <c r="U20" s="114"/>
      <c r="V20" s="86"/>
      <c r="W20" s="117"/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12" t="s">
        <v>102</v>
      </c>
      <c r="AS20" s="112" t="s">
        <v>103</v>
      </c>
      <c r="AT20" s="125">
        <v>5</v>
      </c>
      <c r="AU20" s="125">
        <v>5</v>
      </c>
      <c r="AV20" s="125">
        <v>4</v>
      </c>
      <c r="AW20" s="125">
        <v>5</v>
      </c>
      <c r="AX20" s="125">
        <v>5</v>
      </c>
      <c r="AY20" s="86" t="s">
        <v>43</v>
      </c>
      <c r="AZ20" s="124">
        <v>45355</v>
      </c>
      <c r="BB20" s="3"/>
    </row>
    <row r="21" spans="3:54" x14ac:dyDescent="0.3">
      <c r="C21" s="86">
        <v>17</v>
      </c>
      <c r="D21" s="86"/>
      <c r="E21" s="86"/>
      <c r="F21" s="86"/>
      <c r="G21" s="86"/>
      <c r="H21" s="86"/>
      <c r="I21" s="86"/>
      <c r="J21" s="86"/>
      <c r="K21" s="86" t="s">
        <v>35</v>
      </c>
      <c r="L21" s="86"/>
      <c r="M21" s="3"/>
      <c r="N21" s="86">
        <v>17</v>
      </c>
      <c r="O21" s="112"/>
      <c r="P21" s="112"/>
      <c r="Q21" s="114"/>
      <c r="R21" s="114"/>
      <c r="S21" s="114"/>
      <c r="T21" s="114"/>
      <c r="U21" s="114"/>
      <c r="V21" s="86"/>
      <c r="W21" s="117"/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12" t="s">
        <v>102</v>
      </c>
      <c r="AS21" s="112" t="s">
        <v>103</v>
      </c>
      <c r="AT21" s="125">
        <v>5</v>
      </c>
      <c r="AU21" s="125">
        <v>5</v>
      </c>
      <c r="AV21" s="125">
        <v>4</v>
      </c>
      <c r="AW21" s="125">
        <v>5</v>
      </c>
      <c r="AX21" s="125">
        <v>5</v>
      </c>
      <c r="AY21" s="86" t="s">
        <v>43</v>
      </c>
      <c r="AZ21" s="124">
        <v>45355</v>
      </c>
      <c r="BB21" s="3"/>
    </row>
    <row r="22" spans="3:54" x14ac:dyDescent="0.3">
      <c r="C22" s="86">
        <v>18</v>
      </c>
      <c r="D22" s="86"/>
      <c r="E22" s="86"/>
      <c r="F22" s="86"/>
      <c r="G22" s="86"/>
      <c r="H22" s="86"/>
      <c r="I22" s="86"/>
      <c r="J22" s="86"/>
      <c r="K22" s="86" t="s">
        <v>35</v>
      </c>
      <c r="L22" s="86"/>
      <c r="M22" s="3"/>
      <c r="N22" s="86">
        <v>18</v>
      </c>
      <c r="O22" s="112"/>
      <c r="P22" s="112"/>
      <c r="Q22" s="114"/>
      <c r="R22" s="114"/>
      <c r="S22" s="114"/>
      <c r="T22" s="114"/>
      <c r="U22" s="114"/>
      <c r="V22" s="86"/>
      <c r="W22" s="117"/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12" t="s">
        <v>104</v>
      </c>
      <c r="AS22" s="112" t="s">
        <v>105</v>
      </c>
      <c r="AT22" s="125">
        <v>5</v>
      </c>
      <c r="AU22" s="125">
        <v>5</v>
      </c>
      <c r="AV22" s="125">
        <v>4</v>
      </c>
      <c r="AW22" s="125">
        <v>4</v>
      </c>
      <c r="AX22" s="125">
        <v>5</v>
      </c>
      <c r="AY22" s="86" t="s">
        <v>43</v>
      </c>
      <c r="AZ22" s="124">
        <v>45355</v>
      </c>
      <c r="BB22" s="3"/>
    </row>
    <row r="23" spans="3:54" x14ac:dyDescent="0.3">
      <c r="C23" s="86">
        <v>19</v>
      </c>
      <c r="D23" s="86"/>
      <c r="E23" s="86"/>
      <c r="F23" s="86"/>
      <c r="G23" s="86"/>
      <c r="H23" s="86"/>
      <c r="I23" s="86"/>
      <c r="J23" s="86"/>
      <c r="K23" s="86" t="s">
        <v>35</v>
      </c>
      <c r="L23" s="86"/>
      <c r="M23" s="3"/>
      <c r="N23" s="86">
        <v>19</v>
      </c>
      <c r="O23" s="112"/>
      <c r="P23" s="112"/>
      <c r="Q23" s="114"/>
      <c r="R23" s="114"/>
      <c r="S23" s="114"/>
      <c r="T23" s="114"/>
      <c r="U23" s="114"/>
      <c r="V23" s="86"/>
      <c r="W23" s="117"/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12" t="s">
        <v>106</v>
      </c>
      <c r="AS23" s="112" t="s">
        <v>44</v>
      </c>
      <c r="AT23" s="125">
        <v>5</v>
      </c>
      <c r="AU23" s="125">
        <v>5</v>
      </c>
      <c r="AV23" s="125">
        <v>5</v>
      </c>
      <c r="AW23" s="125">
        <v>5</v>
      </c>
      <c r="AX23" s="125">
        <v>5</v>
      </c>
      <c r="AY23" s="86" t="s">
        <v>43</v>
      </c>
      <c r="AZ23" s="124">
        <v>45356</v>
      </c>
      <c r="BB23" s="3"/>
    </row>
    <row r="24" spans="3:54" x14ac:dyDescent="0.3">
      <c r="C24" s="86">
        <v>20</v>
      </c>
      <c r="D24" s="86"/>
      <c r="E24" s="86"/>
      <c r="F24" s="86"/>
      <c r="G24" s="86"/>
      <c r="H24" s="86"/>
      <c r="I24" s="86"/>
      <c r="J24" s="86"/>
      <c r="K24" s="86" t="s">
        <v>35</v>
      </c>
      <c r="L24" s="86"/>
      <c r="M24" s="3"/>
      <c r="N24" s="86">
        <v>20</v>
      </c>
      <c r="O24" s="112"/>
      <c r="P24" s="112"/>
      <c r="Q24" s="114"/>
      <c r="R24" s="114"/>
      <c r="S24" s="114"/>
      <c r="T24" s="114"/>
      <c r="U24" s="114"/>
      <c r="V24" s="86"/>
      <c r="W24" s="117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12" t="s">
        <v>107</v>
      </c>
      <c r="AS24" s="112" t="s">
        <v>108</v>
      </c>
      <c r="AT24" s="125">
        <v>5</v>
      </c>
      <c r="AU24" s="125">
        <v>5</v>
      </c>
      <c r="AV24" s="125">
        <v>5</v>
      </c>
      <c r="AW24" s="125">
        <v>5</v>
      </c>
      <c r="AX24" s="125">
        <v>5</v>
      </c>
      <c r="AY24" s="86" t="s">
        <v>43</v>
      </c>
      <c r="AZ24" s="124">
        <v>45356</v>
      </c>
      <c r="BB24" s="3"/>
    </row>
    <row r="25" spans="3:54" x14ac:dyDescent="0.3">
      <c r="C25" s="86">
        <v>21</v>
      </c>
      <c r="D25" s="86"/>
      <c r="E25" s="86"/>
      <c r="F25" s="86"/>
      <c r="G25" s="86"/>
      <c r="H25" s="86"/>
      <c r="I25" s="86"/>
      <c r="J25" s="86"/>
      <c r="K25" s="86" t="s">
        <v>35</v>
      </c>
      <c r="L25" s="86"/>
      <c r="M25" s="3"/>
      <c r="N25" s="86">
        <v>21</v>
      </c>
      <c r="O25" s="112"/>
      <c r="P25" s="112"/>
      <c r="Q25" s="114"/>
      <c r="R25" s="114"/>
      <c r="S25" s="114"/>
      <c r="T25" s="114"/>
      <c r="U25" s="114"/>
      <c r="V25" s="86"/>
      <c r="W25" s="117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12" t="s">
        <v>109</v>
      </c>
      <c r="AS25" s="112" t="s">
        <v>110</v>
      </c>
      <c r="AT25" s="125">
        <v>5</v>
      </c>
      <c r="AU25" s="125">
        <v>5</v>
      </c>
      <c r="AV25" s="125">
        <v>5</v>
      </c>
      <c r="AW25" s="125">
        <v>5</v>
      </c>
      <c r="AX25" s="125">
        <v>5</v>
      </c>
      <c r="AY25" s="86" t="s">
        <v>43</v>
      </c>
      <c r="AZ25" s="124">
        <v>45356</v>
      </c>
      <c r="BA25" s="83"/>
      <c r="BB25" s="3"/>
    </row>
    <row r="26" spans="3:54" x14ac:dyDescent="0.3">
      <c r="C26" s="86">
        <v>22</v>
      </c>
      <c r="D26" s="86"/>
      <c r="E26" s="86"/>
      <c r="F26" s="86"/>
      <c r="G26" s="86"/>
      <c r="H26" s="86"/>
      <c r="I26" s="86"/>
      <c r="J26" s="86"/>
      <c r="K26" s="86" t="s">
        <v>35</v>
      </c>
      <c r="L26" s="86"/>
      <c r="M26" s="3"/>
      <c r="N26" s="86">
        <v>22</v>
      </c>
      <c r="O26" s="112"/>
      <c r="P26" s="112"/>
      <c r="Q26" s="114"/>
      <c r="R26" s="114"/>
      <c r="S26" s="114"/>
      <c r="T26" s="114"/>
      <c r="U26" s="114"/>
      <c r="V26" s="86"/>
      <c r="W26" s="117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12" t="s">
        <v>111</v>
      </c>
      <c r="AS26" s="112" t="s">
        <v>110</v>
      </c>
      <c r="AT26" s="125">
        <v>5</v>
      </c>
      <c r="AU26" s="125">
        <v>5</v>
      </c>
      <c r="AV26" s="125">
        <v>5</v>
      </c>
      <c r="AW26" s="125">
        <v>5</v>
      </c>
      <c r="AX26" s="125">
        <v>5</v>
      </c>
      <c r="AY26" s="86" t="s">
        <v>43</v>
      </c>
      <c r="AZ26" s="124">
        <v>45356</v>
      </c>
      <c r="BB26" s="3"/>
    </row>
    <row r="27" spans="3:54" x14ac:dyDescent="0.3">
      <c r="C27" s="86">
        <v>23</v>
      </c>
      <c r="D27" s="86"/>
      <c r="E27" s="86"/>
      <c r="F27" s="86"/>
      <c r="G27" s="86"/>
      <c r="H27" s="86"/>
      <c r="I27" s="86"/>
      <c r="J27" s="86"/>
      <c r="K27" s="86" t="s">
        <v>35</v>
      </c>
      <c r="L27" s="86"/>
      <c r="M27" s="3"/>
      <c r="N27" s="86">
        <v>23</v>
      </c>
      <c r="O27" s="112"/>
      <c r="P27" s="112"/>
      <c r="Q27" s="114"/>
      <c r="R27" s="114"/>
      <c r="S27" s="114"/>
      <c r="T27" s="114"/>
      <c r="U27" s="114"/>
      <c r="V27" s="86"/>
      <c r="W27" s="117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12" t="s">
        <v>112</v>
      </c>
      <c r="AS27" s="112" t="s">
        <v>44</v>
      </c>
      <c r="AT27" s="125">
        <v>5</v>
      </c>
      <c r="AU27" s="125">
        <v>5</v>
      </c>
      <c r="AV27" s="125">
        <v>4</v>
      </c>
      <c r="AW27" s="125">
        <v>4</v>
      </c>
      <c r="AX27" s="125">
        <v>4</v>
      </c>
      <c r="AY27" s="86" t="s">
        <v>43</v>
      </c>
      <c r="AZ27" s="124">
        <v>45356</v>
      </c>
      <c r="BB27" s="3"/>
    </row>
    <row r="28" spans="3:54" x14ac:dyDescent="0.3">
      <c r="C28" s="86">
        <v>24</v>
      </c>
      <c r="D28" s="86"/>
      <c r="E28" s="86"/>
      <c r="F28" s="86"/>
      <c r="G28" s="86"/>
      <c r="H28" s="86"/>
      <c r="I28" s="86"/>
      <c r="J28" s="86"/>
      <c r="K28" s="86" t="s">
        <v>35</v>
      </c>
      <c r="L28" s="86"/>
      <c r="M28" s="3"/>
      <c r="N28" s="86">
        <v>24</v>
      </c>
      <c r="O28" s="112"/>
      <c r="P28" s="112"/>
      <c r="Q28" s="114"/>
      <c r="R28" s="114"/>
      <c r="S28" s="114"/>
      <c r="T28" s="114"/>
      <c r="U28" s="114"/>
      <c r="V28" s="86"/>
      <c r="W28" s="117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12" t="s">
        <v>113</v>
      </c>
      <c r="AS28" s="112" t="s">
        <v>114</v>
      </c>
      <c r="AT28" s="125">
        <v>5</v>
      </c>
      <c r="AU28" s="125">
        <v>4</v>
      </c>
      <c r="AV28" s="125">
        <v>5</v>
      </c>
      <c r="AW28" s="125">
        <v>4</v>
      </c>
      <c r="AX28" s="125">
        <v>4</v>
      </c>
      <c r="AY28" s="86" t="s">
        <v>43</v>
      </c>
      <c r="AZ28" s="124">
        <v>45356</v>
      </c>
      <c r="BB28" s="3"/>
    </row>
    <row r="29" spans="3:54" x14ac:dyDescent="0.3">
      <c r="C29" s="86">
        <v>25</v>
      </c>
      <c r="D29" s="86"/>
      <c r="E29" s="86"/>
      <c r="F29" s="86"/>
      <c r="G29" s="86"/>
      <c r="H29" s="86"/>
      <c r="I29" s="86"/>
      <c r="J29" s="86"/>
      <c r="K29" s="86" t="s">
        <v>35</v>
      </c>
      <c r="L29" s="86"/>
      <c r="M29" s="3"/>
      <c r="N29" s="86">
        <v>25</v>
      </c>
      <c r="O29" s="112"/>
      <c r="P29" s="112"/>
      <c r="Q29" s="114"/>
      <c r="R29" s="114"/>
      <c r="S29" s="114"/>
      <c r="T29" s="114"/>
      <c r="U29" s="114"/>
      <c r="V29" s="86"/>
      <c r="W29" s="117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12" t="s">
        <v>115</v>
      </c>
      <c r="AS29" s="112" t="s">
        <v>44</v>
      </c>
      <c r="AT29" s="125">
        <v>5</v>
      </c>
      <c r="AU29" s="125">
        <v>5</v>
      </c>
      <c r="AV29" s="125">
        <v>4</v>
      </c>
      <c r="AW29" s="125">
        <v>4</v>
      </c>
      <c r="AX29" s="125">
        <v>4</v>
      </c>
      <c r="AY29" s="86" t="s">
        <v>43</v>
      </c>
      <c r="AZ29" s="124">
        <v>45356</v>
      </c>
      <c r="BB29" s="3"/>
    </row>
    <row r="30" spans="3:54" x14ac:dyDescent="0.3">
      <c r="C30" s="86">
        <v>26</v>
      </c>
      <c r="D30" s="86"/>
      <c r="E30" s="86"/>
      <c r="F30" s="86"/>
      <c r="G30" s="86"/>
      <c r="H30" s="86"/>
      <c r="I30" s="86"/>
      <c r="J30" s="86"/>
      <c r="K30" s="86" t="s">
        <v>35</v>
      </c>
      <c r="L30" s="86"/>
      <c r="M30" s="3"/>
      <c r="N30" s="86">
        <v>26</v>
      </c>
      <c r="O30" s="112"/>
      <c r="P30" s="112"/>
      <c r="Q30" s="114"/>
      <c r="R30" s="114"/>
      <c r="S30" s="114"/>
      <c r="T30" s="114"/>
      <c r="U30" s="114"/>
      <c r="V30" s="86"/>
      <c r="W30" s="117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12" t="s">
        <v>116</v>
      </c>
      <c r="AS30" s="112" t="s">
        <v>44</v>
      </c>
      <c r="AT30" s="125">
        <v>5</v>
      </c>
      <c r="AU30" s="125">
        <v>4</v>
      </c>
      <c r="AV30" s="125">
        <v>4</v>
      </c>
      <c r="AW30" s="125">
        <v>4</v>
      </c>
      <c r="AX30" s="125">
        <v>4</v>
      </c>
      <c r="AY30" s="86" t="s">
        <v>43</v>
      </c>
      <c r="AZ30" s="124">
        <v>45358</v>
      </c>
      <c r="BB30" s="3"/>
    </row>
    <row r="31" spans="3:54" x14ac:dyDescent="0.3">
      <c r="C31" s="86">
        <v>27</v>
      </c>
      <c r="D31" s="86"/>
      <c r="E31" s="86"/>
      <c r="F31" s="86"/>
      <c r="G31" s="86"/>
      <c r="H31" s="86"/>
      <c r="I31" s="86"/>
      <c r="J31" s="86"/>
      <c r="K31" s="86" t="s">
        <v>35</v>
      </c>
      <c r="L31" s="86"/>
      <c r="M31" s="3"/>
      <c r="N31" s="86">
        <v>27</v>
      </c>
      <c r="O31" s="112"/>
      <c r="P31" s="112"/>
      <c r="Q31" s="114"/>
      <c r="R31" s="114"/>
      <c r="S31" s="114"/>
      <c r="T31" s="114"/>
      <c r="U31" s="114"/>
      <c r="V31" s="86"/>
      <c r="W31" s="117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12" t="s">
        <v>117</v>
      </c>
      <c r="AS31" s="112" t="s">
        <v>89</v>
      </c>
      <c r="AT31" s="125">
        <v>5</v>
      </c>
      <c r="AU31" s="125">
        <v>5</v>
      </c>
      <c r="AV31" s="125">
        <v>5</v>
      </c>
      <c r="AW31" s="125">
        <v>5</v>
      </c>
      <c r="AX31" s="125">
        <v>5</v>
      </c>
      <c r="AY31" s="86" t="s">
        <v>43</v>
      </c>
      <c r="AZ31" s="124">
        <v>45358</v>
      </c>
      <c r="BB31" s="3"/>
    </row>
    <row r="32" spans="3:54" x14ac:dyDescent="0.3">
      <c r="C32" s="86">
        <v>28</v>
      </c>
      <c r="D32" s="86"/>
      <c r="E32" s="86"/>
      <c r="F32" s="86"/>
      <c r="G32" s="86"/>
      <c r="H32" s="86"/>
      <c r="I32" s="86"/>
      <c r="J32" s="86"/>
      <c r="K32" s="86" t="s">
        <v>35</v>
      </c>
      <c r="L32" s="86"/>
      <c r="M32" s="3"/>
      <c r="N32" s="86">
        <v>28</v>
      </c>
      <c r="O32" s="112"/>
      <c r="P32" s="112"/>
      <c r="Q32" s="114"/>
      <c r="R32" s="114"/>
      <c r="S32" s="114"/>
      <c r="T32" s="114"/>
      <c r="U32" s="114"/>
      <c r="V32" s="86"/>
      <c r="W32" s="117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12" t="s">
        <v>118</v>
      </c>
      <c r="AS32" s="112" t="s">
        <v>89</v>
      </c>
      <c r="AT32" s="125">
        <v>5</v>
      </c>
      <c r="AU32" s="125">
        <v>5</v>
      </c>
      <c r="AV32" s="125">
        <v>5</v>
      </c>
      <c r="AW32" s="125">
        <v>5</v>
      </c>
      <c r="AX32" s="125">
        <v>5</v>
      </c>
      <c r="AY32" s="86" t="s">
        <v>43</v>
      </c>
      <c r="AZ32" s="124">
        <v>45358</v>
      </c>
      <c r="BB32" s="3"/>
    </row>
    <row r="33" spans="3:54" x14ac:dyDescent="0.3">
      <c r="C33" s="86">
        <v>29</v>
      </c>
      <c r="D33" s="86"/>
      <c r="E33" s="86"/>
      <c r="F33" s="86"/>
      <c r="G33" s="86"/>
      <c r="H33" s="86"/>
      <c r="I33" s="86"/>
      <c r="J33" s="86"/>
      <c r="K33" s="86" t="s">
        <v>35</v>
      </c>
      <c r="L33" s="86"/>
      <c r="M33" s="3"/>
      <c r="N33" s="86">
        <v>29</v>
      </c>
      <c r="O33" s="112"/>
      <c r="P33" s="112"/>
      <c r="Q33" s="114"/>
      <c r="R33" s="114"/>
      <c r="S33" s="114"/>
      <c r="T33" s="114"/>
      <c r="U33" s="114"/>
      <c r="V33" s="86"/>
      <c r="W33" s="117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12" t="s">
        <v>119</v>
      </c>
      <c r="AS33" s="112" t="s">
        <v>87</v>
      </c>
      <c r="AT33" s="125">
        <v>5</v>
      </c>
      <c r="AU33" s="125">
        <v>4</v>
      </c>
      <c r="AV33" s="125">
        <v>5</v>
      </c>
      <c r="AW33" s="125">
        <v>5</v>
      </c>
      <c r="AX33" s="125">
        <v>5</v>
      </c>
      <c r="AY33" s="86" t="s">
        <v>43</v>
      </c>
      <c r="AZ33" s="124">
        <v>45359</v>
      </c>
      <c r="BB33" s="3"/>
    </row>
    <row r="34" spans="3:54" x14ac:dyDescent="0.3">
      <c r="C34" s="86">
        <v>30</v>
      </c>
      <c r="D34" s="86"/>
      <c r="E34" s="86"/>
      <c r="F34" s="86"/>
      <c r="G34" s="86"/>
      <c r="H34" s="86"/>
      <c r="I34" s="86"/>
      <c r="J34" s="86"/>
      <c r="K34" s="86" t="s">
        <v>35</v>
      </c>
      <c r="L34" s="86"/>
      <c r="M34" s="3"/>
      <c r="N34" s="86">
        <v>30</v>
      </c>
      <c r="O34" s="112"/>
      <c r="P34" s="112"/>
      <c r="Q34" s="114"/>
      <c r="R34" s="114"/>
      <c r="S34" s="114"/>
      <c r="T34" s="114"/>
      <c r="U34" s="114"/>
      <c r="V34" s="86"/>
      <c r="W34" s="117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12" t="s">
        <v>120</v>
      </c>
      <c r="AS34" s="112" t="s">
        <v>121</v>
      </c>
      <c r="AT34" s="125">
        <v>5</v>
      </c>
      <c r="AU34" s="125">
        <v>5</v>
      </c>
      <c r="AV34" s="125">
        <v>5</v>
      </c>
      <c r="AW34" s="125">
        <v>5</v>
      </c>
      <c r="AX34" s="125">
        <v>5</v>
      </c>
      <c r="AY34" s="86" t="s">
        <v>43</v>
      </c>
      <c r="AZ34" s="124">
        <v>45359</v>
      </c>
      <c r="BB34" s="3"/>
    </row>
    <row r="35" spans="3:54" x14ac:dyDescent="0.3">
      <c r="C35" s="86">
        <v>31</v>
      </c>
      <c r="D35" s="86"/>
      <c r="E35" s="86"/>
      <c r="F35" s="86"/>
      <c r="G35" s="86"/>
      <c r="H35" s="86"/>
      <c r="I35" s="86"/>
      <c r="J35" s="86"/>
      <c r="K35" s="86" t="s">
        <v>35</v>
      </c>
      <c r="L35" s="86"/>
      <c r="M35" s="3"/>
      <c r="N35" s="86">
        <v>31</v>
      </c>
      <c r="O35" s="112"/>
      <c r="P35" s="112"/>
      <c r="Q35" s="114"/>
      <c r="R35" s="114"/>
      <c r="S35" s="114"/>
      <c r="T35" s="114"/>
      <c r="U35" s="114"/>
      <c r="V35" s="86"/>
      <c r="W35" s="117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12" t="s">
        <v>122</v>
      </c>
      <c r="AS35" s="112" t="s">
        <v>87</v>
      </c>
      <c r="AT35" s="125">
        <v>4</v>
      </c>
      <c r="AU35" s="125">
        <v>5</v>
      </c>
      <c r="AV35" s="125">
        <v>4</v>
      </c>
      <c r="AW35" s="125">
        <v>5</v>
      </c>
      <c r="AX35" s="125">
        <v>5</v>
      </c>
      <c r="AY35" s="86" t="s">
        <v>43</v>
      </c>
      <c r="AZ35" s="124">
        <v>45359</v>
      </c>
      <c r="BB35" s="3"/>
    </row>
    <row r="36" spans="3:54" x14ac:dyDescent="0.3">
      <c r="C36" s="86">
        <v>32</v>
      </c>
      <c r="D36" s="86"/>
      <c r="E36" s="86"/>
      <c r="F36" s="86"/>
      <c r="G36" s="86"/>
      <c r="H36" s="86"/>
      <c r="I36" s="86"/>
      <c r="J36" s="86"/>
      <c r="K36" s="86" t="s">
        <v>35</v>
      </c>
      <c r="L36" s="86"/>
      <c r="M36" s="3"/>
      <c r="N36" s="86">
        <v>32</v>
      </c>
      <c r="O36" s="112"/>
      <c r="P36" s="112"/>
      <c r="Q36" s="114"/>
      <c r="R36" s="114"/>
      <c r="S36" s="114"/>
      <c r="T36" s="114"/>
      <c r="U36" s="114"/>
      <c r="V36" s="86"/>
      <c r="W36" s="117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12" t="s">
        <v>123</v>
      </c>
      <c r="AS36" s="112" t="s">
        <v>39</v>
      </c>
      <c r="AT36" s="125">
        <v>5</v>
      </c>
      <c r="AU36" s="125">
        <v>5</v>
      </c>
      <c r="AV36" s="125">
        <v>5</v>
      </c>
      <c r="AW36" s="125">
        <v>5</v>
      </c>
      <c r="AX36" s="125">
        <v>5</v>
      </c>
      <c r="AY36" s="86" t="s">
        <v>43</v>
      </c>
      <c r="AZ36" s="124">
        <v>45361</v>
      </c>
      <c r="BB36" s="3"/>
    </row>
    <row r="37" spans="3:54" x14ac:dyDescent="0.3">
      <c r="C37" s="86">
        <v>33</v>
      </c>
      <c r="D37" s="86"/>
      <c r="E37" s="86"/>
      <c r="F37" s="86"/>
      <c r="G37" s="86"/>
      <c r="H37" s="86"/>
      <c r="I37" s="86"/>
      <c r="J37" s="86"/>
      <c r="K37" s="86" t="s">
        <v>35</v>
      </c>
      <c r="L37" s="86"/>
      <c r="M37" s="3"/>
      <c r="N37" s="86">
        <v>33</v>
      </c>
      <c r="O37" s="112"/>
      <c r="P37" s="112"/>
      <c r="Q37" s="114"/>
      <c r="R37" s="114"/>
      <c r="S37" s="114"/>
      <c r="T37" s="114"/>
      <c r="U37" s="114"/>
      <c r="V37" s="86"/>
      <c r="W37" s="117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12" t="s">
        <v>123</v>
      </c>
      <c r="AS37" s="112" t="s">
        <v>39</v>
      </c>
      <c r="AT37" s="125">
        <v>5</v>
      </c>
      <c r="AU37" s="125">
        <v>5</v>
      </c>
      <c r="AV37" s="125">
        <v>5</v>
      </c>
      <c r="AW37" s="125">
        <v>5</v>
      </c>
      <c r="AX37" s="125">
        <v>5</v>
      </c>
      <c r="AY37" s="86" t="s">
        <v>43</v>
      </c>
      <c r="AZ37" s="124">
        <v>45361</v>
      </c>
      <c r="BB37" s="3"/>
    </row>
    <row r="38" spans="3:54" x14ac:dyDescent="0.3">
      <c r="C38" s="86">
        <v>34</v>
      </c>
      <c r="D38" s="86"/>
      <c r="E38" s="86"/>
      <c r="F38" s="86"/>
      <c r="G38" s="86"/>
      <c r="H38" s="86"/>
      <c r="I38" s="86"/>
      <c r="J38" s="86"/>
      <c r="K38" s="86" t="s">
        <v>35</v>
      </c>
      <c r="L38" s="86"/>
      <c r="M38" s="3"/>
      <c r="N38" s="86">
        <v>34</v>
      </c>
      <c r="O38" s="112"/>
      <c r="P38" s="112"/>
      <c r="Q38" s="114"/>
      <c r="R38" s="114"/>
      <c r="S38" s="114"/>
      <c r="T38" s="114"/>
      <c r="U38" s="114"/>
      <c r="V38" s="86"/>
      <c r="W38" s="117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12" t="s">
        <v>124</v>
      </c>
      <c r="AS38" s="112" t="s">
        <v>39</v>
      </c>
      <c r="AT38" s="125">
        <v>5</v>
      </c>
      <c r="AU38" s="125">
        <v>5</v>
      </c>
      <c r="AV38" s="125">
        <v>5</v>
      </c>
      <c r="AW38" s="125">
        <v>5</v>
      </c>
      <c r="AX38" s="125">
        <v>5</v>
      </c>
      <c r="AY38" s="86" t="s">
        <v>43</v>
      </c>
      <c r="AZ38" s="124">
        <v>45361</v>
      </c>
      <c r="BB38" s="3"/>
    </row>
    <row r="39" spans="3:54" x14ac:dyDescent="0.3">
      <c r="C39" s="86">
        <v>35</v>
      </c>
      <c r="D39" s="86"/>
      <c r="E39" s="86"/>
      <c r="F39" s="86"/>
      <c r="G39" s="86"/>
      <c r="H39" s="86"/>
      <c r="I39" s="86"/>
      <c r="J39" s="86"/>
      <c r="K39" s="86" t="s">
        <v>35</v>
      </c>
      <c r="L39" s="86"/>
      <c r="M39" s="3"/>
      <c r="N39" s="86">
        <v>35</v>
      </c>
      <c r="O39" s="112"/>
      <c r="P39" s="112"/>
      <c r="Q39" s="114"/>
      <c r="R39" s="114"/>
      <c r="S39" s="114"/>
      <c r="T39" s="114"/>
      <c r="U39" s="114"/>
      <c r="V39" s="86"/>
      <c r="W39" s="117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12" t="s">
        <v>125</v>
      </c>
      <c r="AS39" s="112" t="s">
        <v>87</v>
      </c>
      <c r="AT39" s="125">
        <v>5</v>
      </c>
      <c r="AU39" s="125">
        <v>5</v>
      </c>
      <c r="AV39" s="125">
        <v>5</v>
      </c>
      <c r="AW39" s="125">
        <v>5</v>
      </c>
      <c r="AX39" s="125">
        <v>5</v>
      </c>
      <c r="AY39" s="86" t="s">
        <v>43</v>
      </c>
      <c r="AZ39" s="124">
        <v>45361</v>
      </c>
      <c r="BB39" s="3"/>
    </row>
    <row r="40" spans="3:54" x14ac:dyDescent="0.3">
      <c r="C40" s="86">
        <v>36</v>
      </c>
      <c r="D40" s="86"/>
      <c r="E40" s="86"/>
      <c r="F40" s="86"/>
      <c r="G40" s="86"/>
      <c r="H40" s="86"/>
      <c r="I40" s="86"/>
      <c r="J40" s="86"/>
      <c r="K40" s="86" t="s">
        <v>35</v>
      </c>
      <c r="L40" s="86"/>
      <c r="M40" s="3"/>
      <c r="N40" s="86">
        <v>36</v>
      </c>
      <c r="O40" s="112"/>
      <c r="P40" s="112"/>
      <c r="Q40" s="114"/>
      <c r="R40" s="114"/>
      <c r="S40" s="114"/>
      <c r="T40" s="114"/>
      <c r="U40" s="114"/>
      <c r="V40" s="86"/>
      <c r="W40" s="117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12" t="s">
        <v>126</v>
      </c>
      <c r="AS40" s="112" t="s">
        <v>41</v>
      </c>
      <c r="AT40" s="125">
        <v>5</v>
      </c>
      <c r="AU40" s="125">
        <v>5</v>
      </c>
      <c r="AV40" s="125">
        <v>5</v>
      </c>
      <c r="AW40" s="125">
        <v>4</v>
      </c>
      <c r="AX40" s="125">
        <v>5</v>
      </c>
      <c r="AY40" s="86" t="s">
        <v>43</v>
      </c>
      <c r="AZ40" s="124">
        <v>45361</v>
      </c>
      <c r="BB40" s="3"/>
    </row>
    <row r="41" spans="3:54" x14ac:dyDescent="0.3">
      <c r="C41" s="86">
        <v>37</v>
      </c>
      <c r="D41" s="86"/>
      <c r="E41" s="86"/>
      <c r="F41" s="86"/>
      <c r="G41" s="86"/>
      <c r="H41" s="86"/>
      <c r="I41" s="86"/>
      <c r="J41" s="86"/>
      <c r="K41" s="86" t="s">
        <v>35</v>
      </c>
      <c r="L41" s="86"/>
      <c r="M41" s="3"/>
      <c r="N41" s="86">
        <v>37</v>
      </c>
      <c r="O41" s="112"/>
      <c r="P41" s="112"/>
      <c r="Q41" s="114"/>
      <c r="R41" s="114"/>
      <c r="S41" s="114"/>
      <c r="T41" s="114"/>
      <c r="U41" s="114"/>
      <c r="V41" s="86"/>
      <c r="W41" s="117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12" t="s">
        <v>127</v>
      </c>
      <c r="AS41" s="112" t="s">
        <v>128</v>
      </c>
      <c r="AT41" s="125">
        <v>5</v>
      </c>
      <c r="AU41" s="125">
        <v>5</v>
      </c>
      <c r="AV41" s="125">
        <v>5</v>
      </c>
      <c r="AW41" s="125">
        <v>5</v>
      </c>
      <c r="AX41" s="125">
        <v>5</v>
      </c>
      <c r="AY41" s="86" t="s">
        <v>43</v>
      </c>
      <c r="AZ41" s="124">
        <v>45361</v>
      </c>
      <c r="BB41" s="3"/>
    </row>
    <row r="42" spans="3:54" x14ac:dyDescent="0.3">
      <c r="C42" s="86">
        <v>38</v>
      </c>
      <c r="D42" s="86"/>
      <c r="E42" s="86"/>
      <c r="F42" s="86"/>
      <c r="G42" s="86"/>
      <c r="H42" s="86"/>
      <c r="I42" s="86"/>
      <c r="J42" s="86"/>
      <c r="K42" s="86" t="s">
        <v>35</v>
      </c>
      <c r="L42" s="86"/>
      <c r="M42" s="3"/>
      <c r="N42" s="86">
        <v>38</v>
      </c>
      <c r="O42" s="112"/>
      <c r="P42" s="112"/>
      <c r="Q42" s="114"/>
      <c r="R42" s="114"/>
      <c r="S42" s="114"/>
      <c r="T42" s="114"/>
      <c r="U42" s="114"/>
      <c r="V42" s="86"/>
      <c r="W42" s="117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12" t="s">
        <v>129</v>
      </c>
      <c r="AS42" s="112" t="s">
        <v>42</v>
      </c>
      <c r="AT42" s="125">
        <v>5</v>
      </c>
      <c r="AU42" s="125">
        <v>5</v>
      </c>
      <c r="AV42" s="125">
        <v>5</v>
      </c>
      <c r="AW42" s="125">
        <v>5</v>
      </c>
      <c r="AX42" s="125">
        <v>5</v>
      </c>
      <c r="AY42" s="86" t="s">
        <v>43</v>
      </c>
      <c r="AZ42" s="124">
        <v>45361</v>
      </c>
      <c r="BB42" s="3"/>
    </row>
    <row r="43" spans="3:54" x14ac:dyDescent="0.3">
      <c r="C43" s="86">
        <v>39</v>
      </c>
      <c r="D43" s="86"/>
      <c r="E43" s="86"/>
      <c r="F43" s="86"/>
      <c r="G43" s="86"/>
      <c r="H43" s="86"/>
      <c r="I43" s="86"/>
      <c r="J43" s="86"/>
      <c r="K43" s="86" t="s">
        <v>35</v>
      </c>
      <c r="L43" s="86"/>
      <c r="M43" s="3"/>
      <c r="N43" s="86">
        <v>39</v>
      </c>
      <c r="O43" s="112"/>
      <c r="P43" s="112"/>
      <c r="Q43" s="114"/>
      <c r="R43" s="114"/>
      <c r="S43" s="114"/>
      <c r="T43" s="114"/>
      <c r="U43" s="114"/>
      <c r="V43" s="86"/>
      <c r="W43" s="117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12" t="s">
        <v>130</v>
      </c>
      <c r="AS43" s="112" t="s">
        <v>87</v>
      </c>
      <c r="AT43" s="125">
        <v>5</v>
      </c>
      <c r="AU43" s="125">
        <v>5</v>
      </c>
      <c r="AV43" s="125">
        <v>5</v>
      </c>
      <c r="AW43" s="125">
        <v>5</v>
      </c>
      <c r="AX43" s="125">
        <v>5</v>
      </c>
      <c r="AY43" s="86" t="s">
        <v>43</v>
      </c>
      <c r="AZ43" s="124">
        <v>45361</v>
      </c>
      <c r="BB43" s="3"/>
    </row>
    <row r="44" spans="3:54" x14ac:dyDescent="0.3">
      <c r="C44" s="86">
        <v>40</v>
      </c>
      <c r="D44" s="86"/>
      <c r="E44" s="86"/>
      <c r="F44" s="86"/>
      <c r="G44" s="86"/>
      <c r="H44" s="86"/>
      <c r="I44" s="86"/>
      <c r="J44" s="86"/>
      <c r="K44" s="86" t="s">
        <v>35</v>
      </c>
      <c r="L44" s="86"/>
      <c r="M44" s="3"/>
      <c r="N44" s="86">
        <v>40</v>
      </c>
      <c r="O44" s="112"/>
      <c r="P44" s="112"/>
      <c r="Q44" s="114"/>
      <c r="R44" s="114"/>
      <c r="S44" s="114"/>
      <c r="T44" s="114"/>
      <c r="U44" s="114"/>
      <c r="V44" s="86"/>
      <c r="W44" s="117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12" t="s">
        <v>131</v>
      </c>
      <c r="AS44" s="112" t="s">
        <v>87</v>
      </c>
      <c r="AT44" s="125">
        <v>5</v>
      </c>
      <c r="AU44" s="125">
        <v>5</v>
      </c>
      <c r="AV44" s="125">
        <v>5</v>
      </c>
      <c r="AW44" s="125">
        <v>4</v>
      </c>
      <c r="AX44" s="125">
        <v>5</v>
      </c>
      <c r="AY44" s="86" t="s">
        <v>43</v>
      </c>
      <c r="AZ44" s="124">
        <v>45361</v>
      </c>
      <c r="BB44" s="3"/>
    </row>
    <row r="45" spans="3:54" x14ac:dyDescent="0.3">
      <c r="C45" s="86">
        <v>41</v>
      </c>
      <c r="D45" s="86"/>
      <c r="E45" s="86"/>
      <c r="F45" s="86"/>
      <c r="G45" s="86"/>
      <c r="H45" s="86"/>
      <c r="I45" s="86"/>
      <c r="J45" s="86"/>
      <c r="K45" s="86" t="s">
        <v>35</v>
      </c>
      <c r="L45" s="86"/>
      <c r="M45" s="3"/>
      <c r="N45" s="86">
        <v>41</v>
      </c>
      <c r="O45" s="112"/>
      <c r="P45" s="112"/>
      <c r="Q45" s="114"/>
      <c r="R45" s="114"/>
      <c r="S45" s="114"/>
      <c r="T45" s="114"/>
      <c r="U45" s="114"/>
      <c r="V45" s="86"/>
      <c r="W45" s="117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12" t="s">
        <v>132</v>
      </c>
      <c r="AS45" s="112" t="s">
        <v>133</v>
      </c>
      <c r="AT45" s="125">
        <v>4</v>
      </c>
      <c r="AU45" s="125">
        <v>5</v>
      </c>
      <c r="AV45" s="125">
        <v>5</v>
      </c>
      <c r="AW45" s="125">
        <v>5</v>
      </c>
      <c r="AX45" s="125">
        <v>5</v>
      </c>
      <c r="AY45" s="86" t="s">
        <v>43</v>
      </c>
      <c r="AZ45" s="124">
        <v>45361</v>
      </c>
      <c r="BB45" s="3"/>
    </row>
    <row r="46" spans="3:54" x14ac:dyDescent="0.3">
      <c r="C46" s="86">
        <v>42</v>
      </c>
      <c r="D46" s="86"/>
      <c r="E46" s="86"/>
      <c r="F46" s="86"/>
      <c r="G46" s="86"/>
      <c r="H46" s="86"/>
      <c r="I46" s="86"/>
      <c r="J46" s="86"/>
      <c r="K46" s="86" t="s">
        <v>35</v>
      </c>
      <c r="L46" s="86"/>
      <c r="M46" s="3"/>
      <c r="N46" s="86">
        <v>42</v>
      </c>
      <c r="O46" s="112"/>
      <c r="P46" s="112"/>
      <c r="Q46" s="114"/>
      <c r="R46" s="114"/>
      <c r="S46" s="114"/>
      <c r="T46" s="114"/>
      <c r="U46" s="114"/>
      <c r="V46" s="86"/>
      <c r="W46" s="117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12" t="s">
        <v>134</v>
      </c>
      <c r="AS46" s="112" t="s">
        <v>87</v>
      </c>
      <c r="AT46" s="125">
        <v>5</v>
      </c>
      <c r="AU46" s="125">
        <v>5</v>
      </c>
      <c r="AV46" s="125">
        <v>5</v>
      </c>
      <c r="AW46" s="125">
        <v>5</v>
      </c>
      <c r="AX46" s="125">
        <v>5</v>
      </c>
      <c r="AY46" s="86" t="s">
        <v>43</v>
      </c>
      <c r="AZ46" s="124">
        <v>45361</v>
      </c>
      <c r="BB46" s="3"/>
    </row>
    <row r="47" spans="3:54" x14ac:dyDescent="0.3">
      <c r="C47" s="86">
        <v>43</v>
      </c>
      <c r="D47" s="86"/>
      <c r="E47" s="86"/>
      <c r="F47" s="86"/>
      <c r="G47" s="86"/>
      <c r="H47" s="86"/>
      <c r="I47" s="86"/>
      <c r="J47" s="86"/>
      <c r="K47" s="86" t="s">
        <v>35</v>
      </c>
      <c r="L47" s="86"/>
      <c r="M47" s="3"/>
      <c r="N47" s="86">
        <v>43</v>
      </c>
      <c r="O47" s="112"/>
      <c r="P47" s="112"/>
      <c r="Q47" s="114"/>
      <c r="R47" s="114"/>
      <c r="S47" s="114"/>
      <c r="T47" s="114"/>
      <c r="U47" s="114"/>
      <c r="V47" s="86"/>
      <c r="W47" s="117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12" t="s">
        <v>135</v>
      </c>
      <c r="AS47" s="112" t="s">
        <v>136</v>
      </c>
      <c r="AT47" s="125">
        <v>5</v>
      </c>
      <c r="AU47" s="125">
        <v>5</v>
      </c>
      <c r="AV47" s="125">
        <v>5</v>
      </c>
      <c r="AW47" s="125">
        <v>5</v>
      </c>
      <c r="AX47" s="125">
        <v>5</v>
      </c>
      <c r="AY47" s="86" t="s">
        <v>43</v>
      </c>
      <c r="AZ47" s="124">
        <v>45362</v>
      </c>
      <c r="BB47" s="3"/>
    </row>
    <row r="48" spans="3:54" x14ac:dyDescent="0.3">
      <c r="C48" s="86">
        <v>44</v>
      </c>
      <c r="D48" s="86"/>
      <c r="E48" s="86"/>
      <c r="F48" s="86"/>
      <c r="G48" s="86"/>
      <c r="H48" s="86"/>
      <c r="I48" s="86"/>
      <c r="J48" s="86"/>
      <c r="K48" s="86" t="s">
        <v>35</v>
      </c>
      <c r="L48" s="86"/>
      <c r="M48" s="3"/>
      <c r="N48" s="86">
        <v>44</v>
      </c>
      <c r="O48" s="112"/>
      <c r="P48" s="112"/>
      <c r="Q48" s="114"/>
      <c r="R48" s="114"/>
      <c r="S48" s="114"/>
      <c r="T48" s="114"/>
      <c r="U48" s="114"/>
      <c r="V48" s="86"/>
      <c r="W48" s="117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12" t="s">
        <v>137</v>
      </c>
      <c r="AS48" s="112" t="s">
        <v>55</v>
      </c>
      <c r="AT48" s="125">
        <v>5</v>
      </c>
      <c r="AU48" s="125">
        <v>5</v>
      </c>
      <c r="AV48" s="125">
        <v>5</v>
      </c>
      <c r="AW48" s="125">
        <v>5</v>
      </c>
      <c r="AX48" s="125">
        <v>5</v>
      </c>
      <c r="AY48" s="86" t="s">
        <v>43</v>
      </c>
      <c r="AZ48" s="124">
        <v>45363</v>
      </c>
      <c r="BB48" s="3"/>
    </row>
    <row r="49" spans="3:54" x14ac:dyDescent="0.3">
      <c r="C49" s="86">
        <v>45</v>
      </c>
      <c r="D49" s="86"/>
      <c r="E49" s="86"/>
      <c r="F49" s="86"/>
      <c r="G49" s="86"/>
      <c r="H49" s="86"/>
      <c r="I49" s="86"/>
      <c r="J49" s="86"/>
      <c r="K49" s="86" t="s">
        <v>35</v>
      </c>
      <c r="L49" s="86"/>
      <c r="M49" s="3"/>
      <c r="N49" s="86">
        <v>45</v>
      </c>
      <c r="O49" s="112"/>
      <c r="P49" s="112"/>
      <c r="Q49" s="114"/>
      <c r="R49" s="114"/>
      <c r="S49" s="114"/>
      <c r="T49" s="114"/>
      <c r="U49" s="114"/>
      <c r="V49" s="86"/>
      <c r="W49" s="117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12" t="s">
        <v>138</v>
      </c>
      <c r="AS49" s="112" t="s">
        <v>91</v>
      </c>
      <c r="AT49" s="125">
        <v>5</v>
      </c>
      <c r="AU49" s="125">
        <v>5</v>
      </c>
      <c r="AV49" s="125">
        <v>5</v>
      </c>
      <c r="AW49" s="125">
        <v>5</v>
      </c>
      <c r="AX49" s="125">
        <v>5</v>
      </c>
      <c r="AY49" s="86" t="s">
        <v>43</v>
      </c>
      <c r="AZ49" s="124">
        <v>45363</v>
      </c>
      <c r="BB49" s="3"/>
    </row>
    <row r="50" spans="3:54" x14ac:dyDescent="0.3">
      <c r="C50" s="86">
        <v>46</v>
      </c>
      <c r="D50" s="86"/>
      <c r="E50" s="86"/>
      <c r="F50" s="86"/>
      <c r="G50" s="86"/>
      <c r="H50" s="86"/>
      <c r="I50" s="86"/>
      <c r="J50" s="86"/>
      <c r="K50" s="86" t="s">
        <v>35</v>
      </c>
      <c r="L50" s="86"/>
      <c r="M50" s="3"/>
      <c r="N50" s="86">
        <v>46</v>
      </c>
      <c r="O50" s="112"/>
      <c r="P50" s="112"/>
      <c r="Q50" s="114"/>
      <c r="R50" s="114"/>
      <c r="S50" s="114"/>
      <c r="T50" s="114"/>
      <c r="U50" s="114"/>
      <c r="V50" s="86"/>
      <c r="W50" s="117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12" t="s">
        <v>139</v>
      </c>
      <c r="AS50" s="112" t="s">
        <v>91</v>
      </c>
      <c r="AT50" s="125">
        <v>5</v>
      </c>
      <c r="AU50" s="125">
        <v>5</v>
      </c>
      <c r="AV50" s="125">
        <v>5</v>
      </c>
      <c r="AW50" s="125">
        <v>5</v>
      </c>
      <c r="AX50" s="125">
        <v>5</v>
      </c>
      <c r="AY50" s="86" t="s">
        <v>43</v>
      </c>
      <c r="AZ50" s="124">
        <v>45363</v>
      </c>
      <c r="BB50" s="3"/>
    </row>
    <row r="51" spans="3:54" x14ac:dyDescent="0.3">
      <c r="C51" s="86">
        <v>47</v>
      </c>
      <c r="D51" s="86"/>
      <c r="E51" s="86"/>
      <c r="F51" s="86"/>
      <c r="G51" s="86"/>
      <c r="H51" s="86"/>
      <c r="I51" s="86"/>
      <c r="J51" s="86"/>
      <c r="K51" s="86" t="s">
        <v>35</v>
      </c>
      <c r="L51" s="86"/>
      <c r="M51" s="3"/>
      <c r="N51" s="86">
        <v>47</v>
      </c>
      <c r="O51" s="112"/>
      <c r="P51" s="112"/>
      <c r="Q51" s="114"/>
      <c r="R51" s="114"/>
      <c r="S51" s="114"/>
      <c r="T51" s="114"/>
      <c r="U51" s="114"/>
      <c r="V51" s="86"/>
      <c r="W51" s="117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12" t="s">
        <v>140</v>
      </c>
      <c r="AS51" s="112" t="s">
        <v>44</v>
      </c>
      <c r="AT51" s="125">
        <v>5</v>
      </c>
      <c r="AU51" s="125">
        <v>5</v>
      </c>
      <c r="AV51" s="125">
        <v>4</v>
      </c>
      <c r="AW51" s="125">
        <v>4</v>
      </c>
      <c r="AX51" s="125">
        <v>4</v>
      </c>
      <c r="AY51" s="86" t="s">
        <v>43</v>
      </c>
      <c r="AZ51" s="124">
        <v>45363</v>
      </c>
      <c r="BB51" s="3"/>
    </row>
    <row r="52" spans="3:54" x14ac:dyDescent="0.3">
      <c r="C52" s="86">
        <v>48</v>
      </c>
      <c r="D52" s="86"/>
      <c r="E52" s="86"/>
      <c r="F52" s="86"/>
      <c r="G52" s="86"/>
      <c r="H52" s="86"/>
      <c r="I52" s="86"/>
      <c r="J52" s="86"/>
      <c r="K52" s="86" t="s">
        <v>35</v>
      </c>
      <c r="L52" s="86"/>
      <c r="M52" s="3"/>
      <c r="N52" s="86">
        <v>48</v>
      </c>
      <c r="O52" s="112"/>
      <c r="P52" s="112"/>
      <c r="Q52" s="114"/>
      <c r="R52" s="114"/>
      <c r="S52" s="114"/>
      <c r="T52" s="114"/>
      <c r="U52" s="114"/>
      <c r="V52" s="86"/>
      <c r="W52" s="117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12" t="s">
        <v>141</v>
      </c>
      <c r="AS52" s="112" t="s">
        <v>142</v>
      </c>
      <c r="AT52" s="125">
        <v>4</v>
      </c>
      <c r="AU52" s="125">
        <v>5</v>
      </c>
      <c r="AV52" s="125">
        <v>4</v>
      </c>
      <c r="AW52" s="125">
        <v>4</v>
      </c>
      <c r="AX52" s="125">
        <v>4</v>
      </c>
      <c r="AY52" s="86" t="s">
        <v>43</v>
      </c>
      <c r="AZ52" s="124">
        <v>45363</v>
      </c>
      <c r="BB52" s="3"/>
    </row>
    <row r="53" spans="3:54" x14ac:dyDescent="0.3">
      <c r="C53" s="86">
        <v>49</v>
      </c>
      <c r="D53" s="86"/>
      <c r="E53" s="86"/>
      <c r="F53" s="86"/>
      <c r="G53" s="86"/>
      <c r="H53" s="86"/>
      <c r="I53" s="86"/>
      <c r="J53" s="86"/>
      <c r="K53" s="86" t="s">
        <v>35</v>
      </c>
      <c r="L53" s="86"/>
      <c r="M53" s="3"/>
      <c r="N53" s="86">
        <v>49</v>
      </c>
      <c r="O53" s="112"/>
      <c r="P53" s="112"/>
      <c r="Q53" s="114"/>
      <c r="R53" s="114"/>
      <c r="S53" s="114"/>
      <c r="T53" s="114"/>
      <c r="U53" s="114"/>
      <c r="V53" s="86"/>
      <c r="W53" s="117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12" t="s">
        <v>138</v>
      </c>
      <c r="AS53" s="112" t="s">
        <v>89</v>
      </c>
      <c r="AT53" s="125">
        <v>5</v>
      </c>
      <c r="AU53" s="125">
        <v>5</v>
      </c>
      <c r="AV53" s="125">
        <v>5</v>
      </c>
      <c r="AW53" s="125">
        <v>5</v>
      </c>
      <c r="AX53" s="125">
        <v>5</v>
      </c>
      <c r="AY53" s="86" t="s">
        <v>43</v>
      </c>
      <c r="AZ53" s="124">
        <v>45363</v>
      </c>
      <c r="BB53" s="3"/>
    </row>
    <row r="54" spans="3:54" x14ac:dyDescent="0.3">
      <c r="C54" s="86">
        <v>50</v>
      </c>
      <c r="D54" s="86"/>
      <c r="E54" s="86"/>
      <c r="F54" s="86"/>
      <c r="G54" s="86"/>
      <c r="H54" s="86"/>
      <c r="I54" s="86"/>
      <c r="J54" s="86"/>
      <c r="K54" s="86" t="s">
        <v>35</v>
      </c>
      <c r="L54" s="86"/>
      <c r="M54" s="3"/>
      <c r="N54" s="86">
        <v>50</v>
      </c>
      <c r="O54" s="112"/>
      <c r="P54" s="112"/>
      <c r="Q54" s="114"/>
      <c r="R54" s="114"/>
      <c r="S54" s="114"/>
      <c r="T54" s="114"/>
      <c r="U54" s="114"/>
      <c r="V54" s="86"/>
      <c r="W54" s="117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12" t="s">
        <v>51</v>
      </c>
      <c r="AS54" s="112" t="s">
        <v>89</v>
      </c>
      <c r="AT54" s="125">
        <v>5</v>
      </c>
      <c r="AU54" s="125">
        <v>5</v>
      </c>
      <c r="AV54" s="125">
        <v>5</v>
      </c>
      <c r="AW54" s="125">
        <v>5</v>
      </c>
      <c r="AX54" s="125">
        <v>5</v>
      </c>
      <c r="AY54" s="86" t="s">
        <v>43</v>
      </c>
      <c r="AZ54" s="124">
        <v>45363</v>
      </c>
      <c r="BB54" s="3"/>
    </row>
    <row r="55" spans="3:54" x14ac:dyDescent="0.3">
      <c r="C55" s="86">
        <v>51</v>
      </c>
      <c r="D55" s="86"/>
      <c r="E55" s="86"/>
      <c r="F55" s="86"/>
      <c r="G55" s="86"/>
      <c r="H55" s="86"/>
      <c r="I55" s="86"/>
      <c r="J55" s="86"/>
      <c r="K55" s="86" t="s">
        <v>35</v>
      </c>
      <c r="L55" s="86"/>
      <c r="M55" s="3"/>
      <c r="N55" s="86">
        <v>51</v>
      </c>
      <c r="O55" s="112"/>
      <c r="P55" s="112"/>
      <c r="Q55" s="114"/>
      <c r="R55" s="114"/>
      <c r="S55" s="114"/>
      <c r="T55" s="114"/>
      <c r="U55" s="114"/>
      <c r="V55" s="86"/>
      <c r="W55" s="117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12" t="s">
        <v>143</v>
      </c>
      <c r="AS55" s="112" t="s">
        <v>89</v>
      </c>
      <c r="AT55" s="125">
        <v>5</v>
      </c>
      <c r="AU55" s="125">
        <v>5</v>
      </c>
      <c r="AV55" s="125">
        <v>5</v>
      </c>
      <c r="AW55" s="125">
        <v>5</v>
      </c>
      <c r="AX55" s="125">
        <v>5</v>
      </c>
      <c r="AY55" s="86" t="s">
        <v>43</v>
      </c>
      <c r="AZ55" s="124">
        <v>45363</v>
      </c>
      <c r="BB55" s="3"/>
    </row>
    <row r="56" spans="3:54" x14ac:dyDescent="0.3">
      <c r="C56" s="86">
        <v>52</v>
      </c>
      <c r="D56" s="86"/>
      <c r="E56" s="86"/>
      <c r="F56" s="86"/>
      <c r="G56" s="86"/>
      <c r="H56" s="86"/>
      <c r="I56" s="86"/>
      <c r="J56" s="86"/>
      <c r="K56" s="86" t="s">
        <v>35</v>
      </c>
      <c r="L56" s="86"/>
      <c r="M56" s="3"/>
      <c r="N56" s="86">
        <v>52</v>
      </c>
      <c r="O56" s="112"/>
      <c r="P56" s="112"/>
      <c r="Q56" s="114"/>
      <c r="R56" s="114"/>
      <c r="S56" s="114"/>
      <c r="T56" s="114"/>
      <c r="U56" s="114"/>
      <c r="V56" s="86"/>
      <c r="W56" s="117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12" t="s">
        <v>144</v>
      </c>
      <c r="AS56" s="112" t="s">
        <v>44</v>
      </c>
      <c r="AT56" s="125">
        <v>5</v>
      </c>
      <c r="AU56" s="125">
        <v>5</v>
      </c>
      <c r="AV56" s="125">
        <v>5</v>
      </c>
      <c r="AW56" s="125">
        <v>5</v>
      </c>
      <c r="AX56" s="125">
        <v>5</v>
      </c>
      <c r="AY56" s="86" t="s">
        <v>43</v>
      </c>
      <c r="AZ56" s="124">
        <v>45363</v>
      </c>
      <c r="BB56" s="3"/>
    </row>
    <row r="57" spans="3:54" x14ac:dyDescent="0.3">
      <c r="C57" s="86">
        <v>53</v>
      </c>
      <c r="D57" s="86"/>
      <c r="E57" s="86"/>
      <c r="F57" s="86"/>
      <c r="G57" s="86"/>
      <c r="H57" s="86"/>
      <c r="I57" s="86"/>
      <c r="J57" s="86"/>
      <c r="K57" s="86" t="s">
        <v>35</v>
      </c>
      <c r="L57" s="86"/>
      <c r="M57" s="3"/>
      <c r="N57" s="86">
        <v>53</v>
      </c>
      <c r="O57" s="112"/>
      <c r="P57" s="112"/>
      <c r="Q57" s="114"/>
      <c r="R57" s="114"/>
      <c r="S57" s="114"/>
      <c r="T57" s="114"/>
      <c r="U57" s="114"/>
      <c r="V57" s="86"/>
      <c r="W57" s="117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12" t="s">
        <v>145</v>
      </c>
      <c r="AS57" s="112" t="s">
        <v>44</v>
      </c>
      <c r="AT57" s="125">
        <v>5</v>
      </c>
      <c r="AU57" s="125">
        <v>5</v>
      </c>
      <c r="AV57" s="125">
        <v>5</v>
      </c>
      <c r="AW57" s="125">
        <v>4</v>
      </c>
      <c r="AX57" s="125">
        <v>4</v>
      </c>
      <c r="AY57" s="86" t="s">
        <v>43</v>
      </c>
      <c r="AZ57" s="124">
        <v>45363</v>
      </c>
      <c r="BB57" s="3"/>
    </row>
    <row r="58" spans="3:54" x14ac:dyDescent="0.3">
      <c r="C58" s="86">
        <v>54</v>
      </c>
      <c r="D58" s="86"/>
      <c r="E58" s="86"/>
      <c r="F58" s="86"/>
      <c r="G58" s="86"/>
      <c r="H58" s="86"/>
      <c r="I58" s="86"/>
      <c r="J58" s="86"/>
      <c r="K58" s="86" t="s">
        <v>35</v>
      </c>
      <c r="L58" s="86"/>
      <c r="M58" s="3"/>
      <c r="N58" s="86">
        <v>54</v>
      </c>
      <c r="O58" s="112"/>
      <c r="P58" s="112"/>
      <c r="Q58" s="114"/>
      <c r="R58" s="114"/>
      <c r="S58" s="114"/>
      <c r="T58" s="114"/>
      <c r="U58" s="114"/>
      <c r="V58" s="86"/>
      <c r="W58" s="117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12" t="s">
        <v>146</v>
      </c>
      <c r="AS58" s="112" t="s">
        <v>101</v>
      </c>
      <c r="AT58" s="125">
        <v>5</v>
      </c>
      <c r="AU58" s="125">
        <v>5</v>
      </c>
      <c r="AV58" s="125">
        <v>2</v>
      </c>
      <c r="AW58" s="125">
        <v>2</v>
      </c>
      <c r="AX58" s="125">
        <v>5</v>
      </c>
      <c r="AY58" s="86" t="s">
        <v>43</v>
      </c>
      <c r="AZ58" s="124">
        <v>45364</v>
      </c>
      <c r="BB58" s="3"/>
    </row>
    <row r="59" spans="3:54" x14ac:dyDescent="0.3">
      <c r="C59" s="86">
        <v>55</v>
      </c>
      <c r="D59" s="86"/>
      <c r="E59" s="86"/>
      <c r="F59" s="86"/>
      <c r="G59" s="86"/>
      <c r="H59" s="86"/>
      <c r="I59" s="86"/>
      <c r="J59" s="86"/>
      <c r="K59" s="86" t="s">
        <v>35</v>
      </c>
      <c r="L59" s="86"/>
      <c r="M59" s="3"/>
      <c r="N59" s="86">
        <v>55</v>
      </c>
      <c r="O59" s="112"/>
      <c r="P59" s="112"/>
      <c r="Q59" s="114"/>
      <c r="R59" s="114"/>
      <c r="S59" s="114"/>
      <c r="T59" s="114"/>
      <c r="U59" s="114"/>
      <c r="V59" s="86"/>
      <c r="W59" s="117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12" t="s">
        <v>147</v>
      </c>
      <c r="AS59" s="112" t="s">
        <v>87</v>
      </c>
      <c r="AT59" s="125">
        <v>5</v>
      </c>
      <c r="AU59" s="125">
        <v>5</v>
      </c>
      <c r="AV59" s="125">
        <v>5</v>
      </c>
      <c r="AW59" s="125">
        <v>5</v>
      </c>
      <c r="AX59" s="125">
        <v>5</v>
      </c>
      <c r="AY59" s="86" t="s">
        <v>43</v>
      </c>
      <c r="AZ59" s="124">
        <v>45366</v>
      </c>
      <c r="BB59" s="3"/>
    </row>
    <row r="60" spans="3:54" x14ac:dyDescent="0.3">
      <c r="C60" s="86">
        <v>56</v>
      </c>
      <c r="D60" s="86"/>
      <c r="E60" s="86"/>
      <c r="F60" s="86"/>
      <c r="G60" s="86"/>
      <c r="H60" s="86"/>
      <c r="I60" s="86"/>
      <c r="J60" s="86"/>
      <c r="K60" s="86" t="s">
        <v>35</v>
      </c>
      <c r="L60" s="86"/>
      <c r="M60" s="3"/>
      <c r="N60" s="86">
        <v>56</v>
      </c>
      <c r="O60" s="112"/>
      <c r="P60" s="112"/>
      <c r="Q60" s="114"/>
      <c r="R60" s="114"/>
      <c r="S60" s="114"/>
      <c r="T60" s="114"/>
      <c r="U60" s="114"/>
      <c r="V60" s="86"/>
      <c r="W60" s="117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12" t="s">
        <v>148</v>
      </c>
      <c r="AS60" s="112" t="s">
        <v>149</v>
      </c>
      <c r="AT60" s="125">
        <v>5</v>
      </c>
      <c r="AU60" s="125">
        <v>5</v>
      </c>
      <c r="AV60" s="125">
        <v>5</v>
      </c>
      <c r="AW60" s="125">
        <v>5</v>
      </c>
      <c r="AX60" s="125">
        <v>5</v>
      </c>
      <c r="AY60" s="86" t="s">
        <v>43</v>
      </c>
      <c r="AZ60" s="124">
        <v>45366</v>
      </c>
      <c r="BB60" s="3"/>
    </row>
    <row r="61" spans="3:54" x14ac:dyDescent="0.3">
      <c r="C61" s="86">
        <v>57</v>
      </c>
      <c r="D61" s="86"/>
      <c r="E61" s="86"/>
      <c r="F61" s="86"/>
      <c r="G61" s="86"/>
      <c r="H61" s="86"/>
      <c r="I61" s="86"/>
      <c r="J61" s="86"/>
      <c r="K61" s="86" t="s">
        <v>35</v>
      </c>
      <c r="L61" s="86"/>
      <c r="M61" s="3"/>
      <c r="N61" s="86">
        <v>57</v>
      </c>
      <c r="O61" s="112"/>
      <c r="P61" s="112"/>
      <c r="Q61" s="114"/>
      <c r="R61" s="114"/>
      <c r="S61" s="114"/>
      <c r="T61" s="114"/>
      <c r="U61" s="114"/>
      <c r="V61" s="86"/>
      <c r="W61" s="117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12" t="s">
        <v>150</v>
      </c>
      <c r="AS61" s="112" t="s">
        <v>149</v>
      </c>
      <c r="AT61" s="125">
        <v>5</v>
      </c>
      <c r="AU61" s="125">
        <v>5</v>
      </c>
      <c r="AV61" s="125">
        <v>5</v>
      </c>
      <c r="AW61" s="125">
        <v>5</v>
      </c>
      <c r="AX61" s="125">
        <v>5</v>
      </c>
      <c r="AY61" s="86" t="s">
        <v>43</v>
      </c>
      <c r="AZ61" s="124">
        <v>45366</v>
      </c>
      <c r="BB61" s="3"/>
    </row>
    <row r="62" spans="3:54" x14ac:dyDescent="0.3">
      <c r="C62" s="86">
        <v>58</v>
      </c>
      <c r="D62" s="86"/>
      <c r="E62" s="86"/>
      <c r="F62" s="86"/>
      <c r="G62" s="86"/>
      <c r="H62" s="86"/>
      <c r="I62" s="86"/>
      <c r="J62" s="86"/>
      <c r="K62" s="86" t="s">
        <v>35</v>
      </c>
      <c r="L62" s="86"/>
      <c r="M62" s="3"/>
      <c r="N62" s="86">
        <v>58</v>
      </c>
      <c r="O62" s="112"/>
      <c r="P62" s="112"/>
      <c r="Q62" s="114"/>
      <c r="R62" s="114"/>
      <c r="S62" s="114"/>
      <c r="T62" s="114"/>
      <c r="U62" s="114"/>
      <c r="V62" s="86"/>
      <c r="W62" s="117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12" t="s">
        <v>151</v>
      </c>
      <c r="AS62" s="112" t="s">
        <v>44</v>
      </c>
      <c r="AT62" s="125">
        <v>5</v>
      </c>
      <c r="AU62" s="125">
        <v>5</v>
      </c>
      <c r="AV62" s="125">
        <v>5</v>
      </c>
      <c r="AW62" s="125">
        <v>5</v>
      </c>
      <c r="AX62" s="125">
        <v>5</v>
      </c>
      <c r="AY62" s="86" t="s">
        <v>43</v>
      </c>
      <c r="AZ62" s="124">
        <v>45367</v>
      </c>
      <c r="BB62" s="3"/>
    </row>
    <row r="63" spans="3:54" x14ac:dyDescent="0.3">
      <c r="C63" s="86">
        <v>59</v>
      </c>
      <c r="D63" s="86"/>
      <c r="E63" s="86"/>
      <c r="F63" s="86"/>
      <c r="G63" s="86"/>
      <c r="H63" s="86"/>
      <c r="I63" s="86"/>
      <c r="J63" s="86"/>
      <c r="K63" s="86" t="s">
        <v>35</v>
      </c>
      <c r="L63" s="86"/>
      <c r="M63" s="3"/>
      <c r="N63" s="86">
        <v>59</v>
      </c>
      <c r="O63" s="112"/>
      <c r="P63" s="112"/>
      <c r="Q63" s="114"/>
      <c r="R63" s="114"/>
      <c r="S63" s="114"/>
      <c r="T63" s="114"/>
      <c r="U63" s="114"/>
      <c r="V63" s="86"/>
      <c r="W63" s="117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/>
      <c r="AR63" s="112" t="s">
        <v>152</v>
      </c>
      <c r="AS63" s="112" t="s">
        <v>121</v>
      </c>
      <c r="AT63" s="125">
        <v>5</v>
      </c>
      <c r="AU63" s="125">
        <v>5</v>
      </c>
      <c r="AV63" s="125">
        <v>5</v>
      </c>
      <c r="AW63" s="125">
        <v>5</v>
      </c>
      <c r="AX63" s="125">
        <v>5</v>
      </c>
      <c r="AY63" s="86"/>
      <c r="AZ63" s="124">
        <v>45367</v>
      </c>
      <c r="BB63" s="3"/>
    </row>
    <row r="64" spans="3:54" x14ac:dyDescent="0.3">
      <c r="C64" s="86">
        <v>60</v>
      </c>
      <c r="D64" s="86"/>
      <c r="E64" s="86"/>
      <c r="F64" s="86"/>
      <c r="G64" s="86"/>
      <c r="H64" s="86"/>
      <c r="I64" s="86"/>
      <c r="J64" s="86"/>
      <c r="K64" s="86" t="s">
        <v>35</v>
      </c>
      <c r="L64" s="86"/>
      <c r="M64" s="3"/>
      <c r="N64" s="86">
        <v>60</v>
      </c>
      <c r="O64" s="112"/>
      <c r="P64" s="112"/>
      <c r="Q64" s="114"/>
      <c r="R64" s="114"/>
      <c r="S64" s="114"/>
      <c r="T64" s="114"/>
      <c r="U64" s="114"/>
      <c r="V64" s="86"/>
      <c r="W64" s="117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/>
      <c r="AR64" s="112" t="s">
        <v>153</v>
      </c>
      <c r="AS64" s="112" t="s">
        <v>87</v>
      </c>
      <c r="AT64" s="125">
        <v>5</v>
      </c>
      <c r="AU64" s="125">
        <v>5</v>
      </c>
      <c r="AV64" s="125">
        <v>5</v>
      </c>
      <c r="AW64" s="125">
        <v>5</v>
      </c>
      <c r="AX64" s="125">
        <v>5</v>
      </c>
      <c r="AY64" s="86"/>
      <c r="AZ64" s="124">
        <v>45367</v>
      </c>
      <c r="BB64" s="3"/>
    </row>
    <row r="65" spans="3:54" x14ac:dyDescent="0.3">
      <c r="C65" s="86">
        <v>61</v>
      </c>
      <c r="D65" s="86"/>
      <c r="E65" s="86"/>
      <c r="F65" s="86"/>
      <c r="G65" s="86"/>
      <c r="H65" s="86"/>
      <c r="I65" s="86"/>
      <c r="J65" s="86"/>
      <c r="K65" s="86" t="s">
        <v>35</v>
      </c>
      <c r="L65" s="86"/>
      <c r="M65" s="3"/>
      <c r="N65" s="86">
        <v>61</v>
      </c>
      <c r="O65" s="112"/>
      <c r="P65" s="112"/>
      <c r="Q65" s="114"/>
      <c r="R65" s="114"/>
      <c r="S65" s="114"/>
      <c r="T65" s="114"/>
      <c r="U65" s="114"/>
      <c r="V65" s="86"/>
      <c r="W65" s="117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/>
      <c r="AR65" s="112" t="s">
        <v>154</v>
      </c>
      <c r="AS65" s="112" t="s">
        <v>87</v>
      </c>
      <c r="AT65" s="125">
        <v>5</v>
      </c>
      <c r="AU65" s="125">
        <v>5</v>
      </c>
      <c r="AV65" s="125">
        <v>5</v>
      </c>
      <c r="AW65" s="125">
        <v>5</v>
      </c>
      <c r="AX65" s="125">
        <v>5</v>
      </c>
      <c r="AY65" s="86"/>
      <c r="AZ65" s="124">
        <v>45367</v>
      </c>
      <c r="BB65" s="3"/>
    </row>
    <row r="66" spans="3:54" x14ac:dyDescent="0.3">
      <c r="C66" s="86">
        <v>62</v>
      </c>
      <c r="D66" s="86"/>
      <c r="E66" s="86"/>
      <c r="F66" s="86"/>
      <c r="G66" s="86"/>
      <c r="H66" s="86"/>
      <c r="I66" s="86"/>
      <c r="J66" s="86"/>
      <c r="K66" s="86" t="s">
        <v>35</v>
      </c>
      <c r="L66" s="86"/>
      <c r="M66" s="3"/>
      <c r="N66" s="86">
        <v>62</v>
      </c>
      <c r="O66" s="112"/>
      <c r="P66" s="112"/>
      <c r="Q66" s="114"/>
      <c r="R66" s="114"/>
      <c r="S66" s="114"/>
      <c r="T66" s="114"/>
      <c r="U66" s="114"/>
      <c r="V66" s="86"/>
      <c r="W66" s="117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/>
      <c r="AR66" s="112" t="s">
        <v>155</v>
      </c>
      <c r="AS66" s="112" t="s">
        <v>87</v>
      </c>
      <c r="AT66" s="125">
        <v>5</v>
      </c>
      <c r="AU66" s="125">
        <v>5</v>
      </c>
      <c r="AV66" s="125">
        <v>5</v>
      </c>
      <c r="AW66" s="125">
        <v>5</v>
      </c>
      <c r="AX66" s="125">
        <v>5</v>
      </c>
      <c r="AY66" s="86"/>
      <c r="AZ66" s="124">
        <v>45367</v>
      </c>
      <c r="BB66" s="3"/>
    </row>
    <row r="67" spans="3:54" x14ac:dyDescent="0.3">
      <c r="C67" s="86">
        <v>63</v>
      </c>
      <c r="D67" s="86"/>
      <c r="E67" s="86"/>
      <c r="F67" s="86"/>
      <c r="G67" s="86"/>
      <c r="H67" s="86"/>
      <c r="I67" s="86"/>
      <c r="J67" s="86"/>
      <c r="K67" s="86" t="s">
        <v>35</v>
      </c>
      <c r="L67" s="86"/>
      <c r="M67" s="3"/>
      <c r="N67" s="86">
        <v>63</v>
      </c>
      <c r="O67" s="112"/>
      <c r="P67" s="112"/>
      <c r="Q67" s="114"/>
      <c r="R67" s="114"/>
      <c r="S67" s="114"/>
      <c r="T67" s="114"/>
      <c r="U67" s="114"/>
      <c r="V67" s="86"/>
      <c r="W67" s="117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/>
      <c r="AR67" s="112" t="s">
        <v>156</v>
      </c>
      <c r="AS67" s="112" t="s">
        <v>87</v>
      </c>
      <c r="AT67" s="125">
        <v>5</v>
      </c>
      <c r="AU67" s="125">
        <v>5</v>
      </c>
      <c r="AV67" s="125">
        <v>5</v>
      </c>
      <c r="AW67" s="125">
        <v>5</v>
      </c>
      <c r="AX67" s="125">
        <v>5</v>
      </c>
      <c r="AY67" s="86"/>
      <c r="AZ67" s="124">
        <v>45367</v>
      </c>
      <c r="BB67" s="3"/>
    </row>
    <row r="68" spans="3:54" x14ac:dyDescent="0.3">
      <c r="C68" s="86">
        <v>64</v>
      </c>
      <c r="D68" s="86"/>
      <c r="E68" s="86"/>
      <c r="F68" s="86"/>
      <c r="G68" s="86"/>
      <c r="H68" s="86"/>
      <c r="I68" s="86"/>
      <c r="J68" s="86"/>
      <c r="K68" s="86" t="s">
        <v>35</v>
      </c>
      <c r="L68" s="86"/>
      <c r="M68" s="3"/>
      <c r="N68" s="86">
        <v>64</v>
      </c>
      <c r="O68" s="112"/>
      <c r="P68" s="112"/>
      <c r="Q68" s="114"/>
      <c r="R68" s="114"/>
      <c r="S68" s="114"/>
      <c r="T68" s="114"/>
      <c r="U68" s="114"/>
      <c r="V68" s="86"/>
      <c r="W68" s="117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/>
      <c r="AR68" s="112" t="s">
        <v>157</v>
      </c>
      <c r="AS68" s="112" t="s">
        <v>142</v>
      </c>
      <c r="AT68" s="125">
        <v>5</v>
      </c>
      <c r="AU68" s="125">
        <v>5</v>
      </c>
      <c r="AV68" s="125">
        <v>4</v>
      </c>
      <c r="AW68" s="125">
        <v>5</v>
      </c>
      <c r="AX68" s="125">
        <v>5</v>
      </c>
      <c r="AY68" s="86"/>
      <c r="AZ68" s="124">
        <v>45367</v>
      </c>
      <c r="BB68" s="3"/>
    </row>
    <row r="69" spans="3:54" x14ac:dyDescent="0.3">
      <c r="C69" s="86">
        <v>65</v>
      </c>
      <c r="D69" s="86"/>
      <c r="E69" s="86"/>
      <c r="F69" s="86"/>
      <c r="G69" s="86"/>
      <c r="H69" s="86"/>
      <c r="I69" s="86"/>
      <c r="J69" s="86"/>
      <c r="K69" s="86" t="s">
        <v>35</v>
      </c>
      <c r="L69" s="86"/>
      <c r="M69" s="3"/>
      <c r="N69" s="86">
        <v>65</v>
      </c>
      <c r="O69" s="112"/>
      <c r="P69" s="112"/>
      <c r="Q69" s="114"/>
      <c r="R69" s="114"/>
      <c r="S69" s="114"/>
      <c r="T69" s="114"/>
      <c r="U69" s="114"/>
      <c r="V69" s="86"/>
      <c r="W69" s="117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/>
      <c r="AR69" s="112" t="s">
        <v>158</v>
      </c>
      <c r="AS69" s="112" t="s">
        <v>44</v>
      </c>
      <c r="AT69" s="125">
        <v>5</v>
      </c>
      <c r="AU69" s="125">
        <v>5</v>
      </c>
      <c r="AV69" s="125">
        <v>5</v>
      </c>
      <c r="AW69" s="125">
        <v>5</v>
      </c>
      <c r="AX69" s="125">
        <v>5</v>
      </c>
      <c r="AY69" s="86"/>
      <c r="AZ69" s="124">
        <v>45367</v>
      </c>
      <c r="BB69" s="3"/>
    </row>
    <row r="70" spans="3:54" x14ac:dyDescent="0.3">
      <c r="C70" s="86">
        <v>66</v>
      </c>
      <c r="D70" s="86"/>
      <c r="E70" s="86"/>
      <c r="F70" s="86"/>
      <c r="G70" s="86"/>
      <c r="H70" s="86"/>
      <c r="I70" s="86"/>
      <c r="J70" s="86"/>
      <c r="K70" s="86" t="s">
        <v>35</v>
      </c>
      <c r="L70" s="86"/>
      <c r="M70" s="3"/>
      <c r="N70" s="86">
        <v>66</v>
      </c>
      <c r="O70" s="112"/>
      <c r="P70" s="112"/>
      <c r="Q70" s="114"/>
      <c r="R70" s="114"/>
      <c r="S70" s="114"/>
      <c r="T70" s="114"/>
      <c r="U70" s="114"/>
      <c r="V70" s="86"/>
      <c r="W70" s="117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/>
      <c r="AR70" s="112" t="s">
        <v>159</v>
      </c>
      <c r="AS70" s="112" t="s">
        <v>41</v>
      </c>
      <c r="AT70" s="125">
        <v>5</v>
      </c>
      <c r="AU70" s="125">
        <v>5</v>
      </c>
      <c r="AV70" s="125">
        <v>5</v>
      </c>
      <c r="AW70" s="125">
        <v>5</v>
      </c>
      <c r="AX70" s="125">
        <v>5</v>
      </c>
      <c r="AY70" s="86"/>
      <c r="AZ70" s="124">
        <v>45367</v>
      </c>
      <c r="BB70" s="3"/>
    </row>
    <row r="71" spans="3:54" x14ac:dyDescent="0.3">
      <c r="C71" s="86">
        <v>67</v>
      </c>
      <c r="D71" s="86"/>
      <c r="E71" s="86"/>
      <c r="F71" s="86"/>
      <c r="G71" s="86"/>
      <c r="H71" s="86"/>
      <c r="I71" s="86"/>
      <c r="J71" s="86"/>
      <c r="K71" s="86" t="s">
        <v>35</v>
      </c>
      <c r="L71" s="86"/>
      <c r="M71" s="3"/>
      <c r="N71" s="86">
        <v>67</v>
      </c>
      <c r="O71" s="112"/>
      <c r="P71" s="112"/>
      <c r="Q71" s="114"/>
      <c r="R71" s="114"/>
      <c r="S71" s="114"/>
      <c r="T71" s="114"/>
      <c r="U71" s="114"/>
      <c r="V71" s="86"/>
      <c r="W71" s="117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/>
      <c r="AR71" s="112" t="s">
        <v>160</v>
      </c>
      <c r="AS71" s="112" t="s">
        <v>161</v>
      </c>
      <c r="AT71" s="125">
        <v>5</v>
      </c>
      <c r="AU71" s="125">
        <v>5</v>
      </c>
      <c r="AV71" s="125">
        <v>5</v>
      </c>
      <c r="AW71" s="125">
        <v>5</v>
      </c>
      <c r="AX71" s="125">
        <v>5</v>
      </c>
      <c r="AY71" s="86"/>
      <c r="AZ71" s="124">
        <v>45367</v>
      </c>
      <c r="BB71" s="3"/>
    </row>
    <row r="72" spans="3:54" x14ac:dyDescent="0.3">
      <c r="C72" s="86">
        <v>68</v>
      </c>
      <c r="D72" s="86"/>
      <c r="E72" s="86"/>
      <c r="F72" s="86"/>
      <c r="G72" s="86"/>
      <c r="H72" s="86"/>
      <c r="I72" s="86"/>
      <c r="J72" s="86"/>
      <c r="K72" s="86" t="s">
        <v>35</v>
      </c>
      <c r="L72" s="86"/>
      <c r="M72" s="3"/>
      <c r="N72" s="86">
        <v>68</v>
      </c>
      <c r="O72" s="112"/>
      <c r="P72" s="112"/>
      <c r="Q72" s="114"/>
      <c r="R72" s="114"/>
      <c r="S72" s="114"/>
      <c r="T72" s="114"/>
      <c r="U72" s="114"/>
      <c r="V72" s="86"/>
      <c r="W72" s="117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/>
      <c r="AR72" s="112" t="s">
        <v>162</v>
      </c>
      <c r="AS72" s="112" t="s">
        <v>87</v>
      </c>
      <c r="AT72" s="125">
        <v>5</v>
      </c>
      <c r="AU72" s="125">
        <v>5</v>
      </c>
      <c r="AV72" s="125">
        <v>5</v>
      </c>
      <c r="AW72" s="125">
        <v>5</v>
      </c>
      <c r="AX72" s="125">
        <v>4</v>
      </c>
      <c r="AY72" s="86"/>
      <c r="AZ72" s="124">
        <v>45367</v>
      </c>
      <c r="BB72" s="3"/>
    </row>
    <row r="73" spans="3:54" x14ac:dyDescent="0.3">
      <c r="C73" s="86">
        <v>69</v>
      </c>
      <c r="D73" s="86"/>
      <c r="E73" s="86"/>
      <c r="F73" s="86"/>
      <c r="G73" s="86"/>
      <c r="H73" s="86"/>
      <c r="I73" s="86"/>
      <c r="J73" s="86"/>
      <c r="K73" s="86" t="s">
        <v>35</v>
      </c>
      <c r="L73" s="86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/>
      <c r="W73" s="117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/>
      <c r="AR73" s="112" t="s">
        <v>163</v>
      </c>
      <c r="AS73" s="112" t="s">
        <v>87</v>
      </c>
      <c r="AT73" s="125">
        <v>5</v>
      </c>
      <c r="AU73" s="125">
        <v>5</v>
      </c>
      <c r="AV73" s="125">
        <v>5</v>
      </c>
      <c r="AW73" s="125">
        <v>5</v>
      </c>
      <c r="AX73" s="125">
        <v>5</v>
      </c>
      <c r="AY73" s="86"/>
      <c r="AZ73" s="124">
        <v>45367</v>
      </c>
      <c r="BB73" s="3"/>
    </row>
    <row r="74" spans="3:54" x14ac:dyDescent="0.3">
      <c r="C74" s="86">
        <v>70</v>
      </c>
      <c r="D74" s="86"/>
      <c r="E74" s="86"/>
      <c r="F74" s="86"/>
      <c r="G74" s="86"/>
      <c r="H74" s="86"/>
      <c r="I74" s="86"/>
      <c r="J74" s="86"/>
      <c r="K74" s="86" t="s">
        <v>35</v>
      </c>
      <c r="L74" s="86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/>
      <c r="W74" s="117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/>
      <c r="AR74" s="112" t="s">
        <v>164</v>
      </c>
      <c r="AS74" s="112" t="s">
        <v>87</v>
      </c>
      <c r="AT74" s="125">
        <v>5</v>
      </c>
      <c r="AU74" s="125">
        <v>5</v>
      </c>
      <c r="AV74" s="125">
        <v>5</v>
      </c>
      <c r="AW74" s="125">
        <v>5</v>
      </c>
      <c r="AX74" s="125">
        <v>5</v>
      </c>
      <c r="AY74" s="86"/>
      <c r="AZ74" s="124">
        <v>45367</v>
      </c>
      <c r="BB74" s="3"/>
    </row>
    <row r="75" spans="3:54" x14ac:dyDescent="0.3">
      <c r="C75" s="86">
        <v>71</v>
      </c>
      <c r="D75" s="86"/>
      <c r="E75" s="86"/>
      <c r="F75" s="86"/>
      <c r="G75" s="86"/>
      <c r="H75" s="86"/>
      <c r="I75" s="86"/>
      <c r="J75" s="86"/>
      <c r="K75" s="86" t="s">
        <v>35</v>
      </c>
      <c r="L75" s="86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/>
      <c r="W75" s="117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/>
      <c r="AR75" s="112" t="s">
        <v>165</v>
      </c>
      <c r="AS75" s="112" t="s">
        <v>149</v>
      </c>
      <c r="AT75" s="125">
        <v>5</v>
      </c>
      <c r="AU75" s="125">
        <v>5</v>
      </c>
      <c r="AV75" s="125">
        <v>5</v>
      </c>
      <c r="AW75" s="125">
        <v>5</v>
      </c>
      <c r="AX75" s="125">
        <v>4</v>
      </c>
      <c r="AY75" s="86"/>
      <c r="AZ75" s="124">
        <v>45368</v>
      </c>
      <c r="BB75" s="3"/>
    </row>
    <row r="76" spans="3:54" x14ac:dyDescent="0.3">
      <c r="C76" s="86">
        <v>72</v>
      </c>
      <c r="D76" s="86"/>
      <c r="E76" s="86"/>
      <c r="F76" s="86"/>
      <c r="G76" s="86"/>
      <c r="H76" s="86"/>
      <c r="I76" s="86"/>
      <c r="J76" s="86"/>
      <c r="K76" s="86" t="s">
        <v>35</v>
      </c>
      <c r="L76" s="86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/>
      <c r="W76" s="117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/>
      <c r="AR76" s="112" t="s">
        <v>54</v>
      </c>
      <c r="AS76" s="112" t="s">
        <v>110</v>
      </c>
      <c r="AT76" s="125">
        <v>5</v>
      </c>
      <c r="AU76" s="125">
        <v>5</v>
      </c>
      <c r="AV76" s="125">
        <v>5</v>
      </c>
      <c r="AW76" s="125">
        <v>5</v>
      </c>
      <c r="AX76" s="125">
        <v>5</v>
      </c>
      <c r="AY76" s="86"/>
      <c r="AZ76" s="124">
        <v>45368</v>
      </c>
      <c r="BB76" s="3"/>
    </row>
    <row r="77" spans="3:54" x14ac:dyDescent="0.3">
      <c r="C77" s="86">
        <v>73</v>
      </c>
      <c r="D77" s="86"/>
      <c r="E77" s="86"/>
      <c r="F77" s="86"/>
      <c r="G77" s="86"/>
      <c r="H77" s="86"/>
      <c r="I77" s="86"/>
      <c r="J77" s="86"/>
      <c r="K77" s="86" t="s">
        <v>35</v>
      </c>
      <c r="L77" s="86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/>
      <c r="W77" s="117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/>
      <c r="AR77" s="112" t="s">
        <v>166</v>
      </c>
      <c r="AS77" s="112" t="s">
        <v>87</v>
      </c>
      <c r="AT77" s="125">
        <v>5</v>
      </c>
      <c r="AU77" s="125">
        <v>5</v>
      </c>
      <c r="AV77" s="125">
        <v>5</v>
      </c>
      <c r="AW77" s="125">
        <v>5</v>
      </c>
      <c r="AX77" s="125">
        <v>5</v>
      </c>
      <c r="AY77" s="86"/>
      <c r="AZ77" s="124">
        <v>45368</v>
      </c>
      <c r="BB77" s="3"/>
    </row>
    <row r="78" spans="3:54" x14ac:dyDescent="0.3">
      <c r="C78" s="86">
        <v>74</v>
      </c>
      <c r="D78" s="86"/>
      <c r="E78" s="86"/>
      <c r="F78" s="86"/>
      <c r="G78" s="86"/>
      <c r="H78" s="86"/>
      <c r="I78" s="86"/>
      <c r="J78" s="86"/>
      <c r="K78" s="86" t="s">
        <v>35</v>
      </c>
      <c r="L78" s="86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/>
      <c r="W78" s="117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/>
      <c r="AR78" s="112" t="s">
        <v>167</v>
      </c>
      <c r="AS78" s="112" t="s">
        <v>87</v>
      </c>
      <c r="AT78" s="125">
        <v>5</v>
      </c>
      <c r="AU78" s="125">
        <v>5</v>
      </c>
      <c r="AV78" s="125">
        <v>5</v>
      </c>
      <c r="AW78" s="125">
        <v>5</v>
      </c>
      <c r="AX78" s="125">
        <v>5</v>
      </c>
      <c r="AY78" s="86"/>
      <c r="AZ78" s="124">
        <v>45368</v>
      </c>
      <c r="BB78" s="3"/>
    </row>
    <row r="79" spans="3:54" x14ac:dyDescent="0.3">
      <c r="C79" s="86">
        <v>75</v>
      </c>
      <c r="D79" s="86"/>
      <c r="E79" s="86"/>
      <c r="F79" s="86"/>
      <c r="G79" s="86"/>
      <c r="H79" s="86"/>
      <c r="I79" s="86"/>
      <c r="J79" s="86"/>
      <c r="K79" s="86" t="s">
        <v>35</v>
      </c>
      <c r="L79" s="86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/>
      <c r="W79" s="117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/>
      <c r="AR79" s="112" t="s">
        <v>168</v>
      </c>
      <c r="AS79" s="112" t="s">
        <v>89</v>
      </c>
      <c r="AT79" s="125">
        <v>5</v>
      </c>
      <c r="AU79" s="125">
        <v>5</v>
      </c>
      <c r="AV79" s="125">
        <v>5</v>
      </c>
      <c r="AW79" s="125">
        <v>5</v>
      </c>
      <c r="AX79" s="125">
        <v>5</v>
      </c>
      <c r="AY79" s="86"/>
      <c r="AZ79" s="124">
        <v>45368</v>
      </c>
      <c r="BB79" s="3"/>
    </row>
    <row r="80" spans="3:54" x14ac:dyDescent="0.3">
      <c r="C80" s="86">
        <v>76</v>
      </c>
      <c r="D80" s="86"/>
      <c r="E80" s="86"/>
      <c r="F80" s="86"/>
      <c r="G80" s="86"/>
      <c r="H80" s="86"/>
      <c r="I80" s="86"/>
      <c r="J80" s="86"/>
      <c r="K80" s="86" t="s">
        <v>35</v>
      </c>
      <c r="L80" s="86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/>
      <c r="W80" s="117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/>
      <c r="AR80" s="112" t="s">
        <v>169</v>
      </c>
      <c r="AS80" s="112" t="s">
        <v>89</v>
      </c>
      <c r="AT80" s="125">
        <v>5</v>
      </c>
      <c r="AU80" s="125">
        <v>5</v>
      </c>
      <c r="AV80" s="125">
        <v>5</v>
      </c>
      <c r="AW80" s="125">
        <v>5</v>
      </c>
      <c r="AX80" s="125">
        <v>5</v>
      </c>
      <c r="AY80" s="86"/>
      <c r="AZ80" s="124">
        <v>45368</v>
      </c>
      <c r="BB80" s="3"/>
    </row>
    <row r="81" spans="3:54" x14ac:dyDescent="0.3">
      <c r="C81" s="86">
        <v>77</v>
      </c>
      <c r="D81" s="86"/>
      <c r="E81" s="86"/>
      <c r="F81" s="86"/>
      <c r="G81" s="86"/>
      <c r="H81" s="86"/>
      <c r="I81" s="86"/>
      <c r="J81" s="86"/>
      <c r="K81" s="86" t="s">
        <v>35</v>
      </c>
      <c r="L81" s="86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/>
      <c r="W81" s="117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/>
      <c r="AR81" s="112" t="s">
        <v>170</v>
      </c>
      <c r="AS81" s="112" t="s">
        <v>39</v>
      </c>
      <c r="AT81" s="125">
        <v>5</v>
      </c>
      <c r="AU81" s="125">
        <v>5</v>
      </c>
      <c r="AV81" s="125">
        <v>5</v>
      </c>
      <c r="AW81" s="125">
        <v>5</v>
      </c>
      <c r="AX81" s="125">
        <v>5</v>
      </c>
      <c r="AY81" s="86"/>
      <c r="AZ81" s="124">
        <v>45368</v>
      </c>
      <c r="BB81" s="3"/>
    </row>
    <row r="82" spans="3:54" x14ac:dyDescent="0.3">
      <c r="C82" s="86">
        <v>78</v>
      </c>
      <c r="D82" s="86"/>
      <c r="E82" s="86"/>
      <c r="F82" s="86"/>
      <c r="G82" s="86"/>
      <c r="H82" s="86"/>
      <c r="I82" s="86"/>
      <c r="J82" s="86"/>
      <c r="K82" s="86" t="s">
        <v>35</v>
      </c>
      <c r="L82" s="86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/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/>
      <c r="AR82" s="112" t="s">
        <v>170</v>
      </c>
      <c r="AS82" s="112" t="s">
        <v>89</v>
      </c>
      <c r="AT82" s="125">
        <v>5</v>
      </c>
      <c r="AU82" s="125">
        <v>5</v>
      </c>
      <c r="AV82" s="125">
        <v>5</v>
      </c>
      <c r="AW82" s="125">
        <v>5</v>
      </c>
      <c r="AX82" s="125">
        <v>5</v>
      </c>
      <c r="AY82" s="86"/>
      <c r="AZ82" s="124">
        <v>45368</v>
      </c>
      <c r="BB82" s="3"/>
    </row>
    <row r="83" spans="3:54" x14ac:dyDescent="0.3">
      <c r="C83" s="86">
        <v>79</v>
      </c>
      <c r="D83" s="86"/>
      <c r="E83" s="86"/>
      <c r="F83" s="86"/>
      <c r="G83" s="86"/>
      <c r="H83" s="86"/>
      <c r="I83" s="86"/>
      <c r="J83" s="86"/>
      <c r="K83" s="86" t="s">
        <v>35</v>
      </c>
      <c r="L83" s="86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/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/>
      <c r="AR83" s="112" t="s">
        <v>171</v>
      </c>
      <c r="AS83" s="112" t="s">
        <v>87</v>
      </c>
      <c r="AT83" s="125">
        <v>5</v>
      </c>
      <c r="AU83" s="125">
        <v>5</v>
      </c>
      <c r="AV83" s="125">
        <v>5</v>
      </c>
      <c r="AW83" s="125">
        <v>5</v>
      </c>
      <c r="AX83" s="125">
        <v>5</v>
      </c>
      <c r="AY83" s="86"/>
      <c r="AZ83" s="124">
        <v>45369</v>
      </c>
      <c r="BB83" s="3"/>
    </row>
    <row r="84" spans="3:54" x14ac:dyDescent="0.3">
      <c r="C84" s="86">
        <v>80</v>
      </c>
      <c r="D84" s="86"/>
      <c r="E84" s="86"/>
      <c r="F84" s="86"/>
      <c r="G84" s="86"/>
      <c r="H84" s="86"/>
      <c r="I84" s="86"/>
      <c r="J84" s="86"/>
      <c r="K84" s="86" t="s">
        <v>35</v>
      </c>
      <c r="L84" s="86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/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/>
      <c r="AR84" s="112" t="s">
        <v>172</v>
      </c>
      <c r="AS84" s="112" t="s">
        <v>87</v>
      </c>
      <c r="AT84" s="125">
        <v>5</v>
      </c>
      <c r="AU84" s="125">
        <v>5</v>
      </c>
      <c r="AV84" s="125">
        <v>5</v>
      </c>
      <c r="AW84" s="125">
        <v>5</v>
      </c>
      <c r="AX84" s="125">
        <v>5</v>
      </c>
      <c r="AY84" s="86"/>
      <c r="AZ84" s="124">
        <v>45369</v>
      </c>
      <c r="BB84" s="3"/>
    </row>
    <row r="85" spans="3:54" x14ac:dyDescent="0.3">
      <c r="C85" s="86">
        <v>81</v>
      </c>
      <c r="D85" s="86"/>
      <c r="E85" s="86"/>
      <c r="F85" s="86"/>
      <c r="G85" s="86"/>
      <c r="H85" s="86"/>
      <c r="I85" s="86"/>
      <c r="J85" s="86"/>
      <c r="K85" s="86" t="s">
        <v>35</v>
      </c>
      <c r="L85" s="86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/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/>
      <c r="AR85" s="112" t="s">
        <v>173</v>
      </c>
      <c r="AS85" s="112" t="s">
        <v>87</v>
      </c>
      <c r="AT85" s="125">
        <v>5</v>
      </c>
      <c r="AU85" s="125">
        <v>5</v>
      </c>
      <c r="AV85" s="125">
        <v>5</v>
      </c>
      <c r="AW85" s="125">
        <v>5</v>
      </c>
      <c r="AX85" s="125">
        <v>5</v>
      </c>
      <c r="AY85" s="86"/>
      <c r="AZ85" s="124">
        <v>45369</v>
      </c>
      <c r="BB85" s="3"/>
    </row>
    <row r="86" spans="3:54" x14ac:dyDescent="0.3">
      <c r="C86" s="86">
        <v>82</v>
      </c>
      <c r="D86" s="86"/>
      <c r="E86" s="86"/>
      <c r="F86" s="86"/>
      <c r="G86" s="86"/>
      <c r="H86" s="86"/>
      <c r="I86" s="86"/>
      <c r="J86" s="86"/>
      <c r="K86" s="86" t="s">
        <v>35</v>
      </c>
      <c r="L86" s="86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/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7"/>
      <c r="AR86" s="112" t="s">
        <v>174</v>
      </c>
      <c r="AS86" s="112" t="s">
        <v>87</v>
      </c>
      <c r="AT86" s="125">
        <v>5</v>
      </c>
      <c r="AU86" s="125">
        <v>5</v>
      </c>
      <c r="AV86" s="125">
        <v>5</v>
      </c>
      <c r="AW86" s="125">
        <v>5</v>
      </c>
      <c r="AX86" s="125">
        <v>5</v>
      </c>
      <c r="AY86" s="86"/>
      <c r="AZ86" s="124">
        <v>45369</v>
      </c>
      <c r="BB86" s="3"/>
    </row>
    <row r="87" spans="3:54" x14ac:dyDescent="0.3">
      <c r="C87" s="86">
        <v>83</v>
      </c>
      <c r="D87" s="86"/>
      <c r="E87" s="86"/>
      <c r="F87" s="86"/>
      <c r="G87" s="86"/>
      <c r="H87" s="86"/>
      <c r="I87" s="86"/>
      <c r="J87" s="86"/>
      <c r="K87" s="86" t="s">
        <v>35</v>
      </c>
      <c r="L87" s="86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/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7"/>
      <c r="AR87" s="112" t="s">
        <v>137</v>
      </c>
      <c r="AS87" s="112" t="s">
        <v>44</v>
      </c>
      <c r="AT87" s="125">
        <v>5</v>
      </c>
      <c r="AU87" s="125">
        <v>5</v>
      </c>
      <c r="AV87" s="125">
        <v>5</v>
      </c>
      <c r="AW87" s="125">
        <v>5</v>
      </c>
      <c r="AX87" s="125">
        <v>4</v>
      </c>
      <c r="AY87" s="86"/>
      <c r="AZ87" s="124">
        <v>45371</v>
      </c>
      <c r="BB87" s="3"/>
    </row>
    <row r="88" spans="3:54" x14ac:dyDescent="0.3">
      <c r="C88" s="86">
        <v>84</v>
      </c>
      <c r="D88" s="86"/>
      <c r="E88" s="86"/>
      <c r="F88" s="86"/>
      <c r="G88" s="86"/>
      <c r="H88" s="86"/>
      <c r="I88" s="86"/>
      <c r="J88" s="86"/>
      <c r="K88" s="86" t="s">
        <v>35</v>
      </c>
      <c r="L88" s="86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/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7"/>
      <c r="AR88" s="112" t="s">
        <v>175</v>
      </c>
      <c r="AS88" s="112" t="s">
        <v>44</v>
      </c>
      <c r="AT88" s="125">
        <v>5</v>
      </c>
      <c r="AU88" s="125">
        <v>5</v>
      </c>
      <c r="AV88" s="125">
        <v>4</v>
      </c>
      <c r="AW88" s="125">
        <v>4</v>
      </c>
      <c r="AX88" s="125">
        <v>5</v>
      </c>
      <c r="AY88" s="86"/>
      <c r="AZ88" s="124">
        <v>45372</v>
      </c>
      <c r="BB88" s="3"/>
    </row>
    <row r="89" spans="3:54" x14ac:dyDescent="0.3">
      <c r="C89" s="86">
        <v>85</v>
      </c>
      <c r="D89" s="86"/>
      <c r="E89" s="86"/>
      <c r="F89" s="86"/>
      <c r="G89" s="86"/>
      <c r="H89" s="86"/>
      <c r="I89" s="86"/>
      <c r="J89" s="86"/>
      <c r="K89" s="86" t="s">
        <v>35</v>
      </c>
      <c r="L89" s="86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/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7"/>
      <c r="AR89" s="112" t="s">
        <v>176</v>
      </c>
      <c r="AS89" s="112" t="s">
        <v>50</v>
      </c>
      <c r="AT89" s="125">
        <v>5</v>
      </c>
      <c r="AU89" s="125">
        <v>5</v>
      </c>
      <c r="AV89" s="125">
        <v>5</v>
      </c>
      <c r="AW89" s="125">
        <v>5</v>
      </c>
      <c r="AX89" s="125">
        <v>5</v>
      </c>
      <c r="AY89" s="86"/>
      <c r="AZ89" s="124">
        <v>45373</v>
      </c>
      <c r="BB89" s="3"/>
    </row>
    <row r="90" spans="3:54" x14ac:dyDescent="0.3">
      <c r="C90" s="86">
        <v>86</v>
      </c>
      <c r="D90" s="86"/>
      <c r="E90" s="86"/>
      <c r="F90" s="86"/>
      <c r="G90" s="86"/>
      <c r="H90" s="86"/>
      <c r="I90" s="86"/>
      <c r="J90" s="86"/>
      <c r="K90" s="86" t="s">
        <v>35</v>
      </c>
      <c r="L90" s="86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/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7"/>
      <c r="AR90" s="112" t="s">
        <v>177</v>
      </c>
      <c r="AS90" s="112" t="s">
        <v>89</v>
      </c>
      <c r="AT90" s="125">
        <v>5</v>
      </c>
      <c r="AU90" s="125">
        <v>5</v>
      </c>
      <c r="AV90" s="125">
        <v>5</v>
      </c>
      <c r="AW90" s="125">
        <v>5</v>
      </c>
      <c r="AX90" s="125">
        <v>5</v>
      </c>
      <c r="AY90" s="86"/>
      <c r="AZ90" s="124">
        <v>45373</v>
      </c>
      <c r="BB90" s="3"/>
    </row>
    <row r="91" spans="3:54" x14ac:dyDescent="0.3">
      <c r="C91" s="86">
        <v>87</v>
      </c>
      <c r="D91" s="86"/>
      <c r="E91" s="86"/>
      <c r="F91" s="86"/>
      <c r="G91" s="86"/>
      <c r="H91" s="86"/>
      <c r="I91" s="86"/>
      <c r="J91" s="86"/>
      <c r="K91" s="86" t="s">
        <v>35</v>
      </c>
      <c r="L91" s="86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/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7"/>
      <c r="AR91" s="112" t="s">
        <v>178</v>
      </c>
      <c r="AS91" s="112" t="s">
        <v>91</v>
      </c>
      <c r="AT91" s="125">
        <v>5</v>
      </c>
      <c r="AU91" s="125">
        <v>5</v>
      </c>
      <c r="AV91" s="125">
        <v>5</v>
      </c>
      <c r="AW91" s="125">
        <v>5</v>
      </c>
      <c r="AX91" s="125">
        <v>5</v>
      </c>
      <c r="AY91" s="86"/>
      <c r="AZ91" s="124">
        <v>45373</v>
      </c>
      <c r="BB91" s="3"/>
    </row>
    <row r="92" spans="3:54" x14ac:dyDescent="0.3">
      <c r="C92" s="86">
        <v>88</v>
      </c>
      <c r="D92" s="86"/>
      <c r="E92" s="86"/>
      <c r="F92" s="86"/>
      <c r="G92" s="86"/>
      <c r="H92" s="86"/>
      <c r="I92" s="86"/>
      <c r="J92" s="86"/>
      <c r="K92" s="86" t="s">
        <v>35</v>
      </c>
      <c r="L92" s="86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7"/>
      <c r="AR92" s="112" t="s">
        <v>179</v>
      </c>
      <c r="AS92" s="112" t="s">
        <v>50</v>
      </c>
      <c r="AT92" s="125">
        <v>5</v>
      </c>
      <c r="AU92" s="125">
        <v>5</v>
      </c>
      <c r="AV92" s="125">
        <v>5</v>
      </c>
      <c r="AW92" s="125">
        <v>5</v>
      </c>
      <c r="AX92" s="125">
        <v>5</v>
      </c>
      <c r="AY92" s="86"/>
      <c r="AZ92" s="124">
        <v>45373</v>
      </c>
      <c r="BB92" s="3"/>
    </row>
    <row r="93" spans="3:54" x14ac:dyDescent="0.3">
      <c r="C93" s="86">
        <v>89</v>
      </c>
      <c r="D93" s="86"/>
      <c r="E93" s="86"/>
      <c r="F93" s="86"/>
      <c r="G93" s="86"/>
      <c r="H93" s="86"/>
      <c r="I93" s="86"/>
      <c r="J93" s="86"/>
      <c r="K93" s="86" t="s">
        <v>35</v>
      </c>
      <c r="L93" s="86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7"/>
      <c r="AR93" s="112" t="s">
        <v>180</v>
      </c>
      <c r="AS93" s="112" t="s">
        <v>52</v>
      </c>
      <c r="AT93" s="125">
        <v>5</v>
      </c>
      <c r="AU93" s="125">
        <v>5</v>
      </c>
      <c r="AV93" s="125">
        <v>5</v>
      </c>
      <c r="AW93" s="125">
        <v>5</v>
      </c>
      <c r="AX93" s="125">
        <v>5</v>
      </c>
      <c r="AY93" s="86"/>
      <c r="AZ93" s="124">
        <v>45373</v>
      </c>
      <c r="BB93" s="3"/>
    </row>
    <row r="94" spans="3:54" x14ac:dyDescent="0.3">
      <c r="C94" s="86">
        <v>90</v>
      </c>
      <c r="D94" s="86"/>
      <c r="E94" s="86"/>
      <c r="F94" s="86"/>
      <c r="G94" s="86"/>
      <c r="H94" s="86"/>
      <c r="I94" s="86"/>
      <c r="J94" s="86"/>
      <c r="K94" s="86" t="s">
        <v>35</v>
      </c>
      <c r="L94" s="86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7"/>
      <c r="AR94" s="112" t="s">
        <v>181</v>
      </c>
      <c r="AS94" s="112" t="s">
        <v>55</v>
      </c>
      <c r="AT94" s="125">
        <v>5</v>
      </c>
      <c r="AU94" s="125">
        <v>5</v>
      </c>
      <c r="AV94" s="125">
        <v>5</v>
      </c>
      <c r="AW94" s="125">
        <v>5</v>
      </c>
      <c r="AX94" s="125">
        <v>5</v>
      </c>
      <c r="AY94" s="86"/>
      <c r="AZ94" s="124">
        <v>45379</v>
      </c>
      <c r="BB94" s="3"/>
    </row>
    <row r="95" spans="3:54" x14ac:dyDescent="0.3">
      <c r="C95" s="86">
        <v>91</v>
      </c>
      <c r="D95" s="86"/>
      <c r="E95" s="86"/>
      <c r="F95" s="86"/>
      <c r="G95" s="86"/>
      <c r="H95" s="86"/>
      <c r="I95" s="86"/>
      <c r="J95" s="86"/>
      <c r="K95" s="86" t="s">
        <v>35</v>
      </c>
      <c r="L95" s="86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7"/>
      <c r="AR95" s="112" t="s">
        <v>182</v>
      </c>
      <c r="AS95" s="112" t="s">
        <v>55</v>
      </c>
      <c r="AT95" s="125">
        <v>5</v>
      </c>
      <c r="AU95" s="125">
        <v>5</v>
      </c>
      <c r="AV95" s="125">
        <v>5</v>
      </c>
      <c r="AW95" s="125">
        <v>5</v>
      </c>
      <c r="AX95" s="125">
        <v>5</v>
      </c>
      <c r="AY95" s="86"/>
      <c r="AZ95" s="124">
        <v>45379</v>
      </c>
      <c r="BB95" s="3"/>
    </row>
    <row r="96" spans="3:54" x14ac:dyDescent="0.3">
      <c r="C96" s="86">
        <v>92</v>
      </c>
      <c r="D96" s="86"/>
      <c r="E96" s="86"/>
      <c r="F96" s="86"/>
      <c r="G96" s="86"/>
      <c r="H96" s="86"/>
      <c r="I96" s="86"/>
      <c r="J96" s="86"/>
      <c r="K96" s="86" t="s">
        <v>35</v>
      </c>
      <c r="L96" s="86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7"/>
      <c r="AR96" s="112" t="s">
        <v>183</v>
      </c>
      <c r="AS96" s="112" t="s">
        <v>41</v>
      </c>
      <c r="AT96" s="125">
        <v>5</v>
      </c>
      <c r="AU96" s="125">
        <v>5</v>
      </c>
      <c r="AV96" s="125">
        <v>5</v>
      </c>
      <c r="AW96" s="125">
        <v>5</v>
      </c>
      <c r="AX96" s="125">
        <v>5</v>
      </c>
      <c r="AY96" s="86"/>
      <c r="AZ96" s="124">
        <v>45379</v>
      </c>
      <c r="BB96" s="3"/>
    </row>
    <row r="97" spans="3:54" x14ac:dyDescent="0.3">
      <c r="C97" s="86">
        <v>93</v>
      </c>
      <c r="D97" s="86"/>
      <c r="E97" s="86"/>
      <c r="F97" s="86"/>
      <c r="G97" s="86"/>
      <c r="H97" s="86"/>
      <c r="I97" s="86"/>
      <c r="J97" s="86"/>
      <c r="K97" s="86" t="s">
        <v>35</v>
      </c>
      <c r="L97" s="86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7"/>
      <c r="AR97" s="112" t="s">
        <v>184</v>
      </c>
      <c r="AS97" s="112" t="s">
        <v>55</v>
      </c>
      <c r="AT97" s="125">
        <v>5</v>
      </c>
      <c r="AU97" s="125">
        <v>5</v>
      </c>
      <c r="AV97" s="125">
        <v>4</v>
      </c>
      <c r="AW97" s="125">
        <v>5</v>
      </c>
      <c r="AX97" s="125">
        <v>5</v>
      </c>
      <c r="AY97" s="86"/>
      <c r="AZ97" s="124">
        <v>45379</v>
      </c>
      <c r="BB97" s="3"/>
    </row>
    <row r="98" spans="3:54" x14ac:dyDescent="0.3">
      <c r="C98" s="86">
        <v>94</v>
      </c>
      <c r="D98" s="86"/>
      <c r="E98" s="86"/>
      <c r="F98" s="86"/>
      <c r="G98" s="86"/>
      <c r="H98" s="86"/>
      <c r="I98" s="86"/>
      <c r="J98" s="86"/>
      <c r="K98" s="86" t="s">
        <v>35</v>
      </c>
      <c r="L98" s="86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7"/>
      <c r="AR98" s="112" t="s">
        <v>185</v>
      </c>
      <c r="AS98" s="112" t="s">
        <v>55</v>
      </c>
      <c r="AT98" s="125">
        <v>5</v>
      </c>
      <c r="AU98" s="125">
        <v>5</v>
      </c>
      <c r="AV98" s="125">
        <v>5</v>
      </c>
      <c r="AW98" s="125">
        <v>5</v>
      </c>
      <c r="AX98" s="125">
        <v>5</v>
      </c>
      <c r="AY98" s="86"/>
      <c r="AZ98" s="124">
        <v>45379</v>
      </c>
      <c r="BB98" s="3"/>
    </row>
    <row r="99" spans="3:54" x14ac:dyDescent="0.3">
      <c r="C99" s="86">
        <v>95</v>
      </c>
      <c r="D99" s="86"/>
      <c r="E99" s="86"/>
      <c r="F99" s="86"/>
      <c r="G99" s="86"/>
      <c r="H99" s="86"/>
      <c r="I99" s="86"/>
      <c r="J99" s="86"/>
      <c r="K99" s="86" t="s">
        <v>35</v>
      </c>
      <c r="L99" s="86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7"/>
      <c r="AR99" s="112" t="s">
        <v>186</v>
      </c>
      <c r="AS99" s="112" t="s">
        <v>44</v>
      </c>
      <c r="AT99" s="125">
        <v>5</v>
      </c>
      <c r="AU99" s="125">
        <v>5</v>
      </c>
      <c r="AV99" s="125">
        <v>5</v>
      </c>
      <c r="AW99" s="125">
        <v>5</v>
      </c>
      <c r="AX99" s="125">
        <v>5</v>
      </c>
      <c r="AY99" s="86"/>
      <c r="AZ99" s="124">
        <v>45379</v>
      </c>
      <c r="BB99" s="3"/>
    </row>
    <row r="100" spans="3:54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7"/>
      <c r="AR100" s="112" t="s">
        <v>187</v>
      </c>
      <c r="AS100" s="112" t="s">
        <v>44</v>
      </c>
      <c r="AT100" s="125">
        <v>5</v>
      </c>
      <c r="AU100" s="125">
        <v>5</v>
      </c>
      <c r="AV100" s="125">
        <v>5</v>
      </c>
      <c r="AW100" s="125">
        <v>5</v>
      </c>
      <c r="AX100" s="125">
        <v>5</v>
      </c>
      <c r="AY100" s="86"/>
      <c r="AZ100" s="124">
        <v>45379</v>
      </c>
      <c r="BB100" s="3"/>
    </row>
    <row r="101" spans="3:54" x14ac:dyDescent="0.3"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7"/>
      <c r="AR101" s="112" t="s">
        <v>188</v>
      </c>
      <c r="AS101" s="112" t="s">
        <v>41</v>
      </c>
      <c r="AT101" s="125">
        <v>5</v>
      </c>
      <c r="AU101" s="125">
        <v>5</v>
      </c>
      <c r="AV101" s="125">
        <v>5</v>
      </c>
      <c r="AW101" s="125">
        <v>5</v>
      </c>
      <c r="AX101" s="125">
        <v>5</v>
      </c>
      <c r="AY101" s="86"/>
      <c r="AZ101" s="124">
        <v>45379</v>
      </c>
      <c r="BB101" s="3"/>
    </row>
    <row r="102" spans="3:54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7"/>
      <c r="AR102" s="112" t="s">
        <v>189</v>
      </c>
      <c r="AS102" s="112" t="s">
        <v>53</v>
      </c>
      <c r="AT102" s="125">
        <v>5</v>
      </c>
      <c r="AU102" s="125">
        <v>5</v>
      </c>
      <c r="AV102" s="125">
        <v>5</v>
      </c>
      <c r="AW102" s="125">
        <v>5</v>
      </c>
      <c r="AX102" s="125">
        <v>5</v>
      </c>
      <c r="AY102" s="86"/>
      <c r="AZ102" s="124">
        <v>45379</v>
      </c>
      <c r="BB102" s="3"/>
    </row>
    <row r="103" spans="3:54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7"/>
      <c r="AR103" s="112" t="s">
        <v>190</v>
      </c>
      <c r="AS103" s="112" t="s">
        <v>53</v>
      </c>
      <c r="AT103" s="125">
        <v>5</v>
      </c>
      <c r="AU103" s="125">
        <v>5</v>
      </c>
      <c r="AV103" s="125">
        <v>5</v>
      </c>
      <c r="AW103" s="125">
        <v>5</v>
      </c>
      <c r="AX103" s="125">
        <v>5</v>
      </c>
      <c r="AY103" s="86"/>
      <c r="AZ103" s="124">
        <v>45379</v>
      </c>
      <c r="BB103" s="3"/>
    </row>
    <row r="104" spans="3:54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7"/>
      <c r="AR104" s="112" t="s">
        <v>191</v>
      </c>
      <c r="AS104" s="112" t="s">
        <v>87</v>
      </c>
      <c r="AT104" s="125">
        <v>5</v>
      </c>
      <c r="AU104" s="125">
        <v>5</v>
      </c>
      <c r="AV104" s="125">
        <v>5</v>
      </c>
      <c r="AW104" s="125">
        <v>5</v>
      </c>
      <c r="AX104" s="125">
        <v>5</v>
      </c>
      <c r="AY104" s="86"/>
      <c r="AZ104" s="124">
        <v>45380</v>
      </c>
      <c r="BB104" s="3"/>
    </row>
    <row r="105" spans="3:54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7"/>
      <c r="AR105" s="112" t="s">
        <v>192</v>
      </c>
      <c r="AS105" s="112" t="s">
        <v>87</v>
      </c>
      <c r="AT105" s="125">
        <v>5</v>
      </c>
      <c r="AU105" s="125">
        <v>5</v>
      </c>
      <c r="AV105" s="125">
        <v>5</v>
      </c>
      <c r="AW105" s="125">
        <v>5</v>
      </c>
      <c r="AX105" s="125">
        <v>5</v>
      </c>
      <c r="AY105" s="86"/>
      <c r="AZ105" s="124">
        <v>45381</v>
      </c>
      <c r="BB105" s="3"/>
    </row>
    <row r="106" spans="3:54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7"/>
      <c r="AR106" s="112" t="s">
        <v>193</v>
      </c>
      <c r="AS106" s="112" t="s">
        <v>87</v>
      </c>
      <c r="AT106" s="125">
        <v>5</v>
      </c>
      <c r="AU106" s="125">
        <v>5</v>
      </c>
      <c r="AV106" s="125">
        <v>5</v>
      </c>
      <c r="AW106" s="125">
        <v>5</v>
      </c>
      <c r="AX106" s="125">
        <v>5</v>
      </c>
      <c r="AY106" s="86"/>
      <c r="AZ106" s="124">
        <v>45381</v>
      </c>
      <c r="BB106" s="3"/>
    </row>
    <row r="107" spans="3:54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7"/>
      <c r="AR107" s="87"/>
      <c r="AS107" s="87"/>
      <c r="AT107" s="86"/>
      <c r="AU107" s="86"/>
      <c r="AV107" s="86"/>
      <c r="AW107" s="86"/>
      <c r="AX107" s="86"/>
      <c r="AY107" s="86"/>
      <c r="AZ107" s="21"/>
      <c r="BB107" s="3"/>
    </row>
    <row r="108" spans="3:54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7"/>
      <c r="AR108" s="87"/>
      <c r="AS108" s="87"/>
      <c r="AT108" s="86"/>
      <c r="AU108" s="86"/>
      <c r="AV108" s="86"/>
      <c r="AW108" s="86"/>
      <c r="AX108" s="86"/>
      <c r="AY108" s="86"/>
      <c r="AZ108" s="21"/>
      <c r="BB108" s="3"/>
    </row>
    <row r="109" spans="3:54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7"/>
      <c r="AR109" s="87"/>
      <c r="AS109" s="87"/>
      <c r="AT109" s="86"/>
      <c r="AU109" s="86"/>
      <c r="AV109" s="86"/>
      <c r="AW109" s="86"/>
      <c r="AX109" s="86"/>
      <c r="AY109" s="86"/>
      <c r="AZ109" s="21"/>
      <c r="BB109" s="3"/>
    </row>
    <row r="110" spans="3:54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7"/>
      <c r="AR110" s="87"/>
      <c r="AS110" s="87"/>
      <c r="AT110" s="86"/>
      <c r="AU110" s="86"/>
      <c r="AV110" s="86"/>
      <c r="AW110" s="86"/>
      <c r="AX110" s="86"/>
      <c r="AY110" s="86"/>
      <c r="AZ110" s="21"/>
      <c r="BB110" s="3"/>
    </row>
    <row r="111" spans="3:54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7"/>
      <c r="AR111" s="87"/>
      <c r="AS111" s="87"/>
      <c r="AT111" s="86"/>
      <c r="AU111" s="86"/>
      <c r="AV111" s="86"/>
      <c r="AW111" s="86"/>
      <c r="AX111" s="86"/>
      <c r="AY111" s="86"/>
      <c r="AZ111" s="21"/>
      <c r="BB111" s="3"/>
    </row>
    <row r="112" spans="3:54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7"/>
      <c r="AR112" s="87"/>
      <c r="AS112" s="87"/>
      <c r="AT112" s="86"/>
      <c r="AU112" s="86"/>
      <c r="AV112" s="86"/>
      <c r="AW112" s="86"/>
      <c r="AX112" s="86"/>
      <c r="AY112" s="86"/>
      <c r="AZ112" s="21"/>
      <c r="BB112" s="3"/>
    </row>
    <row r="113" spans="3:5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7"/>
      <c r="AR113" s="87"/>
      <c r="AS113" s="87"/>
      <c r="AT113" s="86"/>
      <c r="AU113" s="86"/>
      <c r="AV113" s="86"/>
      <c r="AW113" s="86"/>
      <c r="AX113" s="86"/>
      <c r="AY113" s="86"/>
      <c r="AZ113" s="21"/>
      <c r="BB113" s="3"/>
    </row>
    <row r="114" spans="3:5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7"/>
      <c r="AR114" s="87"/>
      <c r="AS114" s="87"/>
      <c r="AT114" s="86"/>
      <c r="AU114" s="86"/>
      <c r="AV114" s="86"/>
      <c r="AW114" s="86"/>
      <c r="AX114" s="86"/>
      <c r="AY114" s="86"/>
      <c r="AZ114" s="21"/>
      <c r="BB114" s="3"/>
    </row>
    <row r="115" spans="3:5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7"/>
      <c r="AR115" s="87"/>
      <c r="AS115" s="87"/>
      <c r="AT115" s="86"/>
      <c r="AU115" s="86"/>
      <c r="AV115" s="86"/>
      <c r="AW115" s="86"/>
      <c r="AX115" s="86"/>
      <c r="AY115" s="86"/>
      <c r="AZ115" s="21"/>
      <c r="BB115" s="3"/>
    </row>
    <row r="116" spans="3:5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7"/>
      <c r="AR116" s="87"/>
      <c r="AS116" s="87"/>
      <c r="AT116" s="86"/>
      <c r="AU116" s="86"/>
      <c r="AV116" s="86"/>
      <c r="AW116" s="86"/>
      <c r="AX116" s="86"/>
      <c r="AY116" s="86"/>
      <c r="AZ116" s="21"/>
      <c r="BB116" s="3"/>
    </row>
    <row r="117" spans="3:5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7"/>
      <c r="AR117" s="87"/>
      <c r="AS117" s="87"/>
      <c r="AT117" s="86"/>
      <c r="AU117" s="86"/>
      <c r="AV117" s="86"/>
      <c r="AW117" s="86"/>
      <c r="AX117" s="86"/>
      <c r="AY117" s="86"/>
      <c r="AZ117" s="21"/>
      <c r="BB117" s="3"/>
    </row>
    <row r="118" spans="3:5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7"/>
      <c r="AR118" s="87"/>
      <c r="AS118" s="87"/>
      <c r="AT118" s="86"/>
      <c r="AU118" s="86"/>
      <c r="AV118" s="86"/>
      <c r="AW118" s="86"/>
      <c r="AX118" s="86"/>
      <c r="AY118" s="86"/>
      <c r="AZ118" s="21"/>
      <c r="BB118" s="3"/>
    </row>
    <row r="119" spans="3:5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7"/>
      <c r="AR119" s="87"/>
      <c r="AS119" s="87"/>
      <c r="AT119" s="86"/>
      <c r="AU119" s="86"/>
      <c r="AV119" s="86"/>
      <c r="AW119" s="86"/>
      <c r="AX119" s="86"/>
      <c r="AY119" s="86"/>
      <c r="AZ119" s="21"/>
      <c r="BB119" s="3"/>
    </row>
    <row r="120" spans="3:5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7"/>
      <c r="AR120" s="87"/>
      <c r="AS120" s="87"/>
      <c r="AT120" s="86"/>
      <c r="AU120" s="86"/>
      <c r="AV120" s="86"/>
      <c r="AW120" s="86"/>
      <c r="AX120" s="86"/>
      <c r="AY120" s="86"/>
      <c r="AZ120" s="21"/>
      <c r="BB120" s="3"/>
    </row>
    <row r="121" spans="3:5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7"/>
      <c r="AR121" s="87"/>
      <c r="AS121" s="87"/>
      <c r="AT121" s="86"/>
      <c r="AU121" s="86"/>
      <c r="AV121" s="86"/>
      <c r="AW121" s="86"/>
      <c r="AX121" s="86"/>
      <c r="AY121" s="86"/>
      <c r="AZ121" s="21"/>
      <c r="BB121" s="3"/>
    </row>
    <row r="122" spans="3:5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7"/>
      <c r="AR122" s="87"/>
      <c r="AS122" s="87"/>
      <c r="AT122" s="86"/>
      <c r="AU122" s="86"/>
      <c r="AV122" s="86"/>
      <c r="AW122" s="86"/>
      <c r="AX122" s="86"/>
      <c r="AY122" s="86"/>
      <c r="AZ122" s="21"/>
      <c r="BB122" s="3"/>
    </row>
    <row r="123" spans="3:5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7"/>
      <c r="AR123" s="87"/>
      <c r="AS123" s="87"/>
      <c r="AT123" s="86"/>
      <c r="AU123" s="86"/>
      <c r="AV123" s="86"/>
      <c r="AW123" s="86"/>
      <c r="AX123" s="86"/>
      <c r="AY123" s="86"/>
      <c r="AZ123" s="21"/>
      <c r="BB123" s="3"/>
    </row>
    <row r="124" spans="3:5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7"/>
      <c r="AR124" s="87"/>
      <c r="AS124" s="87"/>
      <c r="AT124" s="86"/>
      <c r="AU124" s="86"/>
      <c r="AV124" s="86"/>
      <c r="AW124" s="86"/>
      <c r="AX124" s="86"/>
      <c r="AY124" s="86"/>
      <c r="AZ124" s="21"/>
      <c r="BB124" s="3"/>
    </row>
    <row r="125" spans="3:5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7"/>
      <c r="AR125" s="87"/>
      <c r="AS125" s="87"/>
      <c r="AT125" s="86"/>
      <c r="AU125" s="86"/>
      <c r="AV125" s="86"/>
      <c r="AW125" s="86"/>
      <c r="AX125" s="86"/>
      <c r="AY125" s="86"/>
      <c r="AZ125" s="21"/>
      <c r="BB125" s="3"/>
    </row>
    <row r="126" spans="3:5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7"/>
      <c r="AR126" s="87"/>
      <c r="AS126" s="87"/>
      <c r="AT126" s="86"/>
      <c r="AU126" s="86"/>
      <c r="AV126" s="86"/>
      <c r="AW126" s="86"/>
      <c r="AX126" s="86"/>
      <c r="AY126" s="86"/>
      <c r="AZ126" s="21"/>
      <c r="BB126" s="3"/>
    </row>
    <row r="127" spans="3:5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7"/>
      <c r="AR127" s="87"/>
      <c r="AS127" s="87"/>
      <c r="AT127" s="86"/>
      <c r="AU127" s="86"/>
      <c r="AV127" s="86"/>
      <c r="AW127" s="86"/>
      <c r="AX127" s="86"/>
      <c r="AY127" s="86"/>
      <c r="AZ127" s="21"/>
      <c r="BB127" s="3"/>
    </row>
    <row r="128" spans="3:5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7"/>
      <c r="AR128" s="87"/>
      <c r="AS128" s="87"/>
      <c r="AT128" s="86"/>
      <c r="AU128" s="86"/>
      <c r="AV128" s="86"/>
      <c r="AW128" s="86"/>
      <c r="AX128" s="86"/>
      <c r="AY128" s="86"/>
      <c r="AZ128" s="21"/>
      <c r="BB128" s="3"/>
    </row>
    <row r="129" spans="3:5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7"/>
      <c r="AR129" s="87"/>
      <c r="AS129" s="87"/>
      <c r="AT129" s="86"/>
      <c r="AU129" s="86"/>
      <c r="AV129" s="86"/>
      <c r="AW129" s="86"/>
      <c r="AX129" s="86"/>
      <c r="AY129" s="86"/>
      <c r="AZ129" s="21"/>
      <c r="BB129" s="3"/>
    </row>
    <row r="130" spans="3:5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7"/>
      <c r="AR130" s="87"/>
      <c r="AS130" s="87"/>
      <c r="AT130" s="86"/>
      <c r="AU130" s="86"/>
      <c r="AV130" s="86"/>
      <c r="AW130" s="86"/>
      <c r="AX130" s="86"/>
      <c r="AY130" s="86"/>
      <c r="AZ130" s="21"/>
      <c r="BB130" s="3"/>
    </row>
    <row r="131" spans="3:5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7"/>
      <c r="AR131" s="87"/>
      <c r="AS131" s="87"/>
      <c r="AT131" s="86"/>
      <c r="AU131" s="86"/>
      <c r="AV131" s="86"/>
      <c r="AW131" s="86"/>
      <c r="AX131" s="86"/>
      <c r="AY131" s="86"/>
      <c r="AZ131" s="21"/>
      <c r="BB131" s="3"/>
    </row>
    <row r="132" spans="3:5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7"/>
      <c r="AR132" s="87"/>
      <c r="AS132" s="87"/>
      <c r="AT132" s="86"/>
      <c r="AU132" s="86"/>
      <c r="AV132" s="86"/>
      <c r="AW132" s="86"/>
      <c r="AX132" s="86"/>
      <c r="AY132" s="86"/>
      <c r="AZ132" s="21"/>
      <c r="BB132" s="3"/>
    </row>
    <row r="133" spans="3:5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7"/>
      <c r="AR133" s="87"/>
      <c r="AS133" s="87"/>
      <c r="AT133" s="86"/>
      <c r="AU133" s="86"/>
      <c r="AV133" s="86"/>
      <c r="AW133" s="86"/>
      <c r="AX133" s="86"/>
      <c r="AY133" s="86"/>
      <c r="AZ133" s="21"/>
      <c r="BB133" s="3"/>
    </row>
    <row r="134" spans="3:5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7"/>
      <c r="AR134" s="87"/>
      <c r="AS134" s="87"/>
      <c r="AT134" s="86"/>
      <c r="AU134" s="86"/>
      <c r="AV134" s="86"/>
      <c r="AW134" s="86"/>
      <c r="AX134" s="86"/>
      <c r="AY134" s="86"/>
      <c r="AZ134" s="21"/>
      <c r="BB134" s="3"/>
    </row>
    <row r="135" spans="3:5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7"/>
      <c r="AR135" s="87"/>
      <c r="AS135" s="87"/>
      <c r="AT135" s="86"/>
      <c r="AU135" s="86"/>
      <c r="AV135" s="86"/>
      <c r="AW135" s="86"/>
      <c r="AX135" s="86"/>
      <c r="AY135" s="86"/>
      <c r="AZ135" s="21"/>
      <c r="BB135" s="3"/>
    </row>
    <row r="136" spans="3:5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7"/>
      <c r="AR136" s="87"/>
      <c r="AS136" s="87"/>
      <c r="AT136" s="86"/>
      <c r="AU136" s="86"/>
      <c r="AV136" s="86"/>
      <c r="AW136" s="86"/>
      <c r="AX136" s="86"/>
      <c r="AY136" s="86"/>
      <c r="AZ136" s="21"/>
      <c r="BB136" s="3"/>
    </row>
    <row r="137" spans="3:5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7"/>
      <c r="AR137" s="87"/>
      <c r="AS137" s="87"/>
      <c r="AT137" s="86"/>
      <c r="AU137" s="86"/>
      <c r="AV137" s="86"/>
      <c r="AW137" s="86"/>
      <c r="AX137" s="86"/>
      <c r="AY137" s="86"/>
      <c r="AZ137" s="21"/>
      <c r="BB137" s="3"/>
    </row>
    <row r="138" spans="3:5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7"/>
      <c r="AR138" s="87"/>
      <c r="AS138" s="87"/>
      <c r="AT138" s="86"/>
      <c r="AU138" s="86"/>
      <c r="AV138" s="86"/>
      <c r="AW138" s="86"/>
      <c r="AX138" s="86"/>
      <c r="AY138" s="86"/>
      <c r="AZ138" s="21"/>
      <c r="BB138" s="3"/>
    </row>
    <row r="139" spans="3:5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7"/>
      <c r="AR139" s="87"/>
      <c r="AS139" s="87"/>
      <c r="AT139" s="86"/>
      <c r="AU139" s="86"/>
      <c r="AV139" s="86"/>
      <c r="AW139" s="86"/>
      <c r="AX139" s="86"/>
      <c r="AY139" s="86"/>
      <c r="AZ139" s="21"/>
      <c r="BB139" s="3"/>
    </row>
    <row r="140" spans="3:5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7"/>
      <c r="AR140" s="87"/>
      <c r="AS140" s="87"/>
      <c r="AT140" s="86"/>
      <c r="AU140" s="86"/>
      <c r="AV140" s="86"/>
      <c r="AW140" s="86"/>
      <c r="AX140" s="86"/>
      <c r="AY140" s="86"/>
      <c r="AZ140" s="21"/>
      <c r="BB140" s="3"/>
    </row>
    <row r="141" spans="3:5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7"/>
      <c r="AR141" s="87"/>
      <c r="AS141" s="87"/>
      <c r="AT141" s="86"/>
      <c r="AU141" s="86"/>
      <c r="AV141" s="86"/>
      <c r="AW141" s="86"/>
      <c r="AX141" s="86"/>
      <c r="AY141" s="86"/>
      <c r="AZ141" s="21"/>
      <c r="BB141" s="3"/>
    </row>
    <row r="142" spans="3:5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7"/>
      <c r="AR142" s="87"/>
      <c r="AS142" s="87"/>
      <c r="AT142" s="86"/>
      <c r="AU142" s="86"/>
      <c r="AV142" s="86"/>
      <c r="AW142" s="86"/>
      <c r="AX142" s="86"/>
      <c r="AY142" s="86"/>
      <c r="AZ142" s="21"/>
      <c r="BB142" s="3"/>
    </row>
    <row r="143" spans="3:5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7"/>
      <c r="AR143" s="87"/>
      <c r="AS143" s="87"/>
      <c r="AT143" s="86"/>
      <c r="AU143" s="86"/>
      <c r="AV143" s="86"/>
      <c r="AW143" s="86"/>
      <c r="AX143" s="86"/>
      <c r="AY143" s="86"/>
      <c r="AZ143" s="21"/>
      <c r="BB143" s="3"/>
    </row>
    <row r="144" spans="3:5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7"/>
      <c r="AR144" s="87"/>
      <c r="AS144" s="87"/>
      <c r="AT144" s="86"/>
      <c r="AU144" s="86"/>
      <c r="AV144" s="86"/>
      <c r="AW144" s="86"/>
      <c r="AX144" s="86"/>
      <c r="AY144" s="86"/>
      <c r="AZ144" s="21"/>
      <c r="BB144" s="3"/>
    </row>
    <row r="145" spans="3:5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7"/>
      <c r="AR145" s="87"/>
      <c r="AS145" s="87"/>
      <c r="AT145" s="86"/>
      <c r="AU145" s="86"/>
      <c r="AV145" s="86"/>
      <c r="AW145" s="86"/>
      <c r="AX145" s="86"/>
      <c r="AY145" s="86"/>
      <c r="AZ145" s="21"/>
      <c r="BB145" s="3"/>
    </row>
    <row r="146" spans="3:5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7"/>
      <c r="AR146" s="87"/>
      <c r="AS146" s="87"/>
      <c r="AT146" s="86"/>
      <c r="AU146" s="86"/>
      <c r="AV146" s="86"/>
      <c r="AW146" s="86"/>
      <c r="AX146" s="86"/>
      <c r="AY146" s="86"/>
      <c r="AZ146" s="21"/>
      <c r="BB146" s="3"/>
    </row>
    <row r="147" spans="3:5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7"/>
      <c r="AR147" s="87"/>
      <c r="AS147" s="87"/>
      <c r="AT147" s="86"/>
      <c r="AU147" s="86"/>
      <c r="AV147" s="86"/>
      <c r="AW147" s="86"/>
      <c r="AX147" s="86"/>
      <c r="AY147" s="86"/>
      <c r="AZ147" s="21"/>
      <c r="BB147" s="3"/>
    </row>
    <row r="148" spans="3:5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7"/>
      <c r="AR148" s="87"/>
      <c r="AS148" s="87"/>
      <c r="AT148" s="86"/>
      <c r="AU148" s="86"/>
      <c r="AV148" s="86"/>
      <c r="AW148" s="86"/>
      <c r="AX148" s="86"/>
      <c r="AY148" s="86"/>
      <c r="AZ148" s="21"/>
      <c r="BB148" s="3"/>
    </row>
    <row r="149" spans="3:5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7"/>
      <c r="AR149" s="87"/>
      <c r="AS149" s="87"/>
      <c r="AT149" s="86"/>
      <c r="AU149" s="86"/>
      <c r="AV149" s="86"/>
      <c r="AW149" s="86"/>
      <c r="AX149" s="86"/>
      <c r="AY149" s="86"/>
      <c r="AZ149" s="21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7"/>
      <c r="AR150" s="87"/>
      <c r="AS150" s="87"/>
      <c r="AT150" s="86"/>
      <c r="AU150" s="86"/>
      <c r="AV150" s="86"/>
      <c r="AW150" s="86"/>
      <c r="AX150" s="86"/>
      <c r="AY150" s="86"/>
      <c r="AZ150" s="21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7"/>
      <c r="AR151" s="87"/>
      <c r="AS151" s="87"/>
      <c r="AT151" s="86"/>
      <c r="AU151" s="86"/>
      <c r="AV151" s="86"/>
      <c r="AW151" s="86"/>
      <c r="AX151" s="86"/>
      <c r="AY151" s="86"/>
      <c r="AZ151" s="21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7"/>
      <c r="AR152" s="87"/>
      <c r="AS152" s="87"/>
      <c r="AT152" s="86"/>
      <c r="AU152" s="86"/>
      <c r="AV152" s="86"/>
      <c r="AW152" s="86"/>
      <c r="AX152" s="86"/>
      <c r="AY152" s="86"/>
      <c r="AZ152" s="21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7"/>
      <c r="AR153" s="87"/>
      <c r="AS153" s="87"/>
      <c r="AT153" s="86"/>
      <c r="AU153" s="86"/>
      <c r="AV153" s="86"/>
      <c r="AW153" s="86"/>
      <c r="AX153" s="86"/>
      <c r="AY153" s="86"/>
      <c r="AZ153" s="21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7"/>
      <c r="AR154" s="87"/>
      <c r="AS154" s="87"/>
      <c r="AT154" s="86"/>
      <c r="AU154" s="86"/>
      <c r="AV154" s="86"/>
      <c r="AW154" s="86"/>
      <c r="AX154" s="86"/>
      <c r="AY154" s="86"/>
      <c r="AZ154" s="21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7"/>
      <c r="AR155" s="87"/>
      <c r="AS155" s="87"/>
      <c r="AT155" s="86"/>
      <c r="AU155" s="86"/>
      <c r="AV155" s="86"/>
      <c r="AW155" s="86"/>
      <c r="AX155" s="86"/>
      <c r="AY155" s="86"/>
      <c r="AZ155" s="21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7"/>
      <c r="AR156" s="87"/>
      <c r="AS156" s="87"/>
      <c r="AT156" s="86"/>
      <c r="AU156" s="86"/>
      <c r="AV156" s="86"/>
      <c r="AW156" s="86"/>
      <c r="AX156" s="86"/>
      <c r="AY156" s="86"/>
      <c r="AZ156" s="21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7"/>
      <c r="AR157" s="87"/>
      <c r="AS157" s="87"/>
      <c r="AT157" s="86"/>
      <c r="AU157" s="86"/>
      <c r="AV157" s="86"/>
      <c r="AW157" s="86"/>
      <c r="AX157" s="86"/>
      <c r="AY157" s="86"/>
      <c r="AZ157" s="21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7"/>
      <c r="AR158" s="87"/>
      <c r="AS158" s="87"/>
      <c r="AT158" s="86"/>
      <c r="AU158" s="86"/>
      <c r="AV158" s="86"/>
      <c r="AW158" s="86"/>
      <c r="AX158" s="86"/>
      <c r="AY158" s="86"/>
      <c r="AZ158" s="21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7"/>
      <c r="AR159" s="87"/>
      <c r="AS159" s="87"/>
      <c r="AT159" s="86"/>
      <c r="AU159" s="86"/>
      <c r="AV159" s="86"/>
      <c r="AW159" s="86"/>
      <c r="AX159" s="86"/>
      <c r="AY159" s="86"/>
      <c r="AZ159" s="21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7"/>
      <c r="AR160" s="87"/>
      <c r="AS160" s="87"/>
      <c r="AT160" s="86"/>
      <c r="AU160" s="86"/>
      <c r="AV160" s="86"/>
      <c r="AW160" s="86"/>
      <c r="AX160" s="86"/>
      <c r="AY160" s="86"/>
      <c r="AZ160" s="21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7"/>
      <c r="AR161" s="87"/>
      <c r="AS161" s="87"/>
      <c r="AT161" s="86"/>
      <c r="AU161" s="86"/>
      <c r="AV161" s="86"/>
      <c r="AW161" s="86"/>
      <c r="AX161" s="86"/>
      <c r="AY161" s="86"/>
      <c r="AZ161" s="21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7"/>
      <c r="AR162" s="87"/>
      <c r="AS162" s="87"/>
      <c r="AT162" s="86"/>
      <c r="AU162" s="86"/>
      <c r="AV162" s="86"/>
      <c r="AW162" s="86"/>
      <c r="AX162" s="86"/>
      <c r="AY162" s="86"/>
      <c r="AZ162" s="21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7"/>
      <c r="AR163" s="87"/>
      <c r="AS163" s="87"/>
      <c r="AT163" s="86"/>
      <c r="AU163" s="86"/>
      <c r="AV163" s="86"/>
      <c r="AW163" s="86"/>
      <c r="AX163" s="86"/>
      <c r="AY163" s="86"/>
      <c r="AZ163" s="21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7"/>
      <c r="AR164" s="87"/>
      <c r="AS164" s="87"/>
      <c r="AT164" s="86"/>
      <c r="AU164" s="86"/>
      <c r="AV164" s="86"/>
      <c r="AW164" s="86"/>
      <c r="AX164" s="86"/>
      <c r="AY164" s="86"/>
      <c r="AZ164" s="21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7"/>
      <c r="AR165" s="87"/>
      <c r="AS165" s="87"/>
      <c r="AT165" s="86"/>
      <c r="AU165" s="86"/>
      <c r="AV165" s="86"/>
      <c r="AW165" s="86"/>
      <c r="AX165" s="86"/>
      <c r="AY165" s="86"/>
      <c r="AZ165" s="21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7"/>
      <c r="AR166" s="87"/>
      <c r="AS166" s="87"/>
      <c r="AT166" s="86"/>
      <c r="AU166" s="86"/>
      <c r="AV166" s="86"/>
      <c r="AW166" s="86"/>
      <c r="AX166" s="86"/>
      <c r="AY166" s="86"/>
      <c r="AZ166" s="21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7"/>
      <c r="AR167" s="87"/>
      <c r="AS167" s="87"/>
      <c r="AT167" s="86"/>
      <c r="AU167" s="86"/>
      <c r="AV167" s="86"/>
      <c r="AW167" s="86"/>
      <c r="AX167" s="86"/>
      <c r="AY167" s="86"/>
      <c r="AZ167" s="21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7"/>
      <c r="AR168" s="87"/>
      <c r="AS168" s="87"/>
      <c r="AT168" s="86"/>
      <c r="AU168" s="86"/>
      <c r="AV168" s="86"/>
      <c r="AW168" s="86"/>
      <c r="AX168" s="86"/>
      <c r="AY168" s="86"/>
      <c r="AZ168" s="21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7"/>
      <c r="AR169" s="87"/>
      <c r="AS169" s="87"/>
      <c r="AT169" s="86"/>
      <c r="AU169" s="86"/>
      <c r="AV169" s="86"/>
      <c r="AW169" s="86"/>
      <c r="AX169" s="86"/>
      <c r="AY169" s="86"/>
      <c r="AZ169" s="21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7"/>
      <c r="AR170" s="87"/>
      <c r="AS170" s="87"/>
      <c r="AT170" s="86"/>
      <c r="AU170" s="86"/>
      <c r="AV170" s="86"/>
      <c r="AW170" s="86"/>
      <c r="AX170" s="86"/>
      <c r="AY170" s="86"/>
      <c r="AZ170" s="21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7"/>
      <c r="AR171" s="87"/>
      <c r="AS171" s="87"/>
      <c r="AT171" s="86"/>
      <c r="AU171" s="86"/>
      <c r="AV171" s="86"/>
      <c r="AW171" s="86"/>
      <c r="AX171" s="86"/>
      <c r="AY171" s="86"/>
      <c r="AZ171" s="21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7"/>
      <c r="AR172" s="87"/>
      <c r="AS172" s="87"/>
      <c r="AT172" s="86"/>
      <c r="AU172" s="86"/>
      <c r="AV172" s="86"/>
      <c r="AW172" s="86"/>
      <c r="AX172" s="86"/>
      <c r="AY172" s="86"/>
      <c r="AZ172" s="21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7"/>
      <c r="AR173" s="87"/>
      <c r="AS173" s="87"/>
      <c r="AT173" s="86"/>
      <c r="AU173" s="86"/>
      <c r="AV173" s="86"/>
      <c r="AW173" s="86"/>
      <c r="AX173" s="86"/>
      <c r="AY173" s="86"/>
      <c r="AZ173" s="21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7"/>
      <c r="AR174" s="87"/>
      <c r="AS174" s="87"/>
      <c r="AT174" s="86"/>
      <c r="AU174" s="86"/>
      <c r="AV174" s="86"/>
      <c r="AW174" s="86"/>
      <c r="AX174" s="86"/>
      <c r="AY174" s="86"/>
      <c r="AZ174" s="21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7"/>
      <c r="AR175" s="87"/>
      <c r="AS175" s="87"/>
      <c r="AT175" s="86"/>
      <c r="AU175" s="86"/>
      <c r="AV175" s="86"/>
      <c r="AW175" s="86"/>
      <c r="AX175" s="86"/>
      <c r="AY175" s="86"/>
      <c r="AZ175" s="21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7"/>
      <c r="AR176" s="87"/>
      <c r="AS176" s="87"/>
      <c r="AT176" s="86"/>
      <c r="AU176" s="86"/>
      <c r="AV176" s="86"/>
      <c r="AW176" s="86"/>
      <c r="AX176" s="86"/>
      <c r="AY176" s="86"/>
      <c r="AZ176" s="21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7"/>
      <c r="AR177" s="87"/>
      <c r="AS177" s="87"/>
      <c r="AT177" s="86"/>
      <c r="AU177" s="86"/>
      <c r="AV177" s="86"/>
      <c r="AW177" s="86"/>
      <c r="AX177" s="86"/>
      <c r="AY177" s="86"/>
      <c r="AZ177" s="21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7"/>
      <c r="AR178" s="87"/>
      <c r="AS178" s="87"/>
      <c r="AT178" s="86"/>
      <c r="AU178" s="86"/>
      <c r="AV178" s="86"/>
      <c r="AW178" s="86"/>
      <c r="AX178" s="86"/>
      <c r="AY178" s="86"/>
      <c r="AZ178" s="21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7"/>
      <c r="AR179" s="87"/>
      <c r="AS179" s="87"/>
      <c r="AT179" s="86"/>
      <c r="AU179" s="86"/>
      <c r="AV179" s="86"/>
      <c r="AW179" s="86"/>
      <c r="AX179" s="86"/>
      <c r="AY179" s="86"/>
      <c r="AZ179" s="21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7"/>
      <c r="AR180" s="87"/>
      <c r="AS180" s="87"/>
      <c r="AT180" s="86"/>
      <c r="AU180" s="86"/>
      <c r="AV180" s="86"/>
      <c r="AW180" s="86"/>
      <c r="AX180" s="86"/>
      <c r="AY180" s="86"/>
      <c r="AZ180" s="21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7"/>
      <c r="AR181" s="87"/>
      <c r="AS181" s="87"/>
      <c r="AT181" s="86"/>
      <c r="AU181" s="86"/>
      <c r="AV181" s="86"/>
      <c r="AW181" s="86"/>
      <c r="AX181" s="86"/>
      <c r="AY181" s="86"/>
      <c r="AZ181" s="21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7"/>
      <c r="AR182" s="87"/>
      <c r="AS182" s="87"/>
      <c r="AT182" s="86"/>
      <c r="AU182" s="86"/>
      <c r="AV182" s="86"/>
      <c r="AW182" s="86"/>
      <c r="AX182" s="86"/>
      <c r="AY182" s="86"/>
      <c r="AZ182" s="21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7"/>
      <c r="AR183" s="87"/>
      <c r="AS183" s="87"/>
      <c r="AT183" s="86"/>
      <c r="AU183" s="86"/>
      <c r="AV183" s="86"/>
      <c r="AW183" s="86"/>
      <c r="AX183" s="86"/>
      <c r="AY183" s="86"/>
      <c r="AZ183" s="21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7"/>
      <c r="AR184" s="87"/>
      <c r="AS184" s="87"/>
      <c r="AT184" s="86"/>
      <c r="AU184" s="86"/>
      <c r="AV184" s="86"/>
      <c r="AW184" s="86"/>
      <c r="AX184" s="86"/>
      <c r="AY184" s="86"/>
      <c r="AZ184" s="21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7"/>
      <c r="AR185" s="87"/>
      <c r="AS185" s="87"/>
      <c r="AT185" s="86"/>
      <c r="AU185" s="86"/>
      <c r="AV185" s="86"/>
      <c r="AW185" s="86"/>
      <c r="AX185" s="86"/>
      <c r="AY185" s="86"/>
      <c r="AZ185" s="21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7"/>
      <c r="AR186" s="87"/>
      <c r="AS186" s="87"/>
      <c r="AT186" s="86"/>
      <c r="AU186" s="86"/>
      <c r="AV186" s="86"/>
      <c r="AW186" s="86"/>
      <c r="AX186" s="86"/>
      <c r="AY186" s="86"/>
      <c r="AZ186" s="21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7"/>
      <c r="AR187" s="87"/>
      <c r="AS187" s="87"/>
      <c r="AT187" s="86"/>
      <c r="AU187" s="86"/>
      <c r="AV187" s="86"/>
      <c r="AW187" s="86"/>
      <c r="AX187" s="86"/>
      <c r="AY187" s="86"/>
      <c r="AZ187" s="21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7"/>
      <c r="AR188" s="87"/>
      <c r="AS188" s="87"/>
      <c r="AT188" s="86"/>
      <c r="AU188" s="86"/>
      <c r="AV188" s="86"/>
      <c r="AW188" s="86"/>
      <c r="AX188" s="86"/>
      <c r="AY188" s="86"/>
      <c r="AZ188" s="21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7"/>
      <c r="AR189" s="87"/>
      <c r="AS189" s="87"/>
      <c r="AT189" s="86"/>
      <c r="AU189" s="86"/>
      <c r="AV189" s="86"/>
      <c r="AW189" s="86"/>
      <c r="AX189" s="86"/>
      <c r="AY189" s="86"/>
      <c r="AZ189" s="21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7"/>
      <c r="AR190" s="87"/>
      <c r="AS190" s="87"/>
      <c r="AT190" s="86"/>
      <c r="AU190" s="86"/>
      <c r="AV190" s="86"/>
      <c r="AW190" s="86"/>
      <c r="AX190" s="86"/>
      <c r="AY190" s="86"/>
      <c r="AZ190" s="21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7"/>
      <c r="AR191" s="87"/>
      <c r="AS191" s="87"/>
      <c r="AT191" s="86"/>
      <c r="AU191" s="86"/>
      <c r="AV191" s="86"/>
      <c r="AW191" s="86"/>
      <c r="AX191" s="86"/>
      <c r="AY191" s="86"/>
      <c r="AZ191" s="21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7"/>
      <c r="AR192" s="87"/>
      <c r="AS192" s="87"/>
      <c r="AT192" s="86"/>
      <c r="AU192" s="86"/>
      <c r="AV192" s="86"/>
      <c r="AW192" s="86"/>
      <c r="AX192" s="86"/>
      <c r="AY192" s="86"/>
      <c r="AZ192" s="21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7"/>
      <c r="AR193" s="87"/>
      <c r="AS193" s="87"/>
      <c r="AT193" s="86"/>
      <c r="AU193" s="86"/>
      <c r="AV193" s="86"/>
      <c r="AW193" s="86"/>
      <c r="AX193" s="86"/>
      <c r="AY193" s="86"/>
      <c r="AZ193" s="21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7"/>
      <c r="AR194" s="87"/>
      <c r="AS194" s="87"/>
      <c r="AT194" s="86"/>
      <c r="AU194" s="86"/>
      <c r="AV194" s="86"/>
      <c r="AW194" s="86"/>
      <c r="AX194" s="86"/>
      <c r="AY194" s="86"/>
      <c r="AZ194" s="21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7"/>
      <c r="AR195" s="87"/>
      <c r="AS195" s="87"/>
      <c r="AT195" s="86"/>
      <c r="AU195" s="86"/>
      <c r="AV195" s="86"/>
      <c r="AW195" s="86"/>
      <c r="AX195" s="86"/>
      <c r="AY195" s="86"/>
      <c r="AZ195" s="21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7"/>
      <c r="AR196" s="87"/>
      <c r="AS196" s="87"/>
      <c r="AT196" s="86"/>
      <c r="AU196" s="86"/>
      <c r="AV196" s="86"/>
      <c r="AW196" s="86"/>
      <c r="AX196" s="86"/>
      <c r="AY196" s="86"/>
      <c r="AZ196" s="21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7"/>
      <c r="AR197" s="87"/>
      <c r="AS197" s="87"/>
      <c r="AT197" s="86"/>
      <c r="AU197" s="86"/>
      <c r="AV197" s="86"/>
      <c r="AW197" s="86"/>
      <c r="AX197" s="86"/>
      <c r="AY197" s="86"/>
      <c r="AZ197" s="21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7"/>
      <c r="AR198" s="87"/>
      <c r="AS198" s="87"/>
      <c r="AT198" s="86"/>
      <c r="AU198" s="86"/>
      <c r="AV198" s="86"/>
      <c r="AW198" s="86"/>
      <c r="AX198" s="86"/>
      <c r="AY198" s="86"/>
      <c r="AZ198" s="21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7"/>
      <c r="AR199" s="87"/>
      <c r="AS199" s="87"/>
      <c r="AT199" s="86"/>
      <c r="AU199" s="86"/>
      <c r="AV199" s="86"/>
      <c r="AW199" s="86"/>
      <c r="AX199" s="86"/>
      <c r="AY199" s="86"/>
      <c r="AZ199" s="21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7"/>
      <c r="AR200" s="87"/>
      <c r="AS200" s="87"/>
      <c r="AT200" s="86"/>
      <c r="AU200" s="86"/>
      <c r="AV200" s="86"/>
      <c r="AW200" s="86"/>
      <c r="AX200" s="86"/>
      <c r="AY200" s="86"/>
      <c r="AZ200" s="21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7"/>
      <c r="AR201" s="87"/>
      <c r="AS201" s="87"/>
      <c r="AT201" s="86"/>
      <c r="AU201" s="86"/>
      <c r="AV201" s="86"/>
      <c r="AW201" s="86"/>
      <c r="AX201" s="86"/>
      <c r="AY201" s="86"/>
      <c r="AZ201" s="21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7"/>
      <c r="AR202" s="87"/>
      <c r="AS202" s="87"/>
      <c r="AT202" s="86"/>
      <c r="AU202" s="86"/>
      <c r="AV202" s="86"/>
      <c r="AW202" s="86"/>
      <c r="AX202" s="86"/>
      <c r="AY202" s="86"/>
      <c r="AZ202" s="21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7"/>
      <c r="AR203" s="87"/>
      <c r="AS203" s="87"/>
      <c r="AT203" s="86"/>
      <c r="AU203" s="86"/>
      <c r="AV203" s="86"/>
      <c r="AW203" s="86"/>
      <c r="AX203" s="86"/>
      <c r="AY203" s="86"/>
      <c r="AZ203" s="21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7"/>
      <c r="AR204" s="87"/>
      <c r="AS204" s="87"/>
      <c r="AT204" s="86"/>
      <c r="AU204" s="86"/>
      <c r="AV204" s="86"/>
      <c r="AW204" s="86"/>
      <c r="AX204" s="86"/>
      <c r="AY204" s="86"/>
      <c r="AZ204" s="21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7"/>
      <c r="AR205" s="87"/>
      <c r="AS205" s="87"/>
      <c r="AT205" s="86"/>
      <c r="AU205" s="86"/>
      <c r="AV205" s="86"/>
      <c r="AW205" s="86"/>
      <c r="AX205" s="86"/>
      <c r="AY205" s="86"/>
      <c r="AZ205" s="21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7"/>
      <c r="AR206" s="87"/>
      <c r="AS206" s="87"/>
      <c r="AT206" s="86"/>
      <c r="AU206" s="86"/>
      <c r="AV206" s="86"/>
      <c r="AW206" s="86"/>
      <c r="AX206" s="86"/>
      <c r="AY206" s="86"/>
      <c r="AZ206" s="21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7"/>
      <c r="AR207" s="87"/>
      <c r="AS207" s="87"/>
      <c r="AT207" s="86"/>
      <c r="AU207" s="86"/>
      <c r="AV207" s="86"/>
      <c r="AW207" s="86"/>
      <c r="AX207" s="86"/>
      <c r="AY207" s="86"/>
      <c r="AZ207" s="21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7"/>
      <c r="AR208" s="87"/>
      <c r="AS208" s="87"/>
      <c r="AT208" s="86"/>
      <c r="AU208" s="86"/>
      <c r="AV208" s="86"/>
      <c r="AW208" s="86"/>
      <c r="AX208" s="86"/>
      <c r="AY208" s="86"/>
      <c r="AZ208" s="21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7"/>
      <c r="AR209" s="87"/>
      <c r="AS209" s="87"/>
      <c r="AT209" s="86"/>
      <c r="AU209" s="86"/>
      <c r="AV209" s="86"/>
      <c r="AW209" s="86"/>
      <c r="AX209" s="86"/>
      <c r="AY209" s="86"/>
      <c r="AZ209" s="21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7"/>
      <c r="AR210" s="87"/>
      <c r="AS210" s="87"/>
      <c r="AT210" s="86"/>
      <c r="AU210" s="86"/>
      <c r="AV210" s="86"/>
      <c r="AW210" s="86"/>
      <c r="AX210" s="86"/>
      <c r="AY210" s="86"/>
      <c r="AZ210" s="21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7"/>
      <c r="AR211" s="87"/>
      <c r="AS211" s="87"/>
      <c r="AT211" s="86"/>
      <c r="AU211" s="86"/>
      <c r="AV211" s="86"/>
      <c r="AW211" s="86"/>
      <c r="AX211" s="86"/>
      <c r="AY211" s="86"/>
      <c r="AZ211" s="21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7"/>
      <c r="AR212" s="87"/>
      <c r="AS212" s="87"/>
      <c r="AT212" s="86"/>
      <c r="AU212" s="86"/>
      <c r="AV212" s="86"/>
      <c r="AW212" s="86"/>
      <c r="AX212" s="86"/>
      <c r="AY212" s="86"/>
      <c r="AZ212" s="21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7"/>
      <c r="AR213" s="87"/>
      <c r="AS213" s="87"/>
      <c r="AT213" s="86"/>
      <c r="AU213" s="86"/>
      <c r="AV213" s="86"/>
      <c r="AW213" s="86"/>
      <c r="AX213" s="86"/>
      <c r="AY213" s="86"/>
      <c r="AZ213" s="21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7"/>
      <c r="AR214" s="87"/>
      <c r="AS214" s="87"/>
      <c r="AT214" s="86"/>
      <c r="AU214" s="86"/>
      <c r="AV214" s="86"/>
      <c r="AW214" s="86"/>
      <c r="AX214" s="86"/>
      <c r="AY214" s="86"/>
      <c r="AZ214" s="21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7"/>
      <c r="AR215" s="87"/>
      <c r="AS215" s="87"/>
      <c r="AT215" s="86"/>
      <c r="AU215" s="86"/>
      <c r="AV215" s="86"/>
      <c r="AW215" s="86"/>
      <c r="AX215" s="86"/>
      <c r="AY215" s="86"/>
      <c r="AZ215" s="21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7"/>
      <c r="AR216" s="87"/>
      <c r="AS216" s="87"/>
      <c r="AT216" s="86"/>
      <c r="AU216" s="86"/>
      <c r="AV216" s="86"/>
      <c r="AW216" s="86"/>
      <c r="AX216" s="86"/>
      <c r="AY216" s="86"/>
      <c r="AZ216" s="21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7"/>
      <c r="AR217" s="87"/>
      <c r="AS217" s="87"/>
      <c r="AT217" s="86"/>
      <c r="AU217" s="86"/>
      <c r="AV217" s="86"/>
      <c r="AW217" s="86"/>
      <c r="AX217" s="86"/>
      <c r="AY217" s="86"/>
      <c r="AZ217" s="21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7"/>
      <c r="AR218" s="87"/>
      <c r="AS218" s="87"/>
      <c r="AT218" s="86"/>
      <c r="AU218" s="86"/>
      <c r="AV218" s="86"/>
      <c r="AW218" s="86"/>
      <c r="AX218" s="86"/>
      <c r="AY218" s="86"/>
      <c r="AZ218" s="21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7"/>
      <c r="AR219" s="87"/>
      <c r="AS219" s="87"/>
      <c r="AT219" s="86"/>
      <c r="AU219" s="86"/>
      <c r="AV219" s="86"/>
      <c r="AW219" s="86"/>
      <c r="AX219" s="86"/>
      <c r="AY219" s="86"/>
      <c r="AZ219" s="21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7"/>
      <c r="AR220" s="87"/>
      <c r="AS220" s="87"/>
      <c r="AT220" s="86"/>
      <c r="AU220" s="86"/>
      <c r="AV220" s="86"/>
      <c r="AW220" s="86"/>
      <c r="AX220" s="86"/>
      <c r="AY220" s="86"/>
      <c r="AZ220" s="21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7"/>
      <c r="AR221" s="87"/>
      <c r="AS221" s="87"/>
      <c r="AT221" s="86"/>
      <c r="AU221" s="86"/>
      <c r="AV221" s="86"/>
      <c r="AW221" s="86"/>
      <c r="AX221" s="86"/>
      <c r="AY221" s="86"/>
      <c r="AZ221" s="21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7"/>
      <c r="AR222" s="87"/>
      <c r="AS222" s="87"/>
      <c r="AT222" s="86"/>
      <c r="AU222" s="86"/>
      <c r="AV222" s="86"/>
      <c r="AW222" s="86"/>
      <c r="AX222" s="86"/>
      <c r="AY222" s="86"/>
      <c r="AZ222" s="21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7"/>
      <c r="AR223" s="87"/>
      <c r="AS223" s="87"/>
      <c r="AT223" s="86"/>
      <c r="AU223" s="86"/>
      <c r="AV223" s="86"/>
      <c r="AW223" s="86"/>
      <c r="AX223" s="86"/>
      <c r="AY223" s="86"/>
      <c r="AZ223" s="21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7"/>
      <c r="AR224" s="87"/>
      <c r="AS224" s="87"/>
      <c r="AT224" s="86"/>
      <c r="AU224" s="86"/>
      <c r="AV224" s="86"/>
      <c r="AW224" s="86"/>
      <c r="AX224" s="86"/>
      <c r="AY224" s="86"/>
      <c r="AZ224" s="21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7"/>
      <c r="AR225" s="87"/>
      <c r="AS225" s="87"/>
      <c r="AT225" s="86"/>
      <c r="AU225" s="86"/>
      <c r="AV225" s="86"/>
      <c r="AW225" s="86"/>
      <c r="AX225" s="86"/>
      <c r="AY225" s="86"/>
      <c r="AZ225" s="21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7"/>
      <c r="AR226" s="87"/>
      <c r="AS226" s="87"/>
      <c r="AT226" s="86"/>
      <c r="AU226" s="86"/>
      <c r="AV226" s="86"/>
      <c r="AW226" s="86"/>
      <c r="AX226" s="86"/>
      <c r="AY226" s="86"/>
      <c r="AZ226" s="21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7"/>
      <c r="AR227" s="87"/>
      <c r="AS227" s="87"/>
      <c r="AT227" s="86"/>
      <c r="AU227" s="86"/>
      <c r="AV227" s="86"/>
      <c r="AW227" s="86"/>
      <c r="AX227" s="86"/>
      <c r="AY227" s="86"/>
      <c r="AZ227" s="21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7"/>
      <c r="AR228" s="87"/>
      <c r="AS228" s="87"/>
      <c r="AT228" s="86"/>
      <c r="AU228" s="86"/>
      <c r="AV228" s="86"/>
      <c r="AW228" s="86"/>
      <c r="AX228" s="86"/>
      <c r="AY228" s="86"/>
      <c r="AZ228" s="21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7"/>
      <c r="AR229" s="87"/>
      <c r="AS229" s="87"/>
      <c r="AT229" s="86"/>
      <c r="AU229" s="86"/>
      <c r="AV229" s="86"/>
      <c r="AW229" s="86"/>
      <c r="AX229" s="86"/>
      <c r="AY229" s="86"/>
      <c r="AZ229" s="21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7"/>
      <c r="AR230" s="87"/>
      <c r="AS230" s="87"/>
      <c r="AT230" s="86"/>
      <c r="AU230" s="86"/>
      <c r="AV230" s="86"/>
      <c r="AW230" s="86"/>
      <c r="AX230" s="86"/>
      <c r="AY230" s="86"/>
      <c r="AZ230" s="21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7"/>
      <c r="AR231" s="87"/>
      <c r="AS231" s="87"/>
      <c r="AT231" s="86"/>
      <c r="AU231" s="86"/>
      <c r="AV231" s="86"/>
      <c r="AW231" s="86"/>
      <c r="AX231" s="86"/>
      <c r="AY231" s="86"/>
      <c r="AZ231" s="21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7"/>
      <c r="AR232" s="87"/>
      <c r="AS232" s="87"/>
      <c r="AT232" s="86"/>
      <c r="AU232" s="86"/>
      <c r="AV232" s="86"/>
      <c r="AW232" s="86"/>
      <c r="AX232" s="86"/>
      <c r="AY232" s="86"/>
      <c r="AZ232" s="21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7"/>
      <c r="AR233" s="87"/>
      <c r="AS233" s="87"/>
      <c r="AT233" s="86"/>
      <c r="AU233" s="86"/>
      <c r="AV233" s="86"/>
      <c r="AW233" s="86"/>
      <c r="AX233" s="86"/>
      <c r="AY233" s="86"/>
      <c r="AZ233" s="21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7"/>
      <c r="AR234" s="87"/>
      <c r="AS234" s="87"/>
      <c r="AT234" s="86"/>
      <c r="AU234" s="86"/>
      <c r="AV234" s="86"/>
      <c r="AW234" s="86"/>
      <c r="AX234" s="86"/>
      <c r="AY234" s="86"/>
      <c r="AZ234" s="21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7"/>
      <c r="AR235" s="87"/>
      <c r="AS235" s="87"/>
      <c r="AT235" s="86"/>
      <c r="AU235" s="86"/>
      <c r="AV235" s="86"/>
      <c r="AW235" s="86"/>
      <c r="AX235" s="86"/>
      <c r="AY235" s="86"/>
      <c r="AZ235" s="21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27" t="s">
        <v>35</v>
      </c>
      <c r="G744" s="127"/>
      <c r="H744" s="127"/>
      <c r="I744" s="127"/>
      <c r="J744" s="127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27" t="s">
        <v>28</v>
      </c>
      <c r="AA744" s="127"/>
      <c r="AB744" s="127"/>
      <c r="AC744" s="127"/>
      <c r="AD744" s="127"/>
      <c r="AI744" s="127" t="s">
        <v>29</v>
      </c>
      <c r="AJ744" s="127"/>
      <c r="AK744" s="127"/>
      <c r="AL744" s="127"/>
      <c r="AM744" s="127"/>
      <c r="AT744" s="127" t="s">
        <v>43</v>
      </c>
      <c r="AU744" s="127"/>
      <c r="AV744" s="127"/>
      <c r="AW744" s="127"/>
      <c r="AX744" s="127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0</v>
      </c>
      <c r="G746">
        <f>SUM(G5:G740)</f>
        <v>0</v>
      </c>
      <c r="H746">
        <f>SUM(H5:H740)</f>
        <v>0</v>
      </c>
      <c r="I746">
        <f>SUM(I5:I740)</f>
        <v>0</v>
      </c>
      <c r="J746">
        <f>SUM(J5:J740)</f>
        <v>0</v>
      </c>
      <c r="N746" s="3"/>
      <c r="O746" s="3"/>
      <c r="P746" s="3"/>
      <c r="Q746">
        <f>SUM(Q5:Q740)</f>
        <v>25</v>
      </c>
      <c r="R746">
        <f>SUM(R5:R740)</f>
        <v>22</v>
      </c>
      <c r="S746">
        <f>SUM(S5:S740)</f>
        <v>23</v>
      </c>
      <c r="T746">
        <f>SUM(T5:T740)</f>
        <v>22</v>
      </c>
      <c r="U746">
        <f>SUM(U5:U740)</f>
        <v>25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506</v>
      </c>
      <c r="AU746">
        <f>SUM(AU5:AU740)</f>
        <v>505</v>
      </c>
      <c r="AV746">
        <f>SUM(AV5:AV740)</f>
        <v>491</v>
      </c>
      <c r="AW746">
        <f>SUM(AW5:AW740)</f>
        <v>489</v>
      </c>
      <c r="AX746">
        <f>SUM(AX5:AX740)</f>
        <v>495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0</v>
      </c>
      <c r="G748" s="61">
        <f>AVERAGE(G5:G740)</f>
        <v>0</v>
      </c>
      <c r="H748" s="61">
        <f>AVERAGE(H5:H740)</f>
        <v>0</v>
      </c>
      <c r="I748" s="61">
        <f>AVERAGE(I5:I740)</f>
        <v>0</v>
      </c>
      <c r="J748" s="61">
        <f>AVERAGE(J5:J740)</f>
        <v>0</v>
      </c>
      <c r="K748" s="61"/>
      <c r="N748" s="3"/>
      <c r="O748" s="3"/>
      <c r="P748" s="3"/>
      <c r="Q748" s="61">
        <f>AVERAGE(Q5:Q740)</f>
        <v>5</v>
      </c>
      <c r="R748" s="61">
        <f>AVERAGE(R5:R740)</f>
        <v>4.4000000000000004</v>
      </c>
      <c r="S748" s="61">
        <f>AVERAGE(S5:S740)</f>
        <v>4.5999999999999996</v>
      </c>
      <c r="T748" s="61">
        <f>AVERAGE(T5:T740)</f>
        <v>4.4000000000000004</v>
      </c>
      <c r="U748" s="61">
        <f>AVERAGE(U5:U740)</f>
        <v>5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4.9607843137254903</v>
      </c>
      <c r="AU748">
        <f>AVERAGE(AU5:AU740)</f>
        <v>4.9509803921568629</v>
      </c>
      <c r="AV748" s="61">
        <f>AVERAGE(AV5:AV740)</f>
        <v>4.8137254901960782</v>
      </c>
      <c r="AW748" s="61">
        <f>AVERAGE(AW5:AW740)</f>
        <v>4.7941176470588234</v>
      </c>
      <c r="AX748">
        <f>AVERAGE(AX5:AX740)</f>
        <v>4.8529411764705879</v>
      </c>
    </row>
    <row r="749" spans="3:57" x14ac:dyDescent="0.3">
      <c r="F749" s="23">
        <f>F748/5</f>
        <v>0</v>
      </c>
      <c r="G749" s="23">
        <f>G748/5</f>
        <v>0</v>
      </c>
      <c r="H749" s="23">
        <f>H748/5</f>
        <v>0</v>
      </c>
      <c r="I749" s="23">
        <f>I748/5</f>
        <v>0</v>
      </c>
      <c r="J749" s="23">
        <f>J748/5</f>
        <v>0</v>
      </c>
      <c r="N749" s="3"/>
      <c r="O749" s="3"/>
      <c r="P749" s="3"/>
      <c r="Q749" s="23">
        <f>Q748/5</f>
        <v>1</v>
      </c>
      <c r="R749" s="23">
        <f>R748/5</f>
        <v>0.88000000000000012</v>
      </c>
      <c r="S749" s="23">
        <f>S748/5</f>
        <v>0.91999999999999993</v>
      </c>
      <c r="T749" s="23">
        <f>T748/5</f>
        <v>0.88000000000000012</v>
      </c>
      <c r="U749" s="23">
        <f>U748/5</f>
        <v>1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0.99215686274509807</v>
      </c>
      <c r="AU749" s="90">
        <f>AU748/5</f>
        <v>0.99019607843137258</v>
      </c>
      <c r="AV749" s="90">
        <f>AV748/5</f>
        <v>0.9627450980392156</v>
      </c>
      <c r="AW749" s="90">
        <f>AW748/5</f>
        <v>0.95882352941176463</v>
      </c>
      <c r="AX749" s="90">
        <f>AX748/5</f>
        <v>0.97058823529411753</v>
      </c>
    </row>
    <row r="750" spans="3:57" x14ac:dyDescent="0.3">
      <c r="F750">
        <f>SUMIF($F$5:$F$744,5)</f>
        <v>0</v>
      </c>
      <c r="G750">
        <f>SUMIF($G$5:$G$744,5)</f>
        <v>0</v>
      </c>
      <c r="H750">
        <f>SUMIF($H$5:$H$744,5)</f>
        <v>0</v>
      </c>
      <c r="I750">
        <f>SUMIF($I$5:$I$744,5)</f>
        <v>0</v>
      </c>
      <c r="J750">
        <f>SUMIF($J$5:$J$744,5)</f>
        <v>0</v>
      </c>
      <c r="N750" s="3"/>
      <c r="O750" s="3"/>
      <c r="P750" s="3"/>
      <c r="Q750">
        <f>SUMIF($Q$5:$Q$740,5)</f>
        <v>25</v>
      </c>
      <c r="R750">
        <f>SUMIF($R$5:$R$740,5)</f>
        <v>15</v>
      </c>
      <c r="S750">
        <f>SUMIF($S$5:$S$740,5)</f>
        <v>15</v>
      </c>
      <c r="T750">
        <f>SUMIF($T$5:$T$740,5)</f>
        <v>15</v>
      </c>
      <c r="U750">
        <f>SUMIF($U$5:$U$740,5)</f>
        <v>25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490</v>
      </c>
      <c r="AU750">
        <f>SUMIF($AU$5:$AU$740,5)</f>
        <v>485</v>
      </c>
      <c r="AV750">
        <f>SUMIF($AV$5:$AV$740,5)</f>
        <v>425</v>
      </c>
      <c r="AW750">
        <f>SUMIF($AW$5:$AW$740,5)</f>
        <v>420</v>
      </c>
      <c r="AX750">
        <f>SUMIF($AX$5:$AX$740,5)</f>
        <v>440</v>
      </c>
      <c r="BA750">
        <f t="shared" ref="BA750:BE754" si="0">F750+Q750+Z750+AI750+AT750</f>
        <v>515</v>
      </c>
      <c r="BB750">
        <f t="shared" si="0"/>
        <v>500</v>
      </c>
      <c r="BC750">
        <f t="shared" si="0"/>
        <v>440</v>
      </c>
      <c r="BD750">
        <f t="shared" si="0"/>
        <v>435</v>
      </c>
      <c r="BE750">
        <f t="shared" si="0"/>
        <v>465</v>
      </c>
    </row>
    <row r="751" spans="3:57" x14ac:dyDescent="0.3">
      <c r="F751">
        <f>SUMIF($F$5:$F$744,4)</f>
        <v>0</v>
      </c>
      <c r="G751">
        <f>SUMIF($G$5:$G$744,4)</f>
        <v>0</v>
      </c>
      <c r="H751">
        <f>SUMIF($H$5:$H$744,4)</f>
        <v>0</v>
      </c>
      <c r="I751">
        <f>SUMIF($I$5:$I$744,4)</f>
        <v>0</v>
      </c>
      <c r="J751">
        <f>SUMIF($J$5:$J$744,4)</f>
        <v>0</v>
      </c>
      <c r="N751" s="3"/>
      <c r="O751" s="3"/>
      <c r="P751" s="3"/>
      <c r="Q751">
        <f>SUMIF($Q$5:$Q$740,4)</f>
        <v>0</v>
      </c>
      <c r="R751">
        <f>SUMIF($R$5:$R$740,4)</f>
        <v>4</v>
      </c>
      <c r="S751">
        <f>SUMIF($S$5:$S$740,4)</f>
        <v>8</v>
      </c>
      <c r="T751">
        <f>SUMIF($T$5:$T$740,4)</f>
        <v>4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16</v>
      </c>
      <c r="AU751">
        <f>SUMIF($AU$5:$AU$740,4)</f>
        <v>20</v>
      </c>
      <c r="AV751">
        <f>SUMIF($AV$5:$AV$740,4)</f>
        <v>64</v>
      </c>
      <c r="AW751">
        <f>SUMIF($AW$5:$AW$740,4)</f>
        <v>64</v>
      </c>
      <c r="AX751">
        <f>SUMIF($AX$5:$AX$740,4)</f>
        <v>52</v>
      </c>
      <c r="BA751">
        <f t="shared" si="0"/>
        <v>16</v>
      </c>
      <c r="BB751">
        <f t="shared" si="0"/>
        <v>24</v>
      </c>
      <c r="BC751">
        <f t="shared" si="0"/>
        <v>72</v>
      </c>
      <c r="BD751">
        <f t="shared" si="0"/>
        <v>68</v>
      </c>
      <c r="BE751">
        <f t="shared" si="0"/>
        <v>52</v>
      </c>
    </row>
    <row r="752" spans="3:57" x14ac:dyDescent="0.3">
      <c r="F752">
        <f>SUMIF($F$5:$F$744,3)</f>
        <v>0</v>
      </c>
      <c r="G752">
        <f>SUMIF($G$5:$G$744,3)</f>
        <v>0</v>
      </c>
      <c r="H752">
        <f>SUMIF($H$5:$H$744,3)</f>
        <v>0</v>
      </c>
      <c r="I752">
        <f>SUMIF($I$5:$I$744,3)</f>
        <v>0</v>
      </c>
      <c r="J752">
        <f>SUMIF($J$5:$J$744,3)</f>
        <v>0</v>
      </c>
      <c r="N752" s="3"/>
      <c r="O752" s="3"/>
      <c r="P752" s="3"/>
      <c r="Q752">
        <f>SUMIF($Q$5:$Q$740,3)</f>
        <v>0</v>
      </c>
      <c r="R752">
        <f>SUMIF($R$5:$R$740,3)</f>
        <v>3</v>
      </c>
      <c r="S752">
        <f>SUMIF($S$5:$S$740,3)</f>
        <v>0</v>
      </c>
      <c r="T752">
        <f>SUMIF($T$5:$T$740,3)</f>
        <v>3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3</v>
      </c>
      <c r="AX752">
        <f>SUMIF($AX$5:$AX$740,3)</f>
        <v>3</v>
      </c>
      <c r="BA752">
        <f t="shared" si="0"/>
        <v>0</v>
      </c>
      <c r="BB752">
        <f t="shared" si="0"/>
        <v>3</v>
      </c>
      <c r="BC752">
        <f t="shared" si="0"/>
        <v>0</v>
      </c>
      <c r="BD752">
        <f t="shared" si="0"/>
        <v>6</v>
      </c>
      <c r="BE752">
        <f t="shared" si="0"/>
        <v>3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0</v>
      </c>
      <c r="J753">
        <f>SUMIF($J$5:$J$744,2)</f>
        <v>0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2</v>
      </c>
      <c r="AW753">
        <f>SUMIF($AW$5:$AW$740,2)</f>
        <v>2</v>
      </c>
      <c r="AX753">
        <f>SUMIF($AX$5:$AX$740,2)</f>
        <v>0</v>
      </c>
      <c r="BA753">
        <f t="shared" si="0"/>
        <v>0</v>
      </c>
      <c r="BB753">
        <f t="shared" si="0"/>
        <v>0</v>
      </c>
      <c r="BC753">
        <f t="shared" si="0"/>
        <v>2</v>
      </c>
      <c r="BD753">
        <f t="shared" si="0"/>
        <v>2</v>
      </c>
      <c r="BE753">
        <f t="shared" si="0"/>
        <v>0</v>
      </c>
    </row>
    <row r="754" spans="6:57" x14ac:dyDescent="0.3">
      <c r="F754">
        <f>SUMIF($F$5:$F$744,1)</f>
        <v>0</v>
      </c>
      <c r="G754">
        <f>SUMIF($G$5:$G$744,1)</f>
        <v>0</v>
      </c>
      <c r="H754">
        <f>SUMIF($H$5:$H$744,1)</f>
        <v>0</v>
      </c>
      <c r="I754">
        <f>SUMIF($I$5:$I$744,1)</f>
        <v>0</v>
      </c>
      <c r="J754">
        <f>SUMIF($J$5:$J$744,1)</f>
        <v>0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0</v>
      </c>
      <c r="BC754">
        <f t="shared" si="0"/>
        <v>0</v>
      </c>
      <c r="BD754">
        <f t="shared" si="0"/>
        <v>0</v>
      </c>
      <c r="BE754">
        <f t="shared" si="0"/>
        <v>0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0</v>
      </c>
      <c r="G756">
        <f>G750/5</f>
        <v>0</v>
      </c>
      <c r="H756">
        <f>H750/5</f>
        <v>0</v>
      </c>
      <c r="I756">
        <f>I750/5</f>
        <v>0</v>
      </c>
      <c r="J756">
        <f>J750/5</f>
        <v>0</v>
      </c>
      <c r="N756" s="3"/>
      <c r="O756" s="3"/>
      <c r="P756" s="3"/>
      <c r="Q756">
        <f>Q750/5</f>
        <v>5</v>
      </c>
      <c r="R756">
        <f>R750/5</f>
        <v>3</v>
      </c>
      <c r="S756">
        <f>S750/5</f>
        <v>3</v>
      </c>
      <c r="T756">
        <f>T750/5</f>
        <v>3</v>
      </c>
      <c r="U756">
        <f>U750/5</f>
        <v>5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98</v>
      </c>
      <c r="AU756">
        <f>AU750/5</f>
        <v>97</v>
      </c>
      <c r="AV756">
        <f>AV750/5</f>
        <v>85</v>
      </c>
      <c r="AW756">
        <f>AW750/5</f>
        <v>84</v>
      </c>
      <c r="AX756">
        <f>AX750/5</f>
        <v>88</v>
      </c>
      <c r="AZ756" t="s">
        <v>16</v>
      </c>
      <c r="BA756">
        <f>BA750/5</f>
        <v>103</v>
      </c>
      <c r="BB756">
        <f>BB750/5</f>
        <v>100</v>
      </c>
      <c r="BC756">
        <f>BC750/5</f>
        <v>88</v>
      </c>
      <c r="BD756">
        <f>BD750/5</f>
        <v>87</v>
      </c>
      <c r="BE756">
        <f>BE750/5</f>
        <v>93</v>
      </c>
    </row>
    <row r="757" spans="6:57" x14ac:dyDescent="0.3">
      <c r="F757">
        <f>F751/4</f>
        <v>0</v>
      </c>
      <c r="G757">
        <f>G751/4</f>
        <v>0</v>
      </c>
      <c r="H757">
        <f>H751/4</f>
        <v>0</v>
      </c>
      <c r="I757">
        <f>I751/4</f>
        <v>0</v>
      </c>
      <c r="J757">
        <f>J751/4</f>
        <v>0</v>
      </c>
      <c r="N757" s="3"/>
      <c r="O757" s="3"/>
      <c r="P757" s="3"/>
      <c r="Q757">
        <f>Q751/4</f>
        <v>0</v>
      </c>
      <c r="R757">
        <f>R751/4</f>
        <v>1</v>
      </c>
      <c r="S757">
        <f>S751/4</f>
        <v>2</v>
      </c>
      <c r="T757">
        <f>T751/4</f>
        <v>1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4</v>
      </c>
      <c r="AU757">
        <f>AU751/4</f>
        <v>5</v>
      </c>
      <c r="AV757">
        <f>AV751/4</f>
        <v>16</v>
      </c>
      <c r="AW757">
        <f>AW751/4</f>
        <v>16</v>
      </c>
      <c r="AX757">
        <f>AX751/4</f>
        <v>13</v>
      </c>
      <c r="AZ757" t="s">
        <v>17</v>
      </c>
      <c r="BA757">
        <f>BA751/4</f>
        <v>4</v>
      </c>
      <c r="BB757">
        <f>BB751/4</f>
        <v>6</v>
      </c>
      <c r="BC757">
        <f>BC751/4</f>
        <v>18</v>
      </c>
      <c r="BD757">
        <f>BD751/4</f>
        <v>17</v>
      </c>
      <c r="BE757">
        <f>BE751/4</f>
        <v>13</v>
      </c>
    </row>
    <row r="758" spans="6:57" x14ac:dyDescent="0.3">
      <c r="F758">
        <f>F752/3</f>
        <v>0</v>
      </c>
      <c r="G758">
        <f>G752/3</f>
        <v>0</v>
      </c>
      <c r="H758">
        <f>H752/3</f>
        <v>0</v>
      </c>
      <c r="I758">
        <f>I752/3</f>
        <v>0</v>
      </c>
      <c r="J758">
        <f>J752/3</f>
        <v>0</v>
      </c>
      <c r="N758" s="3"/>
      <c r="O758" s="3"/>
      <c r="P758" s="3"/>
      <c r="Q758">
        <f>Q752/3</f>
        <v>0</v>
      </c>
      <c r="R758">
        <f>R752/3</f>
        <v>1</v>
      </c>
      <c r="S758">
        <f>S752/3</f>
        <v>0</v>
      </c>
      <c r="T758">
        <f>T752/3</f>
        <v>1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1</v>
      </c>
      <c r="AX758">
        <f>AX752/3</f>
        <v>1</v>
      </c>
      <c r="AZ758" t="s">
        <v>18</v>
      </c>
      <c r="BA758">
        <f>BA752/3</f>
        <v>0</v>
      </c>
      <c r="BB758">
        <f>BB752/3</f>
        <v>1</v>
      </c>
      <c r="BC758">
        <f>BC752/3</f>
        <v>0</v>
      </c>
      <c r="BD758">
        <f>BD752/3</f>
        <v>2</v>
      </c>
      <c r="BE758">
        <f>BE752/3</f>
        <v>1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0</v>
      </c>
      <c r="J759">
        <f>J753/2</f>
        <v>0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1</v>
      </c>
      <c r="AW759">
        <f>AW753/2</f>
        <v>1</v>
      </c>
      <c r="AX759">
        <f>AX753/2</f>
        <v>0</v>
      </c>
      <c r="AZ759" t="s">
        <v>19</v>
      </c>
      <c r="BA759">
        <f>BA753/2</f>
        <v>0</v>
      </c>
      <c r="BB759">
        <f>BB753/2</f>
        <v>0</v>
      </c>
      <c r="BC759">
        <f>BC753/2</f>
        <v>1</v>
      </c>
      <c r="BD759">
        <f>BD753/2</f>
        <v>1</v>
      </c>
      <c r="BE759">
        <f>BE753/2</f>
        <v>0</v>
      </c>
    </row>
    <row r="760" spans="6:57" x14ac:dyDescent="0.3">
      <c r="F760">
        <f>F754/1</f>
        <v>0</v>
      </c>
      <c r="G760">
        <f>G754/1</f>
        <v>0</v>
      </c>
      <c r="H760">
        <f>H754/1</f>
        <v>0</v>
      </c>
      <c r="I760">
        <f>I754/1</f>
        <v>0</v>
      </c>
      <c r="J760">
        <f>J754/1</f>
        <v>0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0</v>
      </c>
      <c r="BC760">
        <f>BC754/1</f>
        <v>0</v>
      </c>
      <c r="BD760">
        <f>BD754/1</f>
        <v>0</v>
      </c>
      <c r="BE760">
        <f>BE754/1</f>
        <v>0</v>
      </c>
    </row>
    <row r="761" spans="6:57" x14ac:dyDescent="0.3">
      <c r="F761">
        <f>SUM(F756:F760)</f>
        <v>0</v>
      </c>
      <c r="G761">
        <f>SUM(G756:G760)</f>
        <v>0</v>
      </c>
      <c r="H761">
        <f>SUM(H756:H760)</f>
        <v>0</v>
      </c>
      <c r="I761">
        <f>SUM(I756:I760)</f>
        <v>0</v>
      </c>
      <c r="J761">
        <f>SUM(J756:J760)</f>
        <v>0</v>
      </c>
      <c r="N761" s="3"/>
      <c r="O761" s="3"/>
      <c r="P761" s="3"/>
      <c r="Q761">
        <f>SUM(Q756:Q760)</f>
        <v>5</v>
      </c>
      <c r="R761">
        <f>SUM(R756:R760)</f>
        <v>5</v>
      </c>
      <c r="S761">
        <f>SUM(S756:S760)</f>
        <v>5</v>
      </c>
      <c r="T761">
        <f>SUM(T756:T760)</f>
        <v>5</v>
      </c>
      <c r="U761">
        <f>SUM(U756:U760)</f>
        <v>5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102</v>
      </c>
      <c r="AU761">
        <f>SUM(AU756:AU760)</f>
        <v>102</v>
      </c>
      <c r="AV761">
        <f>SUM(AV756:AV760)</f>
        <v>102</v>
      </c>
      <c r="AW761">
        <f>SUM(AW756:AW760)</f>
        <v>102</v>
      </c>
      <c r="AX761">
        <f>SUM(AX756:AX760)</f>
        <v>102</v>
      </c>
      <c r="BA761">
        <f>SUM(BA756:BA760)</f>
        <v>107</v>
      </c>
      <c r="BB761">
        <f>SUM(BB756:BB760)</f>
        <v>107</v>
      </c>
      <c r="BC761">
        <f>SUM(BC756:BC760)</f>
        <v>107</v>
      </c>
      <c r="BD761">
        <f>SUM(BD756:BD760)</f>
        <v>107</v>
      </c>
      <c r="BE761">
        <f>SUM(BE756:BE760)</f>
        <v>107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0.96261682242990654</v>
      </c>
      <c r="BB764" s="23">
        <f>BB756/$BB$761</f>
        <v>0.93457943925233644</v>
      </c>
      <c r="BC764" s="23">
        <f>BC756/$BC$761</f>
        <v>0.82242990654205606</v>
      </c>
      <c r="BD764" s="23">
        <f>BD756/$BD$761</f>
        <v>0.81308411214953269</v>
      </c>
      <c r="BE764" s="23">
        <f>BE756/$BE$761</f>
        <v>0.86915887850467288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3.7383177570093455E-2</v>
      </c>
      <c r="BB765" s="23">
        <f>BB757/$BB$761</f>
        <v>5.6074766355140186E-2</v>
      </c>
      <c r="BC765" s="23">
        <f>BC757/$BC$761</f>
        <v>0.16822429906542055</v>
      </c>
      <c r="BD765" s="23">
        <f>BD757/$BD$761</f>
        <v>0.15887850467289719</v>
      </c>
      <c r="BE765" s="23">
        <f>BE757/$BE$761</f>
        <v>0.12149532710280374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9.3457943925233638E-3</v>
      </c>
      <c r="BC766" s="23">
        <f>BC758/$BC$761</f>
        <v>0</v>
      </c>
      <c r="BD766" s="23">
        <f>BD758/$BD$761</f>
        <v>1.8691588785046728E-2</v>
      </c>
      <c r="BE766" s="23">
        <f>BE758/$BE$761</f>
        <v>9.3457943925233638E-3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9.3457943925233638E-3</v>
      </c>
      <c r="BD767" s="23">
        <f>BD759/$BD$761</f>
        <v>9.3457943925233638E-3</v>
      </c>
      <c r="BE767" s="23">
        <f>BE759/$BE$761</f>
        <v>0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0</v>
      </c>
      <c r="BC768" s="23">
        <f>BC760/$BC$761</f>
        <v>0</v>
      </c>
      <c r="BD768" s="23">
        <f>BD760/$BD$761</f>
        <v>0</v>
      </c>
      <c r="BE768" s="23">
        <f>BE760/$BE$761</f>
        <v>0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110" zoomScaleNormal="110" workbookViewId="0">
      <selection activeCell="F38" sqref="F38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8" t="s">
        <v>8</v>
      </c>
      <c r="C1" s="128"/>
      <c r="D1" s="128"/>
      <c r="E1" s="128"/>
      <c r="F1" s="128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203</v>
      </c>
    </row>
    <row r="4" spans="1:7" x14ac:dyDescent="0.25">
      <c r="B4" s="20" t="s">
        <v>15</v>
      </c>
      <c r="C4" s="20"/>
      <c r="E4" s="26" t="s">
        <v>10</v>
      </c>
      <c r="F4" s="94">
        <v>45383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5" t="s">
        <v>11</v>
      </c>
      <c r="C7" s="135" t="s">
        <v>12</v>
      </c>
      <c r="D7" s="129" t="s">
        <v>27</v>
      </c>
      <c r="E7" s="131" t="s">
        <v>13</v>
      </c>
      <c r="F7" s="133" t="s">
        <v>7</v>
      </c>
    </row>
    <row r="8" spans="1:7" s="17" customFormat="1" ht="18.75" customHeight="1" thickBot="1" x14ac:dyDescent="0.35">
      <c r="B8" s="135"/>
      <c r="C8" s="135"/>
      <c r="D8" s="130"/>
      <c r="E8" s="132"/>
      <c r="F8" s="134"/>
    </row>
    <row r="9" spans="1:7" s="17" customFormat="1" ht="20.25" customHeight="1" x14ac:dyDescent="0.3">
      <c r="B9" s="135"/>
      <c r="C9" s="135"/>
      <c r="D9" s="130"/>
      <c r="E9" s="132"/>
      <c r="F9" s="134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66</v>
      </c>
      <c r="C11" s="32" t="s">
        <v>14</v>
      </c>
      <c r="D11" s="51">
        <v>0.9</v>
      </c>
      <c r="E11" s="52">
        <v>1</v>
      </c>
      <c r="F11" s="99">
        <f>ANEXO!F749</f>
        <v>0</v>
      </c>
    </row>
    <row r="12" spans="1:7" s="11" customFormat="1" ht="13.8" x14ac:dyDescent="0.3">
      <c r="B12" s="33" t="s">
        <v>67</v>
      </c>
      <c r="C12" s="27" t="s">
        <v>14</v>
      </c>
      <c r="D12" s="53">
        <v>0.9</v>
      </c>
      <c r="E12" s="54">
        <v>1</v>
      </c>
      <c r="F12" s="102">
        <f>ANEXO!G749</f>
        <v>0</v>
      </c>
    </row>
    <row r="13" spans="1:7" s="11" customFormat="1" ht="13.8" x14ac:dyDescent="0.3">
      <c r="B13" s="33" t="s">
        <v>68</v>
      </c>
      <c r="C13" s="27" t="s">
        <v>14</v>
      </c>
      <c r="D13" s="53">
        <v>0.9</v>
      </c>
      <c r="E13" s="54">
        <v>1</v>
      </c>
      <c r="F13" s="102">
        <f>ANEXO!H749</f>
        <v>0</v>
      </c>
    </row>
    <row r="14" spans="1:7" s="11" customFormat="1" ht="13.8" x14ac:dyDescent="0.3">
      <c r="B14" s="33" t="s">
        <v>69</v>
      </c>
      <c r="C14" s="27" t="s">
        <v>14</v>
      </c>
      <c r="D14" s="53">
        <v>0.9</v>
      </c>
      <c r="E14" s="54">
        <v>1</v>
      </c>
      <c r="F14" s="102">
        <f>ANEXO!I749</f>
        <v>0</v>
      </c>
      <c r="G14" s="17"/>
    </row>
    <row r="15" spans="1:7" s="11" customFormat="1" ht="14.4" thickBot="1" x14ac:dyDescent="0.35">
      <c r="B15" s="67" t="s">
        <v>70</v>
      </c>
      <c r="C15" s="68" t="s">
        <v>14</v>
      </c>
      <c r="D15" s="69">
        <v>0.9</v>
      </c>
      <c r="E15" s="70">
        <v>1</v>
      </c>
      <c r="F15" s="100">
        <f>ANEXO!J749</f>
        <v>0</v>
      </c>
      <c r="G15" s="17"/>
    </row>
    <row r="16" spans="1:7" s="11" customFormat="1" ht="13.8" x14ac:dyDescent="0.3">
      <c r="B16" s="34" t="s">
        <v>56</v>
      </c>
      <c r="C16" s="35" t="s">
        <v>14</v>
      </c>
      <c r="D16" s="71">
        <v>0.9</v>
      </c>
      <c r="E16" s="72">
        <v>1</v>
      </c>
      <c r="F16" s="103">
        <f>ANEXO!Q$749</f>
        <v>1</v>
      </c>
    </row>
    <row r="17" spans="2:6" s="11" customFormat="1" ht="13.8" x14ac:dyDescent="0.3">
      <c r="B17" s="36" t="s">
        <v>57</v>
      </c>
      <c r="C17" s="28" t="s">
        <v>14</v>
      </c>
      <c r="D17" s="49">
        <v>0.9</v>
      </c>
      <c r="E17" s="50">
        <v>1</v>
      </c>
      <c r="F17" s="104">
        <f>ANEXO!R749</f>
        <v>0.88000000000000012</v>
      </c>
    </row>
    <row r="18" spans="2:6" s="11" customFormat="1" ht="13.8" x14ac:dyDescent="0.3">
      <c r="B18" s="36" t="s">
        <v>58</v>
      </c>
      <c r="C18" s="28" t="s">
        <v>14</v>
      </c>
      <c r="D18" s="49">
        <v>0.9</v>
      </c>
      <c r="E18" s="50">
        <v>1</v>
      </c>
      <c r="F18" s="104">
        <f>ANEXO!S749</f>
        <v>0.91999999999999993</v>
      </c>
    </row>
    <row r="19" spans="2:6" s="11" customFormat="1" ht="13.8" x14ac:dyDescent="0.3">
      <c r="B19" s="36" t="s">
        <v>59</v>
      </c>
      <c r="C19" s="28" t="s">
        <v>14</v>
      </c>
      <c r="D19" s="49">
        <v>0.9</v>
      </c>
      <c r="E19" s="50">
        <v>1</v>
      </c>
      <c r="F19" s="104">
        <f>ANEXO!T749</f>
        <v>0.88000000000000012</v>
      </c>
    </row>
    <row r="20" spans="2:6" s="11" customFormat="1" ht="14.4" thickBot="1" x14ac:dyDescent="0.35">
      <c r="B20" s="37" t="s">
        <v>60</v>
      </c>
      <c r="C20" s="38" t="s">
        <v>14</v>
      </c>
      <c r="D20" s="73">
        <v>0.9</v>
      </c>
      <c r="E20" s="74">
        <v>1</v>
      </c>
      <c r="F20" s="105">
        <f>ANEXO!U749</f>
        <v>1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4.4" hidden="1" thickBot="1" x14ac:dyDescent="0.35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61</v>
      </c>
      <c r="C26" s="45" t="s">
        <v>14</v>
      </c>
      <c r="D26" s="57">
        <v>0.9</v>
      </c>
      <c r="E26" s="58">
        <v>1</v>
      </c>
      <c r="F26" s="108">
        <f>ANEXO!AT749</f>
        <v>0.99215686274509807</v>
      </c>
    </row>
    <row r="27" spans="2:6" s="11" customFormat="1" ht="13.8" x14ac:dyDescent="0.3">
      <c r="B27" s="46" t="s">
        <v>62</v>
      </c>
      <c r="C27" s="30" t="s">
        <v>14</v>
      </c>
      <c r="D27" s="57">
        <v>0.9</v>
      </c>
      <c r="E27" s="58">
        <v>1</v>
      </c>
      <c r="F27" s="108">
        <f>ANEXO!AU749</f>
        <v>0.99019607843137258</v>
      </c>
    </row>
    <row r="28" spans="2:6" s="11" customFormat="1" ht="13.8" x14ac:dyDescent="0.3">
      <c r="B28" s="46" t="s">
        <v>63</v>
      </c>
      <c r="C28" s="30" t="s">
        <v>14</v>
      </c>
      <c r="D28" s="57">
        <v>0.9</v>
      </c>
      <c r="E28" s="58">
        <v>1</v>
      </c>
      <c r="F28" s="108">
        <f>ANEXO!AV749</f>
        <v>0.9627450980392156</v>
      </c>
    </row>
    <row r="29" spans="2:6" s="11" customFormat="1" ht="13.8" x14ac:dyDescent="0.3">
      <c r="B29" s="46" t="s">
        <v>64</v>
      </c>
      <c r="C29" s="30" t="s">
        <v>14</v>
      </c>
      <c r="D29" s="57">
        <v>0.9</v>
      </c>
      <c r="E29" s="58">
        <v>1</v>
      </c>
      <c r="F29" s="108">
        <f>ANEXO!AW749</f>
        <v>0.95882352941176463</v>
      </c>
    </row>
    <row r="30" spans="2:6" s="11" customFormat="1" ht="14.4" thickBot="1" x14ac:dyDescent="0.35">
      <c r="B30" s="47" t="s">
        <v>65</v>
      </c>
      <c r="C30" s="48" t="s">
        <v>14</v>
      </c>
      <c r="D30" s="59">
        <v>0.9</v>
      </c>
      <c r="E30" s="60">
        <v>1</v>
      </c>
      <c r="F30" s="109">
        <f>ANEXO!AX749</f>
        <v>0.97058823529411753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(F16+F21+F26)/2</f>
        <v>0.99607843137254903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(F12+F17+F22+F27)/2</f>
        <v>0.93509803921568635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(F13+F18+F23+F28)/2</f>
        <v>0.94137254901960776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(F14+F19+F24+F29)/2</f>
        <v>0.91941176470588237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(F15+F20+F25+F30)/2</f>
        <v>0.98529411764705876</v>
      </c>
    </row>
    <row r="38" spans="2:6" s="14" customFormat="1" x14ac:dyDescent="0.25">
      <c r="F38" s="79">
        <f>AVERAGE(F33:F37)</f>
        <v>0.95545098039215692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2024-04-01T23:20:17Z</dcterms:modified>
</cp:coreProperties>
</file>