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OneDrive\Escritorio\Nueva carpeta (2)\TENNIS CLUB\MAYO\"/>
    </mc:Choice>
  </mc:AlternateContent>
  <bookViews>
    <workbookView xWindow="-120" yWindow="-120" windowWidth="20736" windowHeight="11160" tabRatio="893" activeTab="2"/>
  </bookViews>
  <sheets>
    <sheet name="DATOS" sheetId="13" r:id="rId1"/>
    <sheet name="GYE" sheetId="6" r:id="rId2"/>
    <sheet name="INDICADORES" sheetId="7" r:id="rId3"/>
  </sheets>
  <calcPr calcId="162913"/>
</workbook>
</file>

<file path=xl/calcChain.xml><?xml version="1.0" encoding="utf-8"?>
<calcChain xmlns="http://schemas.openxmlformats.org/spreadsheetml/2006/main">
  <c r="F37" i="7" l="1"/>
  <c r="F36" i="7"/>
  <c r="F35" i="7"/>
  <c r="F34" i="7"/>
  <c r="F33" i="7"/>
  <c r="D748" i="6" l="1"/>
  <c r="D749" i="6" s="1"/>
  <c r="D746" i="6" l="1"/>
  <c r="Q754" i="6"/>
  <c r="P754" i="6"/>
  <c r="O754" i="6"/>
  <c r="N754" i="6"/>
  <c r="M754" i="6"/>
  <c r="Q753" i="6"/>
  <c r="P753" i="6"/>
  <c r="O753" i="6"/>
  <c r="N753" i="6"/>
  <c r="M753" i="6"/>
  <c r="Q752" i="6"/>
  <c r="P752" i="6"/>
  <c r="O752" i="6"/>
  <c r="N752" i="6"/>
  <c r="M752" i="6"/>
  <c r="Q751" i="6"/>
  <c r="P751" i="6"/>
  <c r="O751" i="6"/>
  <c r="N751" i="6"/>
  <c r="M751" i="6"/>
  <c r="Q750" i="6"/>
  <c r="P750" i="6"/>
  <c r="O750" i="6"/>
  <c r="N750" i="6"/>
  <c r="M750" i="6"/>
  <c r="Q760" i="6" l="1"/>
  <c r="P760" i="6"/>
  <c r="O760" i="6"/>
  <c r="N760" i="6"/>
  <c r="Q759" i="6"/>
  <c r="P759" i="6"/>
  <c r="O759" i="6"/>
  <c r="N759" i="6"/>
  <c r="Q758" i="6"/>
  <c r="P758" i="6"/>
  <c r="O758" i="6"/>
  <c r="N758" i="6"/>
  <c r="Q757" i="6"/>
  <c r="P757" i="6"/>
  <c r="O757" i="6"/>
  <c r="N757" i="6"/>
  <c r="Q756" i="6"/>
  <c r="P756" i="6"/>
  <c r="O756" i="6"/>
  <c r="N756" i="6"/>
  <c r="Q748" i="6"/>
  <c r="Q749" i="6" s="1"/>
  <c r="P748" i="6"/>
  <c r="P749" i="6" s="1"/>
  <c r="O748" i="6"/>
  <c r="O749" i="6" s="1"/>
  <c r="N748" i="6"/>
  <c r="N749" i="6" s="1"/>
  <c r="Q746" i="6"/>
  <c r="P746" i="6"/>
  <c r="O746" i="6"/>
  <c r="N746" i="6"/>
  <c r="O761" i="6" l="1"/>
  <c r="P761" i="6"/>
  <c r="Q761" i="6"/>
  <c r="N761" i="6"/>
  <c r="E746" i="6"/>
  <c r="F746" i="6"/>
  <c r="G746" i="6"/>
  <c r="H746" i="6"/>
  <c r="V746" i="6"/>
  <c r="W746" i="6"/>
  <c r="X746" i="6"/>
  <c r="Y746" i="6"/>
  <c r="Z746" i="6"/>
  <c r="AE746" i="6"/>
  <c r="AF746" i="6"/>
  <c r="AG746" i="6"/>
  <c r="AH746" i="6"/>
  <c r="AI746" i="6"/>
  <c r="AN746" i="6"/>
  <c r="AO746" i="6"/>
  <c r="AP746" i="6"/>
  <c r="AQ746" i="6"/>
  <c r="AR746" i="6"/>
  <c r="E748" i="6"/>
  <c r="E749" i="6" s="1"/>
  <c r="F748" i="6"/>
  <c r="F749" i="6" s="1"/>
  <c r="G748" i="6"/>
  <c r="G749" i="6" s="1"/>
  <c r="F14" i="7" s="1"/>
  <c r="H748" i="6"/>
  <c r="H749" i="6" s="1"/>
  <c r="V748" i="6"/>
  <c r="V749" i="6" s="1"/>
  <c r="W748" i="6"/>
  <c r="W749" i="6" s="1"/>
  <c r="X748" i="6"/>
  <c r="X749" i="6" s="1"/>
  <c r="Y748" i="6"/>
  <c r="Y749" i="6" s="1"/>
  <c r="Z748" i="6"/>
  <c r="Z749" i="6" s="1"/>
  <c r="AE748" i="6"/>
  <c r="AE749" i="6" s="1"/>
  <c r="AF748" i="6"/>
  <c r="AF749" i="6" s="1"/>
  <c r="AG748" i="6"/>
  <c r="AG749" i="6" s="1"/>
  <c r="AH748" i="6"/>
  <c r="AH749" i="6" s="1"/>
  <c r="AI748" i="6"/>
  <c r="AI749" i="6" s="1"/>
  <c r="AN748" i="6"/>
  <c r="AN749" i="6" s="1"/>
  <c r="AO748" i="6"/>
  <c r="AO749" i="6" s="1"/>
  <c r="AP748" i="6"/>
  <c r="AP749" i="6" s="1"/>
  <c r="AQ748" i="6"/>
  <c r="AQ749" i="6" s="1"/>
  <c r="AR748" i="6"/>
  <c r="AR749" i="6" s="1"/>
  <c r="E750" i="6"/>
  <c r="E756" i="6" s="1"/>
  <c r="F750" i="6"/>
  <c r="F756" i="6" s="1"/>
  <c r="G750" i="6"/>
  <c r="G756" i="6" s="1"/>
  <c r="H750" i="6"/>
  <c r="V750" i="6"/>
  <c r="V756" i="6" s="1"/>
  <c r="W750" i="6"/>
  <c r="W756" i="6" s="1"/>
  <c r="X750" i="6"/>
  <c r="X756" i="6" s="1"/>
  <c r="Y750" i="6"/>
  <c r="Z750" i="6"/>
  <c r="Z756" i="6" s="1"/>
  <c r="AE750" i="6"/>
  <c r="AE756" i="6" s="1"/>
  <c r="AF750" i="6"/>
  <c r="AF756" i="6" s="1"/>
  <c r="AG750" i="6"/>
  <c r="AH750" i="6"/>
  <c r="AH756" i="6" s="1"/>
  <c r="AI750" i="6"/>
  <c r="AI756" i="6" s="1"/>
  <c r="AN750" i="6"/>
  <c r="AN756" i="6" s="1"/>
  <c r="AO750" i="6"/>
  <c r="AO756" i="6" s="1"/>
  <c r="AP750" i="6"/>
  <c r="AP756" i="6" s="1"/>
  <c r="AQ750" i="6"/>
  <c r="AQ756" i="6" s="1"/>
  <c r="AR750" i="6"/>
  <c r="AR756" i="6" s="1"/>
  <c r="E751" i="6"/>
  <c r="E757" i="6" s="1"/>
  <c r="F751" i="6"/>
  <c r="F757" i="6" s="1"/>
  <c r="G751" i="6"/>
  <c r="G757" i="6" s="1"/>
  <c r="H751" i="6"/>
  <c r="H757" i="6" s="1"/>
  <c r="V751" i="6"/>
  <c r="V757" i="6" s="1"/>
  <c r="W751" i="6"/>
  <c r="W757" i="6" s="1"/>
  <c r="X751" i="6"/>
  <c r="Y751" i="6"/>
  <c r="Y757" i="6" s="1"/>
  <c r="Z751" i="6"/>
  <c r="Z757" i="6" s="1"/>
  <c r="AE751" i="6"/>
  <c r="AE757" i="6" s="1"/>
  <c r="AF751" i="6"/>
  <c r="AF757" i="6" s="1"/>
  <c r="AG751" i="6"/>
  <c r="AG757" i="6" s="1"/>
  <c r="AH751" i="6"/>
  <c r="AH757" i="6" s="1"/>
  <c r="AI751" i="6"/>
  <c r="AI757" i="6" s="1"/>
  <c r="AN751" i="6"/>
  <c r="AN757" i="6" s="1"/>
  <c r="AO751" i="6"/>
  <c r="AO757" i="6" s="1"/>
  <c r="AP751" i="6"/>
  <c r="AP757" i="6" s="1"/>
  <c r="AQ751" i="6"/>
  <c r="AQ757" i="6" s="1"/>
  <c r="AR751" i="6"/>
  <c r="AR757" i="6" s="1"/>
  <c r="E752" i="6"/>
  <c r="E758" i="6" s="1"/>
  <c r="F752" i="6"/>
  <c r="F758" i="6" s="1"/>
  <c r="G752" i="6"/>
  <c r="G758" i="6" s="1"/>
  <c r="H752" i="6"/>
  <c r="V752" i="6"/>
  <c r="V758" i="6" s="1"/>
  <c r="W752" i="6"/>
  <c r="W758" i="6" s="1"/>
  <c r="X752" i="6"/>
  <c r="X758" i="6" s="1"/>
  <c r="Y752" i="6"/>
  <c r="Y758" i="6" s="1"/>
  <c r="Z752" i="6"/>
  <c r="Z758" i="6" s="1"/>
  <c r="AE752" i="6"/>
  <c r="AE758" i="6" s="1"/>
  <c r="AF752" i="6"/>
  <c r="AF758" i="6" s="1"/>
  <c r="AG752" i="6"/>
  <c r="AG758" i="6" s="1"/>
  <c r="AH752" i="6"/>
  <c r="AH758" i="6" s="1"/>
  <c r="AI752" i="6"/>
  <c r="AI758" i="6" s="1"/>
  <c r="AN752" i="6"/>
  <c r="AN758" i="6" s="1"/>
  <c r="AO752" i="6"/>
  <c r="AO758" i="6" s="1"/>
  <c r="AP752" i="6"/>
  <c r="AP758" i="6" s="1"/>
  <c r="AQ752" i="6"/>
  <c r="AQ758" i="6" s="1"/>
  <c r="AR752" i="6"/>
  <c r="AR758" i="6" s="1"/>
  <c r="E753" i="6"/>
  <c r="E759" i="6" s="1"/>
  <c r="F753" i="6"/>
  <c r="G753" i="6"/>
  <c r="G759" i="6" s="1"/>
  <c r="H753" i="6"/>
  <c r="H759" i="6" s="1"/>
  <c r="V753" i="6"/>
  <c r="V759" i="6" s="1"/>
  <c r="W753" i="6"/>
  <c r="W759" i="6" s="1"/>
  <c r="X753" i="6"/>
  <c r="X759" i="6" s="1"/>
  <c r="Y753" i="6"/>
  <c r="Y759" i="6" s="1"/>
  <c r="Z753" i="6"/>
  <c r="Z759" i="6" s="1"/>
  <c r="AE753" i="6"/>
  <c r="AE759" i="6" s="1"/>
  <c r="AF753" i="6"/>
  <c r="AF759" i="6" s="1"/>
  <c r="AG753" i="6"/>
  <c r="AG759" i="6" s="1"/>
  <c r="AH753" i="6"/>
  <c r="AH759" i="6" s="1"/>
  <c r="AI753" i="6"/>
  <c r="AI759" i="6" s="1"/>
  <c r="AN753" i="6"/>
  <c r="AN759" i="6" s="1"/>
  <c r="AO753" i="6"/>
  <c r="AO759" i="6" s="1"/>
  <c r="AP753" i="6"/>
  <c r="AP759" i="6" s="1"/>
  <c r="AQ753" i="6"/>
  <c r="AQ759" i="6" s="1"/>
  <c r="AR753" i="6"/>
  <c r="AR759" i="6" s="1"/>
  <c r="E754" i="6"/>
  <c r="E760" i="6" s="1"/>
  <c r="F754" i="6"/>
  <c r="F760" i="6" s="1"/>
  <c r="G754" i="6"/>
  <c r="G760" i="6" s="1"/>
  <c r="H754" i="6"/>
  <c r="V754" i="6"/>
  <c r="V760" i="6" s="1"/>
  <c r="W754" i="6"/>
  <c r="W760" i="6" s="1"/>
  <c r="X754" i="6"/>
  <c r="X760" i="6" s="1"/>
  <c r="Y754" i="6"/>
  <c r="Y760" i="6" s="1"/>
  <c r="Z754" i="6"/>
  <c r="Z760" i="6" s="1"/>
  <c r="AE754" i="6"/>
  <c r="AE760" i="6" s="1"/>
  <c r="AF754" i="6"/>
  <c r="AF760" i="6" s="1"/>
  <c r="AG754" i="6"/>
  <c r="AG760" i="6" s="1"/>
  <c r="AH754" i="6"/>
  <c r="AH760" i="6" s="1"/>
  <c r="AI754" i="6"/>
  <c r="AI760" i="6" s="1"/>
  <c r="AN754" i="6"/>
  <c r="AN760" i="6" s="1"/>
  <c r="AO754" i="6"/>
  <c r="AO760" i="6" s="1"/>
  <c r="AP754" i="6"/>
  <c r="AP760" i="6" s="1"/>
  <c r="AQ754" i="6"/>
  <c r="AQ760" i="6" s="1"/>
  <c r="AR754" i="6"/>
  <c r="AR760" i="6" s="1"/>
  <c r="Y756" i="6"/>
  <c r="AG756" i="6"/>
  <c r="X757" i="6"/>
  <c r="AF761" i="6" l="1"/>
  <c r="AG761" i="6"/>
  <c r="Y761" i="6"/>
  <c r="AH761" i="6"/>
  <c r="Z761" i="6"/>
  <c r="V761" i="6"/>
  <c r="X761" i="6"/>
  <c r="AI761" i="6"/>
  <c r="AE761" i="6"/>
  <c r="W761" i="6"/>
  <c r="AO761" i="6"/>
  <c r="AQ761" i="6"/>
  <c r="AN761" i="6"/>
  <c r="AP761" i="6"/>
  <c r="H756" i="6"/>
  <c r="H758" i="6"/>
  <c r="G761" i="6"/>
  <c r="E761" i="6"/>
  <c r="AR761" i="6"/>
  <c r="H760" i="6"/>
  <c r="F759" i="6"/>
  <c r="F761" i="6" s="1"/>
  <c r="H761" i="6" l="1"/>
  <c r="F30" i="7" l="1"/>
  <c r="F29" i="7"/>
  <c r="F26" i="7"/>
  <c r="F27" i="7"/>
  <c r="F13" i="7"/>
  <c r="F12" i="7"/>
  <c r="F15" i="7"/>
  <c r="F28" i="7"/>
  <c r="AY752" i="6"/>
  <c r="AY758" i="6" s="1"/>
  <c r="F17" i="7"/>
  <c r="F20" i="7"/>
  <c r="F18" i="7"/>
  <c r="F19" i="7"/>
  <c r="AY751" i="6"/>
  <c r="AY757" i="6" s="1"/>
  <c r="AV753" i="6"/>
  <c r="AV759" i="6" s="1"/>
  <c r="AW751" i="6"/>
  <c r="AW757" i="6" s="1"/>
  <c r="AV751" i="6"/>
  <c r="AV757" i="6" s="1"/>
  <c r="AW752" i="6"/>
  <c r="AW758" i="6" s="1"/>
  <c r="AV754" i="6"/>
  <c r="AV760" i="6" s="1"/>
  <c r="AY753" i="6"/>
  <c r="AY759" i="6" s="1"/>
  <c r="AW753" i="6"/>
  <c r="AW759" i="6" s="1"/>
  <c r="AX752" i="6"/>
  <c r="AX758" i="6" s="1"/>
  <c r="AY750" i="6"/>
  <c r="AY756" i="6" s="1"/>
  <c r="AY754" i="6"/>
  <c r="AY760" i="6" s="1"/>
  <c r="AX753" i="6"/>
  <c r="AX759" i="6" s="1"/>
  <c r="AX751" i="6"/>
  <c r="AX757" i="6" s="1"/>
  <c r="AV752" i="6"/>
  <c r="AV758" i="6" s="1"/>
  <c r="AX754" i="6"/>
  <c r="AX760" i="6" s="1"/>
  <c r="AX750" i="6"/>
  <c r="AX756" i="6" s="1"/>
  <c r="AW754" i="6"/>
  <c r="AW760" i="6" s="1"/>
  <c r="AV750" i="6"/>
  <c r="AV756" i="6" s="1"/>
  <c r="AW750" i="6"/>
  <c r="AW756" i="6" s="1"/>
  <c r="AY761" i="6" l="1"/>
  <c r="AY768" i="6" s="1"/>
  <c r="AW761" i="6"/>
  <c r="AW764" i="6" s="1"/>
  <c r="AX761" i="6"/>
  <c r="AX766" i="6" s="1"/>
  <c r="AV761" i="6"/>
  <c r="AV764" i="6" s="1"/>
  <c r="AX765" i="6" l="1"/>
  <c r="AY767" i="6"/>
  <c r="AY764" i="6"/>
  <c r="AV765" i="6"/>
  <c r="AV767" i="6"/>
  <c r="AV766" i="6"/>
  <c r="AV768" i="6"/>
  <c r="AX764" i="6"/>
  <c r="AX767" i="6"/>
  <c r="AY766" i="6"/>
  <c r="AY765" i="6"/>
  <c r="AW766" i="6"/>
  <c r="AW765" i="6"/>
  <c r="AW767" i="6"/>
  <c r="AX768" i="6"/>
  <c r="AW768" i="6"/>
  <c r="AY769" i="6" l="1"/>
  <c r="AW769" i="6"/>
  <c r="AV769" i="6"/>
  <c r="AX769" i="6"/>
  <c r="F11" i="7"/>
  <c r="M757" i="6"/>
  <c r="M758" i="6"/>
  <c r="D753" i="6"/>
  <c r="D759" i="6" s="1"/>
  <c r="D750" i="6"/>
  <c r="D756" i="6" s="1"/>
  <c r="M756" i="6"/>
  <c r="D754" i="6"/>
  <c r="D760" i="6" s="1"/>
  <c r="M746" i="6"/>
  <c r="D751" i="6"/>
  <c r="M759" i="6"/>
  <c r="M748" i="6"/>
  <c r="M749" i="6" s="1"/>
  <c r="F16" i="7" s="1"/>
  <c r="M760" i="6"/>
  <c r="D752" i="6"/>
  <c r="D758" i="6" s="1"/>
  <c r="M761" i="6" l="1"/>
  <c r="AU752" i="6"/>
  <c r="AU758" i="6" s="1"/>
  <c r="AU750" i="6"/>
  <c r="AU756" i="6" s="1"/>
  <c r="AU751" i="6"/>
  <c r="AU757" i="6" s="1"/>
  <c r="D757" i="6"/>
  <c r="D761" i="6" s="1"/>
  <c r="F38" i="7"/>
  <c r="AU754" i="6"/>
  <c r="AU760" i="6" s="1"/>
  <c r="AU753" i="6"/>
  <c r="AU759" i="6" s="1"/>
  <c r="AU761" i="6" l="1"/>
  <c r="AU765" i="6" s="1"/>
  <c r="AU768" i="6" l="1"/>
  <c r="AU764" i="6"/>
  <c r="AU766" i="6"/>
  <c r="AU767" i="6"/>
  <c r="AU769" i="6" l="1"/>
</calcChain>
</file>

<file path=xl/sharedStrings.xml><?xml version="1.0" encoding="utf-8"?>
<sst xmlns="http://schemas.openxmlformats.org/spreadsheetml/2006/main" count="852" uniqueCount="275">
  <si>
    <t>AREA</t>
  </si>
  <si>
    <t>AMABILIDAD DEL PERSONAL</t>
  </si>
  <si>
    <t>RAPIDEZ DEL SERVICIO</t>
  </si>
  <si>
    <t>CALIDAD DE LA COMIDA</t>
  </si>
  <si>
    <t>VARIEDAD DEL MENU</t>
  </si>
  <si>
    <t>AMBIENTE ACOGEDOR</t>
  </si>
  <si>
    <t>FECHA</t>
  </si>
  <si>
    <t>PROMEDIO</t>
  </si>
  <si>
    <t xml:space="preserve">SISTEMA DE MANEJO DE INDICADORES </t>
  </si>
  <si>
    <t xml:space="preserve">Fecha período analizado: </t>
  </si>
  <si>
    <t xml:space="preserve">Fecha de elaboración: </t>
  </si>
  <si>
    <t xml:space="preserve">INDICADORES </t>
  </si>
  <si>
    <t>Unidad</t>
  </si>
  <si>
    <t>Objetivo</t>
  </si>
  <si>
    <t>#</t>
  </si>
  <si>
    <t>Frecuencia de Impresión : MENSUAL</t>
  </si>
  <si>
    <t>Excelente</t>
  </si>
  <si>
    <t>Muy Bueno</t>
  </si>
  <si>
    <t>Neutro</t>
  </si>
  <si>
    <t>Regular</t>
  </si>
  <si>
    <t>Malo</t>
  </si>
  <si>
    <t>Amabilidad del personal</t>
  </si>
  <si>
    <t>Rapidez del servicio</t>
  </si>
  <si>
    <t>Calidad de la Comida</t>
  </si>
  <si>
    <t>Variedad del menu</t>
  </si>
  <si>
    <t>Ambiente Acogedor</t>
  </si>
  <si>
    <t>Área/Departamento:  GESTIÓN DE CALIDAD</t>
  </si>
  <si>
    <t>Mínimo</t>
  </si>
  <si>
    <t>BC/BP</t>
  </si>
  <si>
    <t>TT</t>
  </si>
  <si>
    <t>RC</t>
  </si>
  <si>
    <t>Satisfacción del Socio en cuanto a la Rapidez del servicio BC/BP</t>
  </si>
  <si>
    <t>Satisfacción del Socio en cuanto a la Calidad de la Comida BC/BP</t>
  </si>
  <si>
    <t>Satisfacción del Socio en cuanto a la variedad del menú BC/BP</t>
  </si>
  <si>
    <t>Satisfacción del Socio en cuanto al Ambiente Acogedor BC/BP</t>
  </si>
  <si>
    <t>Satisfacción del Socio en cuanto a la Rapidez del servicio  1910</t>
  </si>
  <si>
    <t>Satisfacción del Socio en cuanto a la Calidad de la Comida  1910</t>
  </si>
  <si>
    <t>Satisfacción del Socio en cuanto a la variedad del menú  1910</t>
  </si>
  <si>
    <t>Satisfacción del Socio en cuanto al Ambiente Acogedor  1910</t>
  </si>
  <si>
    <t>Satisfacción del socio en cuanto a la Amabilidad del personal en TT</t>
  </si>
  <si>
    <t>Satisfacción del Socio en cuanto a la Rapidez del servicio TT</t>
  </si>
  <si>
    <t>Satisfacción del Socio en cuanto a la Calidad de la Comida TT</t>
  </si>
  <si>
    <t>Satisfacción del Socio en cuanto a la variedad del menú TT</t>
  </si>
  <si>
    <t>Satisfacción del Socio en cuanto al Ambiente Acogedor TT</t>
  </si>
  <si>
    <t>Amabilidad del personal Restaurante Clasico</t>
  </si>
  <si>
    <t>Rapidez del servicio Restaurante Clasico</t>
  </si>
  <si>
    <t>Calidad de la Comida Restaurante Clasico</t>
  </si>
  <si>
    <t>Ambiente Acogedor Restaurante Clasico</t>
  </si>
  <si>
    <t>Variedad del menú Restaurante Clasico</t>
  </si>
  <si>
    <t>Satisfacción del socio en cuanto a la Amabilidad personal en BC/BP</t>
  </si>
  <si>
    <t>Satisfacción del socio en cuanto a la Amabilidad personal en 1910</t>
  </si>
  <si>
    <t>BP</t>
  </si>
  <si>
    <t>..</t>
  </si>
  <si>
    <t>Nombre del socio</t>
  </si>
  <si>
    <t>Quien lo atendió</t>
  </si>
  <si>
    <t xml:space="preserve">Wilmer Macías </t>
  </si>
  <si>
    <t>COMENTARIOS Y SUGERENCIAS</t>
  </si>
  <si>
    <t xml:space="preserve">Luis Saltos </t>
  </si>
  <si>
    <t xml:space="preserve">Ana María Andrade Pérez </t>
  </si>
  <si>
    <t xml:space="preserve">Alejandro Arosemena Duran </t>
  </si>
  <si>
    <t/>
  </si>
  <si>
    <t xml:space="preserve">Enrique </t>
  </si>
  <si>
    <t>Segundo Rivera</t>
  </si>
  <si>
    <t xml:space="preserve">Xavier Chavarría Baquerizo </t>
  </si>
  <si>
    <t xml:space="preserve">todo bien </t>
  </si>
  <si>
    <t>Eduardo Orces</t>
  </si>
  <si>
    <t xml:space="preserve">Milena </t>
  </si>
  <si>
    <t>Milena</t>
  </si>
  <si>
    <t>Hugo ochoa</t>
  </si>
  <si>
    <t xml:space="preserve">pedro Franco </t>
  </si>
  <si>
    <t>Félix Ernesto Molineros Mera</t>
  </si>
  <si>
    <t xml:space="preserve">Pedro Franco </t>
  </si>
  <si>
    <t xml:space="preserve">Rubén Coronel Jordán </t>
  </si>
  <si>
    <t xml:space="preserve">Wilmer </t>
  </si>
  <si>
    <t>Mario proaño</t>
  </si>
  <si>
    <t>luis saltos</t>
  </si>
  <si>
    <t>liviere moreno</t>
  </si>
  <si>
    <t>Efraín campoverde</t>
  </si>
  <si>
    <t>Claudia Mendoza</t>
  </si>
  <si>
    <t xml:space="preserve">Efraín Campoverde
</t>
  </si>
  <si>
    <t xml:space="preserve">
Johnny Garcia</t>
  </si>
  <si>
    <t>Efrén Campoverde</t>
  </si>
  <si>
    <t xml:space="preserve">Sebastián Ramírez </t>
  </si>
  <si>
    <t xml:space="preserve">Efraín Campoverde </t>
  </si>
  <si>
    <t xml:space="preserve">Elly !ay Sánchez </t>
  </si>
  <si>
    <t>Giuliana Graber</t>
  </si>
  <si>
    <t xml:space="preserve">pedro zevallos Navarro </t>
  </si>
  <si>
    <t xml:space="preserve">Fausto </t>
  </si>
  <si>
    <t>Freddy Rodriguez Endara</t>
  </si>
  <si>
    <t>Efrain</t>
  </si>
  <si>
    <t>José Moscoso</t>
  </si>
  <si>
    <t>Jimmy salazar</t>
  </si>
  <si>
    <t>rivera</t>
  </si>
  <si>
    <t xml:space="preserve">Estefanía jacome </t>
  </si>
  <si>
    <t xml:space="preserve">
Eduardo altamirano</t>
  </si>
  <si>
    <t>fausto</t>
  </si>
  <si>
    <t>marco Ramírez franco</t>
  </si>
  <si>
    <t>Susana salinas</t>
  </si>
  <si>
    <t xml:space="preserve">Nicolás Jungbluth </t>
  </si>
  <si>
    <t xml:space="preserve">Susana salinas 
</t>
  </si>
  <si>
    <t>Jose solines Aguayo</t>
  </si>
  <si>
    <t>Wellington</t>
  </si>
  <si>
    <t>Gaston León Nuques</t>
  </si>
  <si>
    <t>Daniel Leon</t>
  </si>
  <si>
    <t>Luigi Ramirez Baquero</t>
  </si>
  <si>
    <t>Elohim Vasquez</t>
  </si>
  <si>
    <t xml:space="preserve">Aquiles Guerrero </t>
  </si>
  <si>
    <t xml:space="preserve">Kennedy Cantos Mosquera </t>
  </si>
  <si>
    <t>Juan Carlos Pinchin Soriano</t>
  </si>
  <si>
    <t xml:space="preserve">Elohim Vásquez </t>
  </si>
  <si>
    <t>Javier salazar</t>
  </si>
  <si>
    <t xml:space="preserve">Efraín </t>
  </si>
  <si>
    <t>Francisco Peña</t>
  </si>
  <si>
    <t>Gregorio Camposano</t>
  </si>
  <si>
    <t xml:space="preserve">Efrain </t>
  </si>
  <si>
    <t>jorge</t>
  </si>
  <si>
    <t>José Ferretti Calderon</t>
  </si>
  <si>
    <t>MOISÉS SOSA</t>
  </si>
  <si>
    <t xml:space="preserve">EFRAIN CAMPOVERDE </t>
  </si>
  <si>
    <t xml:space="preserve">Allan yepez
</t>
  </si>
  <si>
    <t>susana</t>
  </si>
  <si>
    <t>carlos concha</t>
  </si>
  <si>
    <t xml:space="preserve">Barragán medina </t>
  </si>
  <si>
    <t>Verónica Plaza</t>
  </si>
  <si>
    <t>Efrain cAmpo ve rde</t>
  </si>
  <si>
    <t>Patricia Tacury</t>
  </si>
  <si>
    <t xml:space="preserve">Efrain cAmpo </t>
  </si>
  <si>
    <t>Ab. Mario Proaño</t>
  </si>
  <si>
    <t>Carlo</t>
  </si>
  <si>
    <t xml:space="preserve">Campoverde </t>
  </si>
  <si>
    <t>Bolivar</t>
  </si>
  <si>
    <t xml:space="preserve">Carlos torre.s
</t>
  </si>
  <si>
    <t>Efraín luis</t>
  </si>
  <si>
    <t>Carlos torres</t>
  </si>
  <si>
    <t>luis efrain</t>
  </si>
  <si>
    <t>Xavier Reyes</t>
  </si>
  <si>
    <t>Todo excelente</t>
  </si>
  <si>
    <t xml:space="preserve">todo estuvo excelente </t>
  </si>
  <si>
    <t>muybuenmesero</t>
  </si>
  <si>
    <t>exelente</t>
  </si>
  <si>
    <t>Todo excelente!</t>
  </si>
  <si>
    <t xml:space="preserve">Bien </t>
  </si>
  <si>
    <t xml:space="preserve">Todo excelente </t>
  </si>
  <si>
    <t xml:space="preserve">
</t>
  </si>
  <si>
    <t>Gina Moggia</t>
  </si>
  <si>
    <t xml:space="preserve">Enrique Camposano </t>
  </si>
  <si>
    <t xml:space="preserve">Ximena Y Milena </t>
  </si>
  <si>
    <t>Silvia de Moggia</t>
  </si>
  <si>
    <t xml:space="preserve">marcó Yaguachi </t>
  </si>
  <si>
    <t>Eduardo piedra</t>
  </si>
  <si>
    <t>milena</t>
  </si>
  <si>
    <t>monica navarrete</t>
  </si>
  <si>
    <t>Ximena, Milena ,Marco</t>
  </si>
  <si>
    <t xml:space="preserve">Antonio Borbor Jiménez </t>
  </si>
  <si>
    <t xml:space="preserve">Douglas, Rolando, Jennifer </t>
  </si>
  <si>
    <t>kira tacury</t>
  </si>
  <si>
    <t>milena panchana</t>
  </si>
  <si>
    <t>Andrea</t>
  </si>
  <si>
    <t xml:space="preserve">grace de Salguero </t>
  </si>
  <si>
    <t xml:space="preserve">Ximena y Rolando </t>
  </si>
  <si>
    <t xml:space="preserve">muy buen servicio </t>
  </si>
  <si>
    <t>Las reservaciones grupales no deberían ser para varios grupos en el mismo salón porque se ocasiona malestar por mucho ruido</t>
  </si>
  <si>
    <t xml:space="preserve">Estandarizar el tamaño de las tazas de café americano porque a veces utilizan tazas pequeñas de menor volumen  </t>
  </si>
  <si>
    <t xml:space="preserve">Andrés Francisco Parra Guillén </t>
  </si>
  <si>
    <t xml:space="preserve">Gil Javier Barragán Mediana </t>
  </si>
  <si>
    <t xml:space="preserve">Hernán Uscocovich Guerrero </t>
  </si>
  <si>
    <t xml:space="preserve">Walter Mera Ortiz </t>
  </si>
  <si>
    <t>Jorge Augusto Egas Peña</t>
  </si>
  <si>
    <t xml:space="preserve">Johnny Roberto Grunauer Toro </t>
  </si>
  <si>
    <t>intriago cedeño José pastor</t>
  </si>
  <si>
    <t xml:space="preserve">Pedro franco </t>
  </si>
  <si>
    <t xml:space="preserve">José Pastor Intriago cedeño </t>
  </si>
  <si>
    <t xml:space="preserve">Adolfo Iván Salcedo Guerrero </t>
  </si>
  <si>
    <t xml:space="preserve">pedro </t>
  </si>
  <si>
    <t>Jorge Orellana Yepez</t>
  </si>
  <si>
    <t>Aquiles Rigail Santistevan</t>
  </si>
  <si>
    <t xml:space="preserve">José Gabriel Martínez Castro 
</t>
  </si>
  <si>
    <t>Fernando Jardín Rivadeneira</t>
  </si>
  <si>
    <t xml:space="preserve">Luis/ Wilmer </t>
  </si>
  <si>
    <t xml:space="preserve">juan Alfredo Villagomez Sánchez </t>
  </si>
  <si>
    <t>Ricardo Moscoso</t>
  </si>
  <si>
    <t>jarolll barquet rendon</t>
  </si>
  <si>
    <t xml:space="preserve">Judith Icaza gustines </t>
  </si>
  <si>
    <t xml:space="preserve">kleber Coronel López </t>
  </si>
  <si>
    <t xml:space="preserve">Wilmer/pedro/Luis </t>
  </si>
  <si>
    <t xml:space="preserve">Yolanda Mercedes Endémica Aguirre </t>
  </si>
  <si>
    <t xml:space="preserve">proaño García Irlanda gioconda 
</t>
  </si>
  <si>
    <t>Luis Alberto Montalvo Landin</t>
  </si>
  <si>
    <t>Jimmy morales</t>
  </si>
  <si>
    <t>Daniel Vicente Rodríguez Perea</t>
  </si>
  <si>
    <t xml:space="preserve">Carlos Andrade Espinoza </t>
  </si>
  <si>
    <t>Martín Iturralde</t>
  </si>
  <si>
    <t xml:space="preserve">Andrea Hernández </t>
  </si>
  <si>
    <t xml:space="preserve">Hidalgo Huerta Francisco </t>
  </si>
  <si>
    <t xml:space="preserve">Carlos Miranda Freire </t>
  </si>
  <si>
    <t>Wilmer Macias</t>
  </si>
  <si>
    <t>Leslie holbron</t>
  </si>
  <si>
    <t>Leslie hilbron</t>
  </si>
  <si>
    <t xml:space="preserve">Eduardo orces pareja </t>
  </si>
  <si>
    <t>Víctor Hugo Olvera</t>
  </si>
  <si>
    <t xml:space="preserve">Mario Proaño Quevedo </t>
  </si>
  <si>
    <t xml:space="preserve">Gonzalo quintana Gálvez </t>
  </si>
  <si>
    <t>luis</t>
  </si>
  <si>
    <t>Jaime Grunauer Cucalon</t>
  </si>
  <si>
    <t>Antonio Andretta Arizaga</t>
  </si>
  <si>
    <t xml:space="preserve">rogger Arosemena Benites </t>
  </si>
  <si>
    <t xml:space="preserve">Guillermo Abad Montero </t>
  </si>
  <si>
    <t>Wilmer Macías el no había venido</t>
  </si>
  <si>
    <t xml:space="preserve">Manuel Arturo Suco Cárdenas </t>
  </si>
  <si>
    <t xml:space="preserve">Henry Grau Morales </t>
  </si>
  <si>
    <t xml:space="preserve">Alejandro Salem Macías </t>
  </si>
  <si>
    <t xml:space="preserve">Mónica Silva correa </t>
  </si>
  <si>
    <t xml:space="preserve">Hugo Ochoa Maldonado </t>
  </si>
  <si>
    <t xml:space="preserve">Wilmer/ Pedro </t>
  </si>
  <si>
    <t>wilmer</t>
  </si>
  <si>
    <t>Santiago David Lucio Quinto</t>
  </si>
  <si>
    <t>Alex Falquez Mena</t>
  </si>
  <si>
    <t xml:space="preserve">José Intriago Cedeño </t>
  </si>
  <si>
    <t xml:space="preserve">Alex Falquez Mena </t>
  </si>
  <si>
    <t xml:space="preserve">Jorge Sixto Orellana Yepez </t>
  </si>
  <si>
    <t>Luis Saltos q</t>
  </si>
  <si>
    <t xml:space="preserve">Judith Inés calle Machado </t>
  </si>
  <si>
    <t xml:space="preserve">Pola Cristina del Pozo castro </t>
  </si>
  <si>
    <t>Belisario Luque silva</t>
  </si>
  <si>
    <t xml:space="preserve">Jorge Nicolás carrillo arcentales </t>
  </si>
  <si>
    <t xml:space="preserve">Nicole Andrea Fernández López </t>
  </si>
  <si>
    <t xml:space="preserve">Fernández fatuly birjoo </t>
  </si>
  <si>
    <t>Lionel Alberto Valverde Henríques</t>
  </si>
  <si>
    <t>Wilmer Macías? mi</t>
  </si>
  <si>
    <t xml:space="preserve">Sandra Aguirre Aguilera </t>
  </si>
  <si>
    <t xml:space="preserve">Sandra Aguirre </t>
  </si>
  <si>
    <t>Richard Peet Large</t>
  </si>
  <si>
    <t xml:space="preserve">Wilma Mendizábal Freire </t>
  </si>
  <si>
    <t xml:space="preserve">Wilmer/Pedro/Luis </t>
  </si>
  <si>
    <t xml:space="preserve">Silvia chicaiza schmidt </t>
  </si>
  <si>
    <t xml:space="preserve">Alba Alarcón Soto </t>
  </si>
  <si>
    <t xml:space="preserve">Juan Sebastián Gilbert </t>
  </si>
  <si>
    <t>Carlota bowen c</t>
  </si>
  <si>
    <t xml:space="preserve">Reyna mayorga Esparza  
</t>
  </si>
  <si>
    <t xml:space="preserve">
pedro franco</t>
  </si>
  <si>
    <t>Reyna mayorga</t>
  </si>
  <si>
    <t>pedro franco</t>
  </si>
  <si>
    <t xml:space="preserve">Óscar Moggia Martínez </t>
  </si>
  <si>
    <t xml:space="preserve">Jorge Orellana Yepez </t>
  </si>
  <si>
    <t xml:space="preserve">José Alberto Rodríguez López </t>
  </si>
  <si>
    <t>Juan marcos</t>
  </si>
  <si>
    <t xml:space="preserve">Luis Darío villacres Vélez </t>
  </si>
  <si>
    <t xml:space="preserve">Emilia bowen Jiménez </t>
  </si>
  <si>
    <t xml:space="preserve">Rafael Muñoz Ramírez </t>
  </si>
  <si>
    <t xml:space="preserve">Jaime Francisco Suárez Herrera </t>
  </si>
  <si>
    <t>Pedro franco</t>
  </si>
  <si>
    <t xml:space="preserve">Jimmy Salazar arrata </t>
  </si>
  <si>
    <t xml:space="preserve">Jorge Vicente Auad Aguirre </t>
  </si>
  <si>
    <t>Luis Rafael Caputi Campodonico</t>
  </si>
  <si>
    <t xml:space="preserve">Danny Iturralde tagle </t>
  </si>
  <si>
    <t xml:space="preserve">Alberto Pincay Paz </t>
  </si>
  <si>
    <t>pedro Franco</t>
  </si>
  <si>
    <t xml:space="preserve">tpOca??
rhay q re!pdeñar 
</t>
  </si>
  <si>
    <t>el Plato solomillo con chistorra no estuvo bueno deben revisarlo</t>
  </si>
  <si>
    <t xml:space="preserve">excelentes </t>
  </si>
  <si>
    <t>falla del aire acondicionado.</t>
  </si>
  <si>
    <t>excelente servicio! muy atento!!!</t>
  </si>
  <si>
    <t xml:space="preserve">Todo bien </t>
  </si>
  <si>
    <t xml:space="preserve">los mejillones y el pulpo no estaban frescos y se sintieron y la carne no estuvo tan suave como en otra ocasiones 
</t>
  </si>
  <si>
    <t xml:space="preserve">Todo muy bien Don Wilmer el mejor Capitán </t>
  </si>
  <si>
    <t>todo perfecto desde que llegamos. la atención y la comida espectacular!  Gracias, muchísimas gracias !</t>
  </si>
  <si>
    <t>Muy delicioso todo, pero con pena ver que muy pocas familias se sirvieron el bufet.  Sugiero que en este tipo de eventos solo preparen bufet, porque los demás platos están disponibles casi siempre. 
 Además si hubiera ayudado una  artista más dinámica para el show, ya que eso  atrae a los socios.  Como los lagarteros que se presentaron en el deck o las artistas del Anexo.</t>
  </si>
  <si>
    <t xml:space="preserve">cambiar orden de menú carta antes de criolo y postres deben ir guarniciones.  </t>
  </si>
  <si>
    <t xml:space="preserve">Excelente servicio </t>
  </si>
  <si>
    <t>ok</t>
  </si>
  <si>
    <t xml:space="preserve">todo estuvo muy bien </t>
  </si>
  <si>
    <t xml:space="preserve">todo perfecto </t>
  </si>
  <si>
    <t>excelente todo.  el ambiente. la comida .lindo fondo musical</t>
  </si>
  <si>
    <t xml:space="preserve">carne del seco muy dura y nos fue cambiada </t>
  </si>
  <si>
    <t>MAYO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</si>
</sst>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12" x14ac:knownFonts="1">
    <font>
      <sz val="11"/>
      <color theme="1"/>
      <name val="Calibri"/>
      <family val="2"/>
      <scheme val="minor"/>
    </font>
    <font>
      <sz val="10"/>
      <color theme="1"/>
      <name val="Calibri"/>
      <family val="2"/>
      <scheme val="minor"/>
    </font>
    <font>
      <sz val="11"/>
      <color theme="1"/>
      <name val="Calibri"/>
      <family val="2"/>
      <scheme val="minor"/>
    </font>
    <font>
      <b/>
      <sz val="10"/>
      <name val="Arial"/>
      <family val="2"/>
    </font>
    <font>
      <b/>
      <sz val="10"/>
      <color indexed="10"/>
      <name val="Arial"/>
      <family val="2"/>
    </font>
    <font>
      <sz val="10"/>
      <name val="Times New Roman"/>
      <family val="1"/>
    </font>
    <font>
      <b/>
      <sz val="11"/>
      <name val="Arial"/>
      <family val="2"/>
    </font>
    <font>
      <b/>
      <sz val="8"/>
      <name val="Arial"/>
      <family val="2"/>
    </font>
    <font>
      <b/>
      <sz val="18"/>
      <name val="Arial"/>
      <family val="2"/>
    </font>
    <font>
      <b/>
      <sz val="9"/>
      <name val="Arial"/>
      <family val="2"/>
    </font>
    <font>
      <sz val="11"/>
      <color rgb="FF000000"/>
      <name val="Calibri"/>
      <family val="2"/>
      <scheme val="minor"/>
    </font>
    <font>
      <sz val="12"/>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indexed="18"/>
        <bgColor indexed="32"/>
      </patternFill>
    </fill>
    <fill>
      <patternFill patternType="solid">
        <fgColor rgb="FFFFFFCC"/>
        <bgColor indexed="64"/>
      </patternFill>
    </fill>
    <fill>
      <patternFill patternType="solid">
        <fgColor rgb="FFCCFFCC"/>
        <bgColor indexed="64"/>
      </patternFill>
    </fill>
    <fill>
      <patternFill patternType="solid">
        <fgColor rgb="FFFFCCFF"/>
        <bgColor indexed="64"/>
      </patternFill>
    </fill>
    <fill>
      <patternFill patternType="solid">
        <fgColor rgb="FFCCCCFF"/>
        <bgColor indexed="64"/>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thin">
        <color indexed="8"/>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s>
  <cellStyleXfs count="4">
    <xf numFmtId="0" fontId="0" fillId="0" borderId="0"/>
    <xf numFmtId="9" fontId="2" fillId="0" borderId="0" applyFont="0" applyFill="0" applyBorder="0" applyAlignment="0" applyProtection="0"/>
    <xf numFmtId="0" fontId="2" fillId="0" borderId="0"/>
    <xf numFmtId="0" fontId="11" fillId="0" borderId="0"/>
  </cellStyleXfs>
  <cellXfs count="130">
    <xf numFmtId="0" fontId="0" fillId="0" borderId="0" xfId="0"/>
    <xf numFmtId="0" fontId="0" fillId="0" borderId="1" xfId="0" applyBorder="1"/>
    <xf numFmtId="14" fontId="0" fillId="0" borderId="0" xfId="0" applyNumberFormat="1"/>
    <xf numFmtId="0" fontId="0" fillId="2" borderId="0" xfId="0" applyFill="1"/>
    <xf numFmtId="0" fontId="1" fillId="0" borderId="0" xfId="0" applyFont="1"/>
    <xf numFmtId="0" fontId="1" fillId="0" borderId="1" xfId="0" applyFont="1" applyBorder="1"/>
    <xf numFmtId="0" fontId="1" fillId="0" borderId="1" xfId="0" applyFont="1" applyBorder="1" applyAlignment="1">
      <alignment textRotation="90" wrapText="1"/>
    </xf>
    <xf numFmtId="164" fontId="0" fillId="0" borderId="0" xfId="0" applyNumberFormat="1"/>
    <xf numFmtId="0" fontId="1" fillId="0" borderId="0" xfId="0" applyFont="1" applyAlignment="1">
      <alignment textRotation="90" wrapText="1"/>
    </xf>
    <xf numFmtId="0" fontId="3" fillId="0" borderId="0" xfId="0" applyFont="1"/>
    <xf numFmtId="0" fontId="3" fillId="0" borderId="0" xfId="0" applyFont="1" applyAlignment="1">
      <alignment horizontal="right"/>
    </xf>
    <xf numFmtId="0" fontId="3" fillId="0" borderId="0" xfId="0" applyFont="1" applyAlignment="1">
      <alignment vertical="center"/>
    </xf>
    <xf numFmtId="0" fontId="3" fillId="3" borderId="6" xfId="0" applyFont="1" applyFill="1" applyBorder="1" applyAlignment="1">
      <alignment horizontal="center" vertical="center" wrapText="1"/>
    </xf>
    <xf numFmtId="0" fontId="3" fillId="0" borderId="0" xfId="0" applyFont="1" applyAlignment="1">
      <alignment horizontal="left" vertical="center"/>
    </xf>
    <xf numFmtId="0" fontId="3" fillId="0" borderId="0" xfId="0" applyFont="1" applyAlignment="1">
      <alignment horizontal="center"/>
    </xf>
    <xf numFmtId="0" fontId="6" fillId="0" borderId="0" xfId="0" applyFont="1" applyAlignment="1">
      <alignment horizontal="right"/>
    </xf>
    <xf numFmtId="0" fontId="6" fillId="0" borderId="0" xfId="0" applyFont="1"/>
    <xf numFmtId="0" fontId="7" fillId="0" borderId="0" xfId="0" applyFont="1" applyAlignment="1">
      <alignment vertical="center"/>
    </xf>
    <xf numFmtId="0" fontId="7" fillId="0" borderId="0" xfId="0" applyFont="1" applyAlignment="1">
      <alignment horizontal="left" vertical="center"/>
    </xf>
    <xf numFmtId="0" fontId="7" fillId="0" borderId="0" xfId="0" applyFont="1" applyAlignment="1">
      <alignment horizontal="right" vertical="center"/>
    </xf>
    <xf numFmtId="0" fontId="3" fillId="2" borderId="0" xfId="0" applyFont="1" applyFill="1"/>
    <xf numFmtId="0" fontId="0" fillId="2" borderId="1" xfId="0" applyFill="1" applyBorder="1"/>
    <xf numFmtId="0" fontId="0" fillId="0" borderId="1" xfId="0" applyBorder="1" applyAlignment="1">
      <alignment textRotation="90" wrapText="1"/>
    </xf>
    <xf numFmtId="9" fontId="0" fillId="0" borderId="0" xfId="1" applyFont="1"/>
    <xf numFmtId="9" fontId="0" fillId="0" borderId="0" xfId="0" applyNumberFormat="1"/>
    <xf numFmtId="14" fontId="0" fillId="2" borderId="1" xfId="0" applyNumberFormat="1" applyFill="1" applyBorder="1"/>
    <xf numFmtId="0" fontId="9" fillId="2" borderId="0" xfId="0" applyFont="1" applyFill="1" applyAlignment="1">
      <alignment horizontal="right"/>
    </xf>
    <xf numFmtId="0" fontId="5" fillId="5" borderId="1" xfId="0" applyFont="1" applyFill="1" applyBorder="1" applyAlignment="1">
      <alignment horizontal="center"/>
    </xf>
    <xf numFmtId="0" fontId="5" fillId="4" borderId="1" xfId="0" applyFont="1" applyFill="1" applyBorder="1" applyAlignment="1">
      <alignment horizontal="center"/>
    </xf>
    <xf numFmtId="0" fontId="5" fillId="7" borderId="1" xfId="0" applyFont="1" applyFill="1" applyBorder="1" applyAlignment="1">
      <alignment horizontal="center"/>
    </xf>
    <xf numFmtId="0" fontId="5" fillId="6" borderId="1" xfId="0" applyFont="1" applyFill="1" applyBorder="1" applyAlignment="1">
      <alignment horizontal="center"/>
    </xf>
    <xf numFmtId="0" fontId="1" fillId="5" borderId="3" xfId="0" applyFont="1" applyFill="1" applyBorder="1" applyAlignment="1">
      <alignment wrapText="1"/>
    </xf>
    <xf numFmtId="0" fontId="5" fillId="5" borderId="4" xfId="0" applyFont="1" applyFill="1" applyBorder="1" applyAlignment="1">
      <alignment horizontal="center"/>
    </xf>
    <xf numFmtId="0" fontId="1" fillId="5" borderId="10" xfId="0" applyFont="1" applyFill="1" applyBorder="1" applyAlignment="1">
      <alignment wrapText="1"/>
    </xf>
    <xf numFmtId="0" fontId="1" fillId="4" borderId="3" xfId="0" applyFont="1" applyFill="1" applyBorder="1" applyAlignment="1">
      <alignment wrapText="1"/>
    </xf>
    <xf numFmtId="0" fontId="5" fillId="4" borderId="4" xfId="0" applyFont="1" applyFill="1" applyBorder="1" applyAlignment="1">
      <alignment horizontal="center"/>
    </xf>
    <xf numFmtId="0" fontId="1" fillId="4" borderId="10" xfId="0" applyFont="1" applyFill="1" applyBorder="1" applyAlignment="1">
      <alignment wrapText="1"/>
    </xf>
    <xf numFmtId="0" fontId="1" fillId="4" borderId="11" xfId="0" applyFont="1" applyFill="1" applyBorder="1" applyAlignment="1">
      <alignment wrapText="1"/>
    </xf>
    <xf numFmtId="0" fontId="5" fillId="4" borderId="12" xfId="0" applyFont="1" applyFill="1" applyBorder="1" applyAlignment="1">
      <alignment horizontal="center"/>
    </xf>
    <xf numFmtId="0" fontId="1" fillId="7" borderId="3" xfId="0" applyFont="1" applyFill="1" applyBorder="1" applyAlignment="1">
      <alignment wrapText="1"/>
    </xf>
    <xf numFmtId="0" fontId="5" fillId="7" borderId="4" xfId="0" applyFont="1" applyFill="1" applyBorder="1" applyAlignment="1">
      <alignment horizontal="center"/>
    </xf>
    <xf numFmtId="0" fontId="1" fillId="7" borderId="10" xfId="0" applyFont="1" applyFill="1" applyBorder="1" applyAlignment="1">
      <alignment wrapText="1"/>
    </xf>
    <xf numFmtId="0" fontId="1" fillId="7" borderId="11" xfId="0" applyFont="1" applyFill="1" applyBorder="1" applyAlignment="1">
      <alignment wrapText="1"/>
    </xf>
    <xf numFmtId="0" fontId="5" fillId="7" borderId="12" xfId="0" applyFont="1" applyFill="1" applyBorder="1" applyAlignment="1">
      <alignment horizontal="center"/>
    </xf>
    <xf numFmtId="0" fontId="1" fillId="6" borderId="3" xfId="0" applyFont="1" applyFill="1" applyBorder="1" applyAlignment="1">
      <alignment wrapText="1"/>
    </xf>
    <xf numFmtId="0" fontId="5" fillId="6" borderId="4" xfId="0" applyFont="1" applyFill="1" applyBorder="1" applyAlignment="1">
      <alignment horizontal="center"/>
    </xf>
    <xf numFmtId="0" fontId="1" fillId="6" borderId="10" xfId="0" applyFont="1" applyFill="1" applyBorder="1" applyAlignment="1">
      <alignment wrapText="1"/>
    </xf>
    <xf numFmtId="0" fontId="1" fillId="6" borderId="11" xfId="0" applyFont="1" applyFill="1" applyBorder="1" applyAlignment="1">
      <alignment wrapText="1"/>
    </xf>
    <xf numFmtId="0" fontId="5" fillId="6" borderId="12" xfId="0" applyFont="1" applyFill="1" applyBorder="1" applyAlignment="1">
      <alignment horizontal="center"/>
    </xf>
    <xf numFmtId="9" fontId="3" fillId="4" borderId="15" xfId="0" applyNumberFormat="1" applyFont="1" applyFill="1" applyBorder="1" applyAlignment="1">
      <alignment horizontal="center" vertical="center"/>
    </xf>
    <xf numFmtId="9" fontId="3" fillId="4" borderId="8" xfId="0" applyNumberFormat="1" applyFont="1" applyFill="1" applyBorder="1" applyAlignment="1">
      <alignment horizontal="center" vertical="center"/>
    </xf>
    <xf numFmtId="9" fontId="3" fillId="5" borderId="14" xfId="0" applyNumberFormat="1" applyFont="1" applyFill="1" applyBorder="1" applyAlignment="1">
      <alignment horizontal="center" vertical="center"/>
    </xf>
    <xf numFmtId="9" fontId="3" fillId="5" borderId="7" xfId="0" applyNumberFormat="1" applyFont="1" applyFill="1" applyBorder="1" applyAlignment="1">
      <alignment horizontal="center" vertical="center"/>
    </xf>
    <xf numFmtId="9" fontId="3" fillId="5" borderId="15" xfId="0" applyNumberFormat="1" applyFont="1" applyFill="1" applyBorder="1" applyAlignment="1">
      <alignment horizontal="center" vertical="center"/>
    </xf>
    <xf numFmtId="9" fontId="3" fillId="5" borderId="8" xfId="0" applyNumberFormat="1" applyFont="1" applyFill="1" applyBorder="1" applyAlignment="1">
      <alignment horizontal="center" vertical="center"/>
    </xf>
    <xf numFmtId="9" fontId="3" fillId="7" borderId="15" xfId="0" applyNumberFormat="1" applyFont="1" applyFill="1" applyBorder="1" applyAlignment="1">
      <alignment horizontal="center" vertical="center"/>
    </xf>
    <xf numFmtId="9" fontId="3" fillId="7" borderId="8" xfId="0" applyNumberFormat="1" applyFont="1" applyFill="1" applyBorder="1" applyAlignment="1">
      <alignment horizontal="center" vertical="center"/>
    </xf>
    <xf numFmtId="9" fontId="3" fillId="6" borderId="15" xfId="0" applyNumberFormat="1" applyFont="1" applyFill="1" applyBorder="1" applyAlignment="1">
      <alignment horizontal="center" vertical="center"/>
    </xf>
    <xf numFmtId="9" fontId="3" fillId="6" borderId="8" xfId="0" applyNumberFormat="1" applyFont="1" applyFill="1" applyBorder="1" applyAlignment="1">
      <alignment horizontal="center" vertical="center"/>
    </xf>
    <xf numFmtId="9" fontId="3" fillId="6" borderId="16" xfId="0" applyNumberFormat="1" applyFont="1" applyFill="1" applyBorder="1" applyAlignment="1">
      <alignment horizontal="center" vertical="center"/>
    </xf>
    <xf numFmtId="9" fontId="3" fillId="6" borderId="18" xfId="0" applyNumberFormat="1" applyFont="1" applyFill="1" applyBorder="1" applyAlignment="1">
      <alignment horizontal="center" vertical="center"/>
    </xf>
    <xf numFmtId="2" fontId="0" fillId="0" borderId="0" xfId="0" applyNumberFormat="1"/>
    <xf numFmtId="0" fontId="8" fillId="0" borderId="0" xfId="0" applyFont="1"/>
    <xf numFmtId="9" fontId="3" fillId="6" borderId="14" xfId="0" applyNumberFormat="1" applyFont="1" applyFill="1" applyBorder="1" applyAlignment="1">
      <alignment horizontal="center" vertical="center"/>
    </xf>
    <xf numFmtId="9" fontId="3" fillId="6" borderId="7" xfId="0" applyNumberFormat="1" applyFont="1" applyFill="1" applyBorder="1" applyAlignment="1">
      <alignment horizontal="center" vertical="center"/>
    </xf>
    <xf numFmtId="10" fontId="3" fillId="6" borderId="17" xfId="1" applyNumberFormat="1" applyFont="1" applyFill="1" applyBorder="1" applyAlignment="1">
      <alignment horizontal="center" vertical="center"/>
    </xf>
    <xf numFmtId="10" fontId="3" fillId="6" borderId="8" xfId="1" applyNumberFormat="1" applyFont="1" applyFill="1" applyBorder="1" applyAlignment="1">
      <alignment horizontal="center" vertical="center"/>
    </xf>
    <xf numFmtId="0" fontId="1" fillId="5" borderId="13" xfId="0" applyFont="1" applyFill="1" applyBorder="1" applyAlignment="1">
      <alignment wrapText="1"/>
    </xf>
    <xf numFmtId="0" fontId="5" fillId="5" borderId="9" xfId="0" applyFont="1" applyFill="1" applyBorder="1" applyAlignment="1">
      <alignment horizontal="center"/>
    </xf>
    <xf numFmtId="9" fontId="3" fillId="5" borderId="19" xfId="0" applyNumberFormat="1" applyFont="1" applyFill="1" applyBorder="1" applyAlignment="1">
      <alignment horizontal="center" vertical="center"/>
    </xf>
    <xf numFmtId="9" fontId="3" fillId="5" borderId="20" xfId="0" applyNumberFormat="1" applyFont="1" applyFill="1" applyBorder="1" applyAlignment="1">
      <alignment horizontal="center" vertical="center"/>
    </xf>
    <xf numFmtId="9" fontId="3" fillId="4" borderId="14" xfId="0" applyNumberFormat="1" applyFont="1" applyFill="1" applyBorder="1" applyAlignment="1">
      <alignment horizontal="center" vertical="center"/>
    </xf>
    <xf numFmtId="9" fontId="3" fillId="4" borderId="7" xfId="0" applyNumberFormat="1" applyFont="1" applyFill="1" applyBorder="1" applyAlignment="1">
      <alignment horizontal="center" vertical="center"/>
    </xf>
    <xf numFmtId="9" fontId="3" fillId="4" borderId="16" xfId="0" applyNumberFormat="1" applyFont="1" applyFill="1" applyBorder="1" applyAlignment="1">
      <alignment horizontal="center" vertical="center"/>
    </xf>
    <xf numFmtId="9" fontId="3" fillId="4" borderId="18" xfId="0" applyNumberFormat="1" applyFont="1" applyFill="1" applyBorder="1" applyAlignment="1">
      <alignment horizontal="center" vertical="center"/>
    </xf>
    <xf numFmtId="9" fontId="3" fillId="7" borderId="14" xfId="0" applyNumberFormat="1" applyFont="1" applyFill="1" applyBorder="1" applyAlignment="1">
      <alignment horizontal="center" vertical="center"/>
    </xf>
    <xf numFmtId="9" fontId="3" fillId="7" borderId="7" xfId="0" applyNumberFormat="1" applyFont="1" applyFill="1" applyBorder="1" applyAlignment="1">
      <alignment horizontal="center" vertical="center"/>
    </xf>
    <xf numFmtId="9" fontId="3" fillId="7" borderId="16" xfId="0" applyNumberFormat="1" applyFont="1" applyFill="1" applyBorder="1" applyAlignment="1">
      <alignment horizontal="center" vertical="center"/>
    </xf>
    <xf numFmtId="9" fontId="3" fillId="7" borderId="18" xfId="0" applyNumberFormat="1" applyFont="1" applyFill="1" applyBorder="1" applyAlignment="1">
      <alignment horizontal="center" vertical="center"/>
    </xf>
    <xf numFmtId="10" fontId="3" fillId="0" borderId="0" xfId="0" applyNumberFormat="1" applyFont="1" applyAlignment="1">
      <alignment horizontal="center"/>
    </xf>
    <xf numFmtId="0" fontId="0" fillId="0" borderId="0" xfId="0" applyAlignment="1">
      <alignment textRotation="90" wrapText="1"/>
    </xf>
    <xf numFmtId="14" fontId="0" fillId="2" borderId="0" xfId="0" applyNumberFormat="1" applyFill="1"/>
    <xf numFmtId="0" fontId="0" fillId="0" borderId="21" xfId="0" applyBorder="1"/>
    <xf numFmtId="0" fontId="0" fillId="0" borderId="22" xfId="0" applyBorder="1"/>
    <xf numFmtId="0" fontId="0" fillId="0" borderId="0" xfId="0" applyAlignment="1">
      <alignment horizontal="left"/>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xf>
    <xf numFmtId="9" fontId="0" fillId="0" borderId="0" xfId="1" applyFont="1" applyAlignment="1"/>
    <xf numFmtId="0" fontId="1" fillId="0" borderId="1" xfId="0" applyFont="1" applyBorder="1" applyAlignment="1">
      <alignment horizontal="center" textRotation="90" wrapText="1"/>
    </xf>
    <xf numFmtId="49" fontId="3" fillId="2" borderId="0" xfId="0" applyNumberFormat="1" applyFont="1" applyFill="1" applyAlignment="1">
      <alignment horizontal="center" vertical="center" wrapText="1"/>
    </xf>
    <xf numFmtId="14" fontId="9" fillId="2" borderId="0" xfId="0" applyNumberFormat="1" applyFont="1" applyFill="1" applyAlignment="1">
      <alignment horizontal="center" vertical="center"/>
    </xf>
    <xf numFmtId="0" fontId="0" fillId="0" borderId="2" xfId="0" applyBorder="1" applyAlignment="1">
      <alignment horizontal="center"/>
    </xf>
    <xf numFmtId="0" fontId="0" fillId="8" borderId="1" xfId="0" applyFill="1" applyBorder="1" applyAlignment="1">
      <alignment horizontal="center" vertical="center"/>
    </xf>
    <xf numFmtId="0" fontId="10" fillId="0" borderId="0" xfId="0" applyFont="1"/>
    <xf numFmtId="165" fontId="3" fillId="5" borderId="24" xfId="0" applyNumberFormat="1" applyFont="1" applyFill="1" applyBorder="1" applyAlignment="1">
      <alignment horizontal="center" vertical="center"/>
    </xf>
    <xf numFmtId="165" fontId="3" fillId="5" borderId="25" xfId="0" applyNumberFormat="1" applyFont="1" applyFill="1" applyBorder="1" applyAlignment="1">
      <alignment horizontal="center" vertical="center"/>
    </xf>
    <xf numFmtId="0" fontId="3" fillId="3" borderId="20" xfId="0" applyFont="1" applyFill="1" applyBorder="1" applyAlignment="1">
      <alignment horizontal="center" vertical="center" wrapText="1"/>
    </xf>
    <xf numFmtId="165" fontId="3" fillId="5" borderId="8" xfId="0" applyNumberFormat="1" applyFont="1" applyFill="1" applyBorder="1" applyAlignment="1">
      <alignment horizontal="center" vertical="center"/>
    </xf>
    <xf numFmtId="165" fontId="3" fillId="4" borderId="7" xfId="0" applyNumberFormat="1" applyFont="1" applyFill="1" applyBorder="1" applyAlignment="1">
      <alignment horizontal="center" vertical="center"/>
    </xf>
    <xf numFmtId="165" fontId="3" fillId="4" borderId="8" xfId="0" applyNumberFormat="1" applyFont="1" applyFill="1" applyBorder="1" applyAlignment="1">
      <alignment horizontal="center" vertical="center"/>
    </xf>
    <xf numFmtId="165" fontId="3" fillId="7" borderId="7" xfId="0" applyNumberFormat="1" applyFont="1" applyFill="1" applyBorder="1" applyAlignment="1">
      <alignment horizontal="center" vertical="center"/>
    </xf>
    <xf numFmtId="165" fontId="3" fillId="6" borderId="8" xfId="0" applyNumberFormat="1" applyFont="1" applyFill="1" applyBorder="1" applyAlignment="1">
      <alignment horizontal="center" vertical="center"/>
    </xf>
    <xf numFmtId="165" fontId="3" fillId="6" borderId="18" xfId="0" applyNumberFormat="1" applyFont="1" applyFill="1" applyBorder="1" applyAlignment="1">
      <alignment horizontal="center" vertical="center"/>
    </xf>
    <xf numFmtId="0" fontId="4" fillId="3" borderId="19" xfId="0" applyFont="1" applyFill="1" applyBorder="1" applyAlignment="1">
      <alignment horizontal="center" vertical="center" wrapText="1"/>
    </xf>
    <xf numFmtId="10" fontId="3" fillId="6" borderId="18" xfId="1" applyNumberFormat="1" applyFont="1" applyFill="1" applyBorder="1" applyAlignment="1">
      <alignment horizontal="center" vertical="center"/>
    </xf>
    <xf numFmtId="14" fontId="0" fillId="0" borderId="1" xfId="0" applyNumberFormat="1" applyBorder="1"/>
    <xf numFmtId="0" fontId="0" fillId="0" borderId="1" xfId="0" applyBorder="1" applyAlignment="1">
      <alignment horizontal="left" vertical="center"/>
    </xf>
    <xf numFmtId="0" fontId="0" fillId="0" borderId="1" xfId="0" applyBorder="1" applyAlignment="1">
      <alignment horizontal="center" textRotation="90" wrapText="1"/>
    </xf>
    <xf numFmtId="0" fontId="0" fillId="0" borderId="1" xfId="0" applyBorder="1" applyAlignment="1">
      <alignment horizontal="center" vertical="center" textRotation="90" wrapText="1"/>
    </xf>
    <xf numFmtId="0" fontId="0" fillId="0" borderId="1" xfId="0" applyBorder="1" applyAlignment="1">
      <alignment vertical="center"/>
    </xf>
    <xf numFmtId="0" fontId="0" fillId="0" borderId="23" xfId="0" applyBorder="1" applyAlignment="1">
      <alignment horizontal="center" vertical="center"/>
    </xf>
    <xf numFmtId="165" fontId="3" fillId="7" borderId="26" xfId="0" applyNumberFormat="1" applyFont="1" applyFill="1" applyBorder="1" applyAlignment="1">
      <alignment horizontal="center" vertical="center"/>
    </xf>
    <xf numFmtId="165" fontId="3" fillId="4" borderId="20" xfId="0" applyNumberFormat="1" applyFont="1" applyFill="1" applyBorder="1" applyAlignment="1">
      <alignment horizontal="center" vertical="center"/>
    </xf>
    <xf numFmtId="165" fontId="3" fillId="7" borderId="8" xfId="0" applyNumberFormat="1" applyFont="1" applyFill="1" applyBorder="1" applyAlignment="1">
      <alignment horizontal="center" vertical="center"/>
    </xf>
    <xf numFmtId="0" fontId="11" fillId="0" borderId="0" xfId="3" applyNumberFormat="1"/>
    <xf numFmtId="0" fontId="0" fillId="0" borderId="1" xfId="0" applyNumberFormat="1" applyBorder="1" applyAlignment="1">
      <alignment horizontal="center"/>
    </xf>
    <xf numFmtId="0" fontId="0" fillId="0" borderId="1" xfId="0" applyBorder="1" applyAlignment="1"/>
    <xf numFmtId="0" fontId="0" fillId="0" borderId="2" xfId="0" applyBorder="1" applyAlignment="1">
      <alignment horizontal="center"/>
    </xf>
    <xf numFmtId="0" fontId="8" fillId="2" borderId="0" xfId="0" applyFont="1" applyFill="1" applyAlignment="1">
      <alignment horizontal="center"/>
    </xf>
    <xf numFmtId="0" fontId="4" fillId="0" borderId="14" xfId="0" applyFont="1" applyBorder="1" applyAlignment="1">
      <alignment horizontal="center" vertical="center" textRotation="90" wrapText="1"/>
    </xf>
    <xf numFmtId="0" fontId="4" fillId="0" borderId="15" xfId="0" applyFont="1" applyBorder="1" applyAlignment="1">
      <alignment horizontal="center" vertical="center" textRotation="90" wrapText="1"/>
    </xf>
    <xf numFmtId="0" fontId="3" fillId="0" borderId="7" xfId="0" applyFont="1" applyBorder="1" applyAlignment="1">
      <alignment horizontal="center" vertical="center" textRotation="90" wrapText="1"/>
    </xf>
    <xf numFmtId="0" fontId="3" fillId="0" borderId="8" xfId="0" applyFont="1" applyBorder="1" applyAlignment="1">
      <alignment horizontal="center" vertical="center" textRotation="90"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3" fillId="0" borderId="5" xfId="0" applyFont="1" applyBorder="1" applyAlignment="1">
      <alignment horizontal="center" vertical="center" wrapText="1"/>
    </xf>
    <xf numFmtId="0" fontId="0" fillId="0" borderId="1" xfId="0" applyNumberFormat="1" applyBorder="1"/>
    <xf numFmtId="0" fontId="11" fillId="0" borderId="1" xfId="3" applyNumberFormat="1" applyBorder="1"/>
    <xf numFmtId="0" fontId="11" fillId="0" borderId="1" xfId="3" applyNumberFormat="1" applyBorder="1" applyAlignment="1">
      <alignment horizontal="center"/>
    </xf>
  </cellXfs>
  <cellStyles count="4">
    <cellStyle name="Normal" xfId="0" builtinId="0"/>
    <cellStyle name="Normal 2" xfId="2"/>
    <cellStyle name="Normal 3" xfId="3"/>
    <cellStyle name="Porcentaje" xfId="1" builtinId="5"/>
  </cellStyles>
  <dxfs count="0"/>
  <tableStyles count="0" defaultTableStyle="TableStyleMedium2" defaultPivotStyle="PivotStyleLight16"/>
  <colors>
    <mruColors>
      <color rgb="FFCCFFCC"/>
      <color rgb="FFFFCC00"/>
      <color rgb="FFCCECFF"/>
      <color rgb="FFFFCCFF"/>
      <color rgb="FFFF00FF"/>
      <color rgb="FF00FF00"/>
      <color rgb="FF00FFFF"/>
      <color rgb="FFCC99FF"/>
      <color rgb="FFFFFF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a:lstStyle/>
          <a:p>
            <a:pPr>
              <a:defRPr/>
            </a:pPr>
            <a:r>
              <a:rPr lang="es-EC"/>
              <a:t>Satisfacción del Socio </a:t>
            </a:r>
          </a:p>
          <a:p>
            <a:pPr>
              <a:defRPr/>
            </a:pPr>
            <a:r>
              <a:rPr lang="es-EC"/>
              <a:t>Sede: CENTRO</a:t>
            </a:r>
          </a:p>
          <a:p>
            <a:pPr>
              <a:defRPr/>
            </a:pPr>
            <a:r>
              <a:rPr lang="es-EC" baseline="0"/>
              <a:t>MAYO 2024</a:t>
            </a:r>
            <a:r>
              <a:rPr lang="es-EC"/>
              <a:t> </a:t>
            </a:r>
          </a:p>
        </c:rich>
      </c:tx>
      <c:layout>
        <c:manualLayout>
          <c:xMode val="edge"/>
          <c:yMode val="edge"/>
          <c:x val="0.33222722159730034"/>
          <c:y val="2.7777777777777776E-2"/>
        </c:manualLayout>
      </c:layout>
      <c:overlay val="0"/>
    </c:title>
    <c:autoTitleDeleted val="0"/>
    <c:plotArea>
      <c:layout/>
      <c:lineChart>
        <c:grouping val="standard"/>
        <c:varyColors val="0"/>
        <c:ser>
          <c:idx val="0"/>
          <c:order val="0"/>
          <c:dLbls>
            <c:dLbl>
              <c:idx val="0"/>
              <c:layout>
                <c:manualLayout>
                  <c:x val="-2.7777777777777776E-2"/>
                  <c:y val="-6.018518518518518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F71-4862-BE66-B542454B9E96}"/>
                </c:ext>
              </c:extLst>
            </c:dLbl>
            <c:dLbl>
              <c:idx val="1"/>
              <c:layout>
                <c:manualLayout>
                  <c:x val="-2.7777777777777776E-2"/>
                  <c:y val="-7.40740740740740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F71-4862-BE66-B542454B9E96}"/>
                </c:ext>
              </c:extLst>
            </c:dLbl>
            <c:dLbl>
              <c:idx val="2"/>
              <c:layout>
                <c:manualLayout>
                  <c:x val="-2.7777777777777776E-2"/>
                  <c:y val="-6.481481481481481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8F71-4862-BE66-B542454B9E96}"/>
                </c:ext>
              </c:extLst>
            </c:dLbl>
            <c:dLbl>
              <c:idx val="3"/>
              <c:layout>
                <c:manualLayout>
                  <c:x val="-2.4691358024691357E-2"/>
                  <c:y val="-7.870370370370370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8F71-4862-BE66-B542454B9E96}"/>
                </c:ext>
              </c:extLst>
            </c:dLbl>
            <c:dLbl>
              <c:idx val="4"/>
              <c:layout>
                <c:manualLayout>
                  <c:x val="-2.4691358024691357E-2"/>
                  <c:y val="-6.944444444444444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8F71-4862-BE66-B542454B9E9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INDICADORES!$B$33:$B$37</c:f>
              <c:strCache>
                <c:ptCount val="5"/>
                <c:pt idx="0">
                  <c:v>Amabilidad del personal</c:v>
                </c:pt>
                <c:pt idx="1">
                  <c:v>Rapidez del servicio</c:v>
                </c:pt>
                <c:pt idx="2">
                  <c:v>Calidad de la Comida</c:v>
                </c:pt>
                <c:pt idx="3">
                  <c:v>Variedad del menu</c:v>
                </c:pt>
                <c:pt idx="4">
                  <c:v>Ambiente Acogedor</c:v>
                </c:pt>
              </c:strCache>
            </c:strRef>
          </c:cat>
          <c:val>
            <c:numRef>
              <c:f>INDICADORES!$F$33:$F$37</c:f>
              <c:numCache>
                <c:formatCode>0.00%</c:formatCode>
                <c:ptCount val="5"/>
                <c:pt idx="0">
                  <c:v>0.99036202349556468</c:v>
                </c:pt>
                <c:pt idx="1">
                  <c:v>0.94530365343120082</c:v>
                </c:pt>
                <c:pt idx="2">
                  <c:v>0.95499572752030193</c:v>
                </c:pt>
                <c:pt idx="3">
                  <c:v>0.91490572881126708</c:v>
                </c:pt>
                <c:pt idx="4">
                  <c:v>0.94662535578383089</c:v>
                </c:pt>
              </c:numCache>
            </c:numRef>
          </c:val>
          <c:smooth val="0"/>
          <c:extLst>
            <c:ext xmlns:c16="http://schemas.microsoft.com/office/drawing/2014/chart" uri="{C3380CC4-5D6E-409C-BE32-E72D297353CC}">
              <c16:uniqueId val="{00000005-8F71-4862-BE66-B542454B9E96}"/>
            </c:ext>
          </c:extLst>
        </c:ser>
        <c:dLbls>
          <c:showLegendKey val="0"/>
          <c:showVal val="0"/>
          <c:showCatName val="0"/>
          <c:showSerName val="0"/>
          <c:showPercent val="0"/>
          <c:showBubbleSize val="0"/>
        </c:dLbls>
        <c:marker val="1"/>
        <c:smooth val="0"/>
        <c:axId val="125477632"/>
        <c:axId val="125479168"/>
      </c:lineChart>
      <c:catAx>
        <c:axId val="125477632"/>
        <c:scaling>
          <c:orientation val="minMax"/>
        </c:scaling>
        <c:delete val="0"/>
        <c:axPos val="b"/>
        <c:numFmt formatCode="General" sourceLinked="0"/>
        <c:majorTickMark val="none"/>
        <c:minorTickMark val="none"/>
        <c:tickLblPos val="nextTo"/>
        <c:crossAx val="125479168"/>
        <c:crosses val="autoZero"/>
        <c:auto val="1"/>
        <c:lblAlgn val="ctr"/>
        <c:lblOffset val="100"/>
        <c:noMultiLvlLbl val="0"/>
      </c:catAx>
      <c:valAx>
        <c:axId val="125479168"/>
        <c:scaling>
          <c:orientation val="minMax"/>
        </c:scaling>
        <c:delete val="0"/>
        <c:axPos val="l"/>
        <c:majorGridlines/>
        <c:title>
          <c:tx>
            <c:rich>
              <a:bodyPr/>
              <a:lstStyle/>
              <a:p>
                <a:pPr>
                  <a:defRPr/>
                </a:pPr>
                <a:r>
                  <a:rPr lang="es-EC"/>
                  <a:t>Puntuación Obtenida</a:t>
                </a:r>
              </a:p>
            </c:rich>
          </c:tx>
          <c:layout/>
          <c:overlay val="0"/>
        </c:title>
        <c:numFmt formatCode="0.00%" sourceLinked="1"/>
        <c:majorTickMark val="none"/>
        <c:minorTickMark val="none"/>
        <c:tickLblPos val="nextTo"/>
        <c:crossAx val="125477632"/>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28575</xdr:colOff>
      <xdr:row>38</xdr:row>
      <xdr:rowOff>61912</xdr:rowOff>
    </xdr:from>
    <xdr:to>
      <xdr:col>6</xdr:col>
      <xdr:colOff>9525</xdr:colOff>
      <xdr:row>55</xdr:row>
      <xdr:rowOff>23812</xdr:rowOff>
    </xdr:to>
    <xdr:graphicFrame macro="">
      <xdr:nvGraphicFramePr>
        <xdr:cNvPr id="2" name="1 Gráfico">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W1728"/>
  <sheetViews>
    <sheetView topLeftCell="A126" zoomScale="75" zoomScaleNormal="80" workbookViewId="0">
      <selection activeCell="U64" sqref="U64:U160"/>
    </sheetView>
  </sheetViews>
  <sheetFormatPr baseColWidth="10" defaultRowHeight="14.4" x14ac:dyDescent="0.3"/>
  <cols>
    <col min="1" max="2" width="4" bestFit="1" customWidth="1"/>
    <col min="3" max="3" width="0" hidden="1" customWidth="1"/>
    <col min="4" max="8" width="6.5546875" hidden="1" customWidth="1"/>
    <col min="9" max="9" width="3.6640625" hidden="1" customWidth="1"/>
    <col min="10" max="10" width="11.33203125" hidden="1" customWidth="1"/>
    <col min="11" max="11" width="11.33203125" customWidth="1"/>
    <col min="12" max="12" width="6.6640625" customWidth="1"/>
    <col min="13" max="13" width="24.33203125" customWidth="1"/>
    <col min="14" max="14" width="20.6640625" customWidth="1"/>
    <col min="15" max="15" width="6.6640625" customWidth="1"/>
    <col min="16" max="16" width="7.33203125" customWidth="1"/>
    <col min="17" max="19" width="6.6640625" customWidth="1"/>
    <col min="20" max="20" width="7.6640625" style="84" customWidth="1"/>
    <col min="21" max="21" width="19" customWidth="1"/>
    <col min="23" max="23" width="11.5546875" style="3"/>
  </cols>
  <sheetData>
    <row r="5" spans="3:22" ht="90.6" customHeight="1" x14ac:dyDescent="0.3">
      <c r="C5" s="1"/>
      <c r="D5" s="22" t="s">
        <v>1</v>
      </c>
      <c r="E5" s="22" t="s">
        <v>2</v>
      </c>
      <c r="F5" s="22" t="s">
        <v>3</v>
      </c>
      <c r="G5" s="22" t="s">
        <v>4</v>
      </c>
      <c r="H5" s="22" t="s">
        <v>5</v>
      </c>
      <c r="I5" s="22" t="s">
        <v>0</v>
      </c>
      <c r="J5" s="22"/>
      <c r="K5" s="80"/>
      <c r="L5" s="1"/>
      <c r="M5" s="109" t="s">
        <v>53</v>
      </c>
      <c r="N5" s="109" t="s">
        <v>54</v>
      </c>
      <c r="O5" s="108" t="s">
        <v>1</v>
      </c>
      <c r="P5" s="108" t="s">
        <v>2</v>
      </c>
      <c r="Q5" s="108" t="s">
        <v>3</v>
      </c>
      <c r="R5" s="108" t="s">
        <v>4</v>
      </c>
      <c r="S5" s="108" t="s">
        <v>5</v>
      </c>
      <c r="T5" s="108" t="s">
        <v>0</v>
      </c>
      <c r="U5" s="108" t="s">
        <v>6</v>
      </c>
      <c r="V5" s="108" t="s">
        <v>56</v>
      </c>
    </row>
    <row r="6" spans="3:22" ht="15" customHeight="1" x14ac:dyDescent="0.3">
      <c r="C6" s="21"/>
      <c r="D6" s="1"/>
      <c r="E6" s="1"/>
      <c r="F6" s="1"/>
      <c r="G6" s="1"/>
      <c r="H6" s="1"/>
      <c r="I6" s="1"/>
      <c r="J6" s="1"/>
      <c r="L6" s="85">
        <v>1</v>
      </c>
      <c r="M6" s="110" t="s">
        <v>74</v>
      </c>
      <c r="N6" s="107" t="s">
        <v>75</v>
      </c>
      <c r="O6" s="127">
        <v>5</v>
      </c>
      <c r="P6" s="127">
        <v>5</v>
      </c>
      <c r="Q6" s="127">
        <v>5</v>
      </c>
      <c r="R6" s="127">
        <v>5</v>
      </c>
      <c r="S6" s="127">
        <v>5</v>
      </c>
      <c r="T6" s="85" t="s">
        <v>51</v>
      </c>
      <c r="U6" s="106">
        <v>45415</v>
      </c>
      <c r="V6" s="117" t="s">
        <v>60</v>
      </c>
    </row>
    <row r="7" spans="3:22" x14ac:dyDescent="0.3">
      <c r="C7" s="21"/>
      <c r="D7" s="1"/>
      <c r="E7" s="1"/>
      <c r="F7" s="1"/>
      <c r="G7" s="1"/>
      <c r="H7" s="1"/>
      <c r="I7" s="1"/>
      <c r="J7" s="1"/>
      <c r="L7" s="85">
        <v>2</v>
      </c>
      <c r="M7" s="110" t="s">
        <v>74</v>
      </c>
      <c r="N7" s="107" t="s">
        <v>75</v>
      </c>
      <c r="O7" s="127">
        <v>5</v>
      </c>
      <c r="P7" s="127">
        <v>5</v>
      </c>
      <c r="Q7" s="127">
        <v>5</v>
      </c>
      <c r="R7" s="127">
        <v>5</v>
      </c>
      <c r="S7" s="127">
        <v>5</v>
      </c>
      <c r="T7" s="85" t="s">
        <v>51</v>
      </c>
      <c r="U7" s="106">
        <v>45415</v>
      </c>
      <c r="V7" s="117" t="s">
        <v>60</v>
      </c>
    </row>
    <row r="8" spans="3:22" x14ac:dyDescent="0.3">
      <c r="C8" s="21"/>
      <c r="D8" s="1"/>
      <c r="E8" s="1"/>
      <c r="F8" s="1"/>
      <c r="G8" s="1"/>
      <c r="H8" s="1"/>
      <c r="I8" s="1"/>
      <c r="J8" s="1"/>
      <c r="L8" s="85">
        <v>3</v>
      </c>
      <c r="M8" s="110" t="s">
        <v>76</v>
      </c>
      <c r="N8" s="107" t="s">
        <v>77</v>
      </c>
      <c r="O8" s="127">
        <v>5</v>
      </c>
      <c r="P8" s="127">
        <v>5</v>
      </c>
      <c r="Q8" s="127">
        <v>5</v>
      </c>
      <c r="R8" s="127">
        <v>5</v>
      </c>
      <c r="S8" s="127">
        <v>5</v>
      </c>
      <c r="T8" s="85" t="s">
        <v>51</v>
      </c>
      <c r="U8" s="106">
        <v>45415</v>
      </c>
      <c r="V8" s="117" t="s">
        <v>60</v>
      </c>
    </row>
    <row r="9" spans="3:22" x14ac:dyDescent="0.3">
      <c r="C9" s="21"/>
      <c r="D9" s="1"/>
      <c r="E9" s="1"/>
      <c r="F9" s="1"/>
      <c r="G9" s="1"/>
      <c r="H9" s="1"/>
      <c r="I9" s="1"/>
      <c r="J9" s="1"/>
      <c r="L9" s="85">
        <v>4</v>
      </c>
      <c r="M9" s="110" t="s">
        <v>78</v>
      </c>
      <c r="N9" s="107" t="s">
        <v>79</v>
      </c>
      <c r="O9" s="127">
        <v>5</v>
      </c>
      <c r="P9" s="127">
        <v>5</v>
      </c>
      <c r="Q9" s="127">
        <v>5</v>
      </c>
      <c r="R9" s="127">
        <v>5</v>
      </c>
      <c r="S9" s="127">
        <v>5</v>
      </c>
      <c r="T9" s="85" t="s">
        <v>51</v>
      </c>
      <c r="U9" s="106">
        <v>45415</v>
      </c>
      <c r="V9" s="117" t="s">
        <v>136</v>
      </c>
    </row>
    <row r="10" spans="3:22" x14ac:dyDescent="0.3">
      <c r="C10" s="21"/>
      <c r="D10" s="1"/>
      <c r="E10" s="1"/>
      <c r="F10" s="1"/>
      <c r="G10" s="1"/>
      <c r="H10" s="1"/>
      <c r="I10" s="1"/>
      <c r="J10" s="1"/>
      <c r="L10" s="85">
        <v>5</v>
      </c>
      <c r="M10" s="110" t="s">
        <v>78</v>
      </c>
      <c r="N10" s="107" t="s">
        <v>79</v>
      </c>
      <c r="O10" s="127">
        <v>5</v>
      </c>
      <c r="P10" s="127">
        <v>5</v>
      </c>
      <c r="Q10" s="127">
        <v>5</v>
      </c>
      <c r="R10" s="127">
        <v>5</v>
      </c>
      <c r="S10" s="127">
        <v>5</v>
      </c>
      <c r="T10" s="85" t="s">
        <v>51</v>
      </c>
      <c r="U10" s="106">
        <v>45415</v>
      </c>
      <c r="V10" s="117" t="s">
        <v>136</v>
      </c>
    </row>
    <row r="11" spans="3:22" x14ac:dyDescent="0.3">
      <c r="C11" s="21"/>
      <c r="D11" s="1"/>
      <c r="E11" s="1"/>
      <c r="F11" s="1"/>
      <c r="G11" s="1"/>
      <c r="H11" s="1"/>
      <c r="I11" s="1"/>
      <c r="J11" s="1"/>
      <c r="L11" s="85">
        <v>6</v>
      </c>
      <c r="M11" s="110" t="s">
        <v>80</v>
      </c>
      <c r="N11" s="107" t="s">
        <v>81</v>
      </c>
      <c r="O11" s="127">
        <v>5</v>
      </c>
      <c r="P11" s="127">
        <v>4</v>
      </c>
      <c r="Q11" s="127">
        <v>5</v>
      </c>
      <c r="R11" s="127">
        <v>4</v>
      </c>
      <c r="S11" s="127">
        <v>4</v>
      </c>
      <c r="T11" s="85" t="s">
        <v>51</v>
      </c>
      <c r="U11" s="106">
        <v>45416</v>
      </c>
      <c r="V11" s="117" t="s">
        <v>60</v>
      </c>
    </row>
    <row r="12" spans="3:22" x14ac:dyDescent="0.3">
      <c r="C12" s="21"/>
      <c r="D12" s="1"/>
      <c r="E12" s="1"/>
      <c r="F12" s="1"/>
      <c r="G12" s="1"/>
      <c r="H12" s="1"/>
      <c r="I12" s="1"/>
      <c r="J12" s="1"/>
      <c r="L12" s="85">
        <v>7</v>
      </c>
      <c r="M12" s="110" t="s">
        <v>80</v>
      </c>
      <c r="N12" s="107" t="s">
        <v>81</v>
      </c>
      <c r="O12" s="127">
        <v>5</v>
      </c>
      <c r="P12" s="127">
        <v>5</v>
      </c>
      <c r="Q12" s="127">
        <v>5</v>
      </c>
      <c r="R12" s="127">
        <v>5</v>
      </c>
      <c r="S12" s="127">
        <v>4</v>
      </c>
      <c r="T12" s="85" t="s">
        <v>51</v>
      </c>
      <c r="U12" s="106">
        <v>45416</v>
      </c>
      <c r="V12" s="117" t="s">
        <v>60</v>
      </c>
    </row>
    <row r="13" spans="3:22" x14ac:dyDescent="0.3">
      <c r="C13" s="21"/>
      <c r="D13" s="1"/>
      <c r="E13" s="1"/>
      <c r="F13" s="1"/>
      <c r="G13" s="1"/>
      <c r="H13" s="1"/>
      <c r="I13" s="1"/>
      <c r="J13" s="1"/>
      <c r="L13" s="85">
        <v>8</v>
      </c>
      <c r="M13" s="110" t="s">
        <v>82</v>
      </c>
      <c r="N13" s="107" t="s">
        <v>83</v>
      </c>
      <c r="O13" s="127">
        <v>5</v>
      </c>
      <c r="P13" s="127">
        <v>4</v>
      </c>
      <c r="Q13" s="127">
        <v>4</v>
      </c>
      <c r="R13" s="127">
        <v>3</v>
      </c>
      <c r="S13" s="127">
        <v>5</v>
      </c>
      <c r="T13" s="85" t="s">
        <v>51</v>
      </c>
      <c r="U13" s="106">
        <v>45416</v>
      </c>
      <c r="V13" s="117" t="s">
        <v>60</v>
      </c>
    </row>
    <row r="14" spans="3:22" x14ac:dyDescent="0.3">
      <c r="C14" s="21"/>
      <c r="D14" s="1"/>
      <c r="E14" s="1"/>
      <c r="F14" s="1"/>
      <c r="G14" s="1"/>
      <c r="H14" s="1"/>
      <c r="I14" s="1"/>
      <c r="J14" s="1"/>
      <c r="L14" s="85">
        <v>9</v>
      </c>
      <c r="M14" s="110" t="s">
        <v>84</v>
      </c>
      <c r="N14" s="107" t="s">
        <v>83</v>
      </c>
      <c r="O14" s="127">
        <v>5</v>
      </c>
      <c r="P14" s="127">
        <v>5</v>
      </c>
      <c r="Q14" s="127">
        <v>5</v>
      </c>
      <c r="R14" s="127">
        <v>5</v>
      </c>
      <c r="S14" s="127">
        <v>5</v>
      </c>
      <c r="T14" s="85" t="s">
        <v>51</v>
      </c>
      <c r="U14" s="106">
        <v>45416</v>
      </c>
      <c r="V14" s="117" t="s">
        <v>137</v>
      </c>
    </row>
    <row r="15" spans="3:22" x14ac:dyDescent="0.3">
      <c r="C15" s="21"/>
      <c r="D15" s="1"/>
      <c r="E15" s="1"/>
      <c r="F15" s="1"/>
      <c r="G15" s="1"/>
      <c r="H15" s="1"/>
      <c r="I15" s="1"/>
      <c r="J15" s="1"/>
      <c r="L15" s="85">
        <v>10</v>
      </c>
      <c r="M15" s="110" t="s">
        <v>85</v>
      </c>
      <c r="N15" s="107" t="s">
        <v>81</v>
      </c>
      <c r="O15" s="127">
        <v>5</v>
      </c>
      <c r="P15" s="127">
        <v>5</v>
      </c>
      <c r="Q15" s="127">
        <v>5</v>
      </c>
      <c r="R15" s="127">
        <v>5</v>
      </c>
      <c r="S15" s="127">
        <v>5</v>
      </c>
      <c r="T15" s="85" t="s">
        <v>51</v>
      </c>
      <c r="U15" s="106">
        <v>45417</v>
      </c>
      <c r="V15" s="117" t="s">
        <v>60</v>
      </c>
    </row>
    <row r="16" spans="3:22" x14ac:dyDescent="0.3">
      <c r="C16" s="21"/>
      <c r="D16" s="1"/>
      <c r="E16" s="1"/>
      <c r="F16" s="1"/>
      <c r="G16" s="1"/>
      <c r="H16" s="1"/>
      <c r="I16" s="1"/>
      <c r="J16" s="1"/>
      <c r="L16" s="85">
        <v>11</v>
      </c>
      <c r="M16" s="110" t="s">
        <v>86</v>
      </c>
      <c r="N16" s="107" t="s">
        <v>87</v>
      </c>
      <c r="O16" s="127">
        <v>5</v>
      </c>
      <c r="P16" s="127">
        <v>5</v>
      </c>
      <c r="Q16" s="127">
        <v>5</v>
      </c>
      <c r="R16" s="127">
        <v>5</v>
      </c>
      <c r="S16" s="127">
        <v>5</v>
      </c>
      <c r="T16" s="85" t="s">
        <v>51</v>
      </c>
      <c r="U16" s="106">
        <v>45417</v>
      </c>
      <c r="V16" s="117" t="s">
        <v>60</v>
      </c>
    </row>
    <row r="17" spans="3:22" x14ac:dyDescent="0.3">
      <c r="C17" s="21"/>
      <c r="D17" s="1"/>
      <c r="E17" s="1"/>
      <c r="F17" s="1"/>
      <c r="G17" s="1"/>
      <c r="H17" s="1"/>
      <c r="I17" s="1"/>
      <c r="J17" s="1"/>
      <c r="L17" s="85">
        <v>12</v>
      </c>
      <c r="M17" s="110" t="s">
        <v>86</v>
      </c>
      <c r="N17" s="107" t="s">
        <v>87</v>
      </c>
      <c r="O17" s="127">
        <v>5</v>
      </c>
      <c r="P17" s="127">
        <v>5</v>
      </c>
      <c r="Q17" s="127">
        <v>5</v>
      </c>
      <c r="R17" s="127">
        <v>5</v>
      </c>
      <c r="S17" s="127">
        <v>5</v>
      </c>
      <c r="T17" s="85" t="s">
        <v>51</v>
      </c>
      <c r="U17" s="106">
        <v>45417</v>
      </c>
      <c r="V17" s="117" t="s">
        <v>60</v>
      </c>
    </row>
    <row r="18" spans="3:22" x14ac:dyDescent="0.3">
      <c r="C18" s="21"/>
      <c r="D18" s="1"/>
      <c r="E18" s="1"/>
      <c r="F18" s="1"/>
      <c r="G18" s="1"/>
      <c r="H18" s="1"/>
      <c r="I18" s="1"/>
      <c r="J18" s="1"/>
      <c r="L18" s="85">
        <v>13</v>
      </c>
      <c r="M18" s="110" t="s">
        <v>88</v>
      </c>
      <c r="N18" s="107" t="s">
        <v>89</v>
      </c>
      <c r="O18" s="127">
        <v>5</v>
      </c>
      <c r="P18" s="127">
        <v>5</v>
      </c>
      <c r="Q18" s="127">
        <v>5</v>
      </c>
      <c r="R18" s="127">
        <v>5</v>
      </c>
      <c r="S18" s="127">
        <v>5</v>
      </c>
      <c r="T18" s="85" t="s">
        <v>51</v>
      </c>
      <c r="U18" s="106">
        <v>45417</v>
      </c>
      <c r="V18" s="117" t="s">
        <v>60</v>
      </c>
    </row>
    <row r="19" spans="3:22" x14ac:dyDescent="0.3">
      <c r="C19" s="21"/>
      <c r="D19" s="1"/>
      <c r="E19" s="1"/>
      <c r="F19" s="1"/>
      <c r="G19" s="1"/>
      <c r="H19" s="1"/>
      <c r="I19" s="1"/>
      <c r="J19" s="1"/>
      <c r="L19" s="85">
        <v>14</v>
      </c>
      <c r="M19" s="110" t="s">
        <v>88</v>
      </c>
      <c r="N19" s="107" t="s">
        <v>89</v>
      </c>
      <c r="O19" s="127">
        <v>5</v>
      </c>
      <c r="P19" s="127">
        <v>5</v>
      </c>
      <c r="Q19" s="127">
        <v>5</v>
      </c>
      <c r="R19" s="127">
        <v>5</v>
      </c>
      <c r="S19" s="127">
        <v>5</v>
      </c>
      <c r="T19" s="85" t="s">
        <v>51</v>
      </c>
      <c r="U19" s="106">
        <v>45417</v>
      </c>
      <c r="V19" s="117" t="s">
        <v>60</v>
      </c>
    </row>
    <row r="20" spans="3:22" x14ac:dyDescent="0.3">
      <c r="C20" s="21"/>
      <c r="D20" s="1"/>
      <c r="E20" s="1"/>
      <c r="F20" s="1"/>
      <c r="G20" s="1"/>
      <c r="H20" s="1"/>
      <c r="I20" s="1"/>
      <c r="J20" s="1"/>
      <c r="L20" s="85">
        <v>15</v>
      </c>
      <c r="M20" s="110" t="s">
        <v>90</v>
      </c>
      <c r="N20" s="107" t="s">
        <v>62</v>
      </c>
      <c r="O20" s="127">
        <v>5</v>
      </c>
      <c r="P20" s="127">
        <v>5</v>
      </c>
      <c r="Q20" s="127">
        <v>5</v>
      </c>
      <c r="R20" s="127">
        <v>5</v>
      </c>
      <c r="S20" s="127">
        <v>5</v>
      </c>
      <c r="T20" s="85" t="s">
        <v>51</v>
      </c>
      <c r="U20" s="106">
        <v>45417</v>
      </c>
      <c r="V20" s="117" t="s">
        <v>60</v>
      </c>
    </row>
    <row r="21" spans="3:22" x14ac:dyDescent="0.3">
      <c r="C21" s="21"/>
      <c r="D21" s="1"/>
      <c r="E21" s="1"/>
      <c r="F21" s="1"/>
      <c r="G21" s="1"/>
      <c r="H21" s="1"/>
      <c r="I21" s="1"/>
      <c r="J21" s="1"/>
      <c r="L21" s="85">
        <v>16</v>
      </c>
      <c r="M21" s="110" t="s">
        <v>91</v>
      </c>
      <c r="N21" s="107" t="s">
        <v>92</v>
      </c>
      <c r="O21" s="127">
        <v>5</v>
      </c>
      <c r="P21" s="127">
        <v>5</v>
      </c>
      <c r="Q21" s="127">
        <v>5</v>
      </c>
      <c r="R21" s="127">
        <v>3</v>
      </c>
      <c r="S21" s="127">
        <v>5</v>
      </c>
      <c r="T21" s="85" t="s">
        <v>51</v>
      </c>
      <c r="U21" s="106">
        <v>45417</v>
      </c>
      <c r="V21" s="117" t="s">
        <v>60</v>
      </c>
    </row>
    <row r="22" spans="3:22" x14ac:dyDescent="0.3">
      <c r="C22" s="21"/>
      <c r="D22" s="1"/>
      <c r="E22" s="1"/>
      <c r="F22" s="1"/>
      <c r="G22" s="1"/>
      <c r="H22" s="1"/>
      <c r="I22" s="1"/>
      <c r="J22" s="1"/>
      <c r="L22" s="85">
        <v>17</v>
      </c>
      <c r="M22" s="110" t="s">
        <v>93</v>
      </c>
      <c r="N22" s="107" t="s">
        <v>77</v>
      </c>
      <c r="O22" s="127">
        <v>5</v>
      </c>
      <c r="P22" s="127">
        <v>5</v>
      </c>
      <c r="Q22" s="127">
        <v>4</v>
      </c>
      <c r="R22" s="127">
        <v>5</v>
      </c>
      <c r="S22" s="127">
        <v>5</v>
      </c>
      <c r="T22" s="85" t="s">
        <v>51</v>
      </c>
      <c r="U22" s="106">
        <v>45417</v>
      </c>
      <c r="V22" s="117" t="s">
        <v>60</v>
      </c>
    </row>
    <row r="23" spans="3:22" x14ac:dyDescent="0.3">
      <c r="C23" s="21"/>
      <c r="D23" s="1"/>
      <c r="E23" s="1"/>
      <c r="F23" s="1"/>
      <c r="G23" s="1"/>
      <c r="H23" s="1"/>
      <c r="I23" s="1"/>
      <c r="J23" s="1"/>
      <c r="L23" s="85">
        <v>18</v>
      </c>
      <c r="M23" s="110" t="s">
        <v>94</v>
      </c>
      <c r="N23" s="107" t="s">
        <v>95</v>
      </c>
      <c r="O23" s="127">
        <v>5</v>
      </c>
      <c r="P23" s="127">
        <v>5</v>
      </c>
      <c r="Q23" s="127">
        <v>5</v>
      </c>
      <c r="R23" s="127">
        <v>5</v>
      </c>
      <c r="S23" s="127">
        <v>5</v>
      </c>
      <c r="T23" s="85" t="s">
        <v>51</v>
      </c>
      <c r="U23" s="106">
        <v>45419</v>
      </c>
      <c r="V23" s="117" t="s">
        <v>138</v>
      </c>
    </row>
    <row r="24" spans="3:22" x14ac:dyDescent="0.3">
      <c r="C24" s="21"/>
      <c r="D24" s="1"/>
      <c r="E24" s="1"/>
      <c r="F24" s="1"/>
      <c r="G24" s="1"/>
      <c r="H24" s="1"/>
      <c r="I24" s="1"/>
      <c r="J24" s="1"/>
      <c r="L24" s="85">
        <v>19</v>
      </c>
      <c r="M24" s="110" t="s">
        <v>96</v>
      </c>
      <c r="N24" s="107" t="s">
        <v>97</v>
      </c>
      <c r="O24" s="127">
        <v>1</v>
      </c>
      <c r="P24" s="127">
        <v>1</v>
      </c>
      <c r="Q24" s="127">
        <v>1</v>
      </c>
      <c r="R24" s="127">
        <v>1</v>
      </c>
      <c r="S24" s="127">
        <v>1</v>
      </c>
      <c r="T24" s="85" t="s">
        <v>51</v>
      </c>
      <c r="U24" s="106">
        <v>45419</v>
      </c>
      <c r="V24" s="117" t="s">
        <v>139</v>
      </c>
    </row>
    <row r="25" spans="3:22" x14ac:dyDescent="0.3">
      <c r="C25" s="21"/>
      <c r="D25" s="1"/>
      <c r="E25" s="1"/>
      <c r="F25" s="1"/>
      <c r="G25" s="1"/>
      <c r="H25" s="1"/>
      <c r="I25" s="1"/>
      <c r="J25" s="1"/>
      <c r="L25" s="85">
        <v>20</v>
      </c>
      <c r="M25" s="110" t="s">
        <v>98</v>
      </c>
      <c r="N25" s="107" t="s">
        <v>83</v>
      </c>
      <c r="O25" s="127">
        <v>5</v>
      </c>
      <c r="P25" s="127">
        <v>5</v>
      </c>
      <c r="Q25" s="127">
        <v>5</v>
      </c>
      <c r="R25" s="127">
        <v>5</v>
      </c>
      <c r="S25" s="127">
        <v>5</v>
      </c>
      <c r="T25" s="85" t="s">
        <v>51</v>
      </c>
      <c r="U25" s="106">
        <v>45420</v>
      </c>
      <c r="V25" s="117" t="s">
        <v>140</v>
      </c>
    </row>
    <row r="26" spans="3:22" x14ac:dyDescent="0.3">
      <c r="C26" s="21"/>
      <c r="D26" s="1"/>
      <c r="E26" s="1"/>
      <c r="F26" s="1"/>
      <c r="G26" s="1"/>
      <c r="H26" s="1"/>
      <c r="I26" s="1"/>
      <c r="J26" s="1"/>
      <c r="L26" s="85">
        <v>21</v>
      </c>
      <c r="M26" s="110" t="s">
        <v>63</v>
      </c>
      <c r="N26" s="107" t="s">
        <v>99</v>
      </c>
      <c r="O26" s="127">
        <v>5</v>
      </c>
      <c r="P26" s="127">
        <v>5</v>
      </c>
      <c r="Q26" s="127">
        <v>5</v>
      </c>
      <c r="R26" s="127">
        <v>5</v>
      </c>
      <c r="S26" s="127">
        <v>5</v>
      </c>
      <c r="T26" s="85" t="s">
        <v>51</v>
      </c>
      <c r="U26" s="106">
        <v>45420</v>
      </c>
      <c r="V26" s="117" t="s">
        <v>60</v>
      </c>
    </row>
    <row r="27" spans="3:22" x14ac:dyDescent="0.3">
      <c r="C27" s="21"/>
      <c r="D27" s="1"/>
      <c r="E27" s="1"/>
      <c r="F27" s="1"/>
      <c r="G27" s="1"/>
      <c r="H27" s="1"/>
      <c r="I27" s="1"/>
      <c r="J27" s="1"/>
      <c r="L27" s="85">
        <v>22</v>
      </c>
      <c r="M27" s="110" t="s">
        <v>100</v>
      </c>
      <c r="N27" s="107" t="s">
        <v>101</v>
      </c>
      <c r="O27" s="127">
        <v>5</v>
      </c>
      <c r="P27" s="127">
        <v>4</v>
      </c>
      <c r="Q27" s="127">
        <v>5</v>
      </c>
      <c r="R27" s="127">
        <v>4</v>
      </c>
      <c r="S27" s="127">
        <v>5</v>
      </c>
      <c r="T27" s="85" t="s">
        <v>51</v>
      </c>
      <c r="U27" s="106">
        <v>45428</v>
      </c>
      <c r="V27" s="117" t="s">
        <v>60</v>
      </c>
    </row>
    <row r="28" spans="3:22" x14ac:dyDescent="0.3">
      <c r="C28" s="21"/>
      <c r="D28" s="1"/>
      <c r="E28" s="1"/>
      <c r="F28" s="1"/>
      <c r="G28" s="1"/>
      <c r="H28" s="1"/>
      <c r="I28" s="1"/>
      <c r="J28" s="1"/>
      <c r="L28" s="85">
        <v>23</v>
      </c>
      <c r="M28" s="110" t="s">
        <v>102</v>
      </c>
      <c r="N28" s="107" t="s">
        <v>103</v>
      </c>
      <c r="O28" s="127">
        <v>5</v>
      </c>
      <c r="P28" s="127">
        <v>5</v>
      </c>
      <c r="Q28" s="127">
        <v>5</v>
      </c>
      <c r="R28" s="127">
        <v>5</v>
      </c>
      <c r="S28" s="127">
        <v>5</v>
      </c>
      <c r="T28" s="85" t="s">
        <v>51</v>
      </c>
      <c r="U28" s="106">
        <v>45428</v>
      </c>
      <c r="V28" s="117" t="s">
        <v>60</v>
      </c>
    </row>
    <row r="29" spans="3:22" x14ac:dyDescent="0.3">
      <c r="C29" s="21"/>
      <c r="D29" s="1"/>
      <c r="E29" s="1"/>
      <c r="F29" s="1"/>
      <c r="G29" s="1"/>
      <c r="H29" s="1"/>
      <c r="I29" s="1"/>
      <c r="J29" s="1"/>
      <c r="L29" s="85">
        <v>24</v>
      </c>
      <c r="M29" s="110" t="s">
        <v>104</v>
      </c>
      <c r="N29" s="107" t="s">
        <v>105</v>
      </c>
      <c r="O29" s="127">
        <v>5</v>
      </c>
      <c r="P29" s="127">
        <v>5</v>
      </c>
      <c r="Q29" s="127">
        <v>5</v>
      </c>
      <c r="R29" s="127">
        <v>5</v>
      </c>
      <c r="S29" s="127">
        <v>5</v>
      </c>
      <c r="T29" s="85" t="s">
        <v>51</v>
      </c>
      <c r="U29" s="106">
        <v>45428</v>
      </c>
      <c r="V29" s="117" t="s">
        <v>60</v>
      </c>
    </row>
    <row r="30" spans="3:22" x14ac:dyDescent="0.3">
      <c r="C30" s="21"/>
      <c r="D30" s="1"/>
      <c r="E30" s="1"/>
      <c r="F30" s="1"/>
      <c r="G30" s="1"/>
      <c r="H30" s="1"/>
      <c r="I30" s="1"/>
      <c r="J30" s="1"/>
      <c r="L30" s="85">
        <v>25</v>
      </c>
      <c r="M30" s="110" t="s">
        <v>106</v>
      </c>
      <c r="N30" s="107" t="s">
        <v>107</v>
      </c>
      <c r="O30" s="127">
        <v>5</v>
      </c>
      <c r="P30" s="127">
        <v>4</v>
      </c>
      <c r="Q30" s="127">
        <v>4</v>
      </c>
      <c r="R30" s="127">
        <v>4</v>
      </c>
      <c r="S30" s="127">
        <v>4</v>
      </c>
      <c r="T30" s="85" t="s">
        <v>51</v>
      </c>
      <c r="U30" s="106">
        <v>45428</v>
      </c>
      <c r="V30" s="117" t="s">
        <v>60</v>
      </c>
    </row>
    <row r="31" spans="3:22" x14ac:dyDescent="0.3">
      <c r="C31" s="21"/>
      <c r="D31" s="1"/>
      <c r="E31" s="1"/>
      <c r="F31" s="1"/>
      <c r="G31" s="1"/>
      <c r="H31" s="1"/>
      <c r="I31" s="1"/>
      <c r="J31" s="1"/>
      <c r="L31" s="85">
        <v>26</v>
      </c>
      <c r="M31" s="110" t="s">
        <v>108</v>
      </c>
      <c r="N31" s="107" t="s">
        <v>109</v>
      </c>
      <c r="O31" s="127">
        <v>5</v>
      </c>
      <c r="P31" s="127">
        <v>4</v>
      </c>
      <c r="Q31" s="127">
        <v>4</v>
      </c>
      <c r="R31" s="127">
        <v>4</v>
      </c>
      <c r="S31" s="127">
        <v>4</v>
      </c>
      <c r="T31" s="85" t="s">
        <v>51</v>
      </c>
      <c r="U31" s="106">
        <v>45428</v>
      </c>
      <c r="V31" s="117" t="s">
        <v>60</v>
      </c>
    </row>
    <row r="32" spans="3:22" x14ac:dyDescent="0.3">
      <c r="C32" s="21"/>
      <c r="D32" s="1"/>
      <c r="E32" s="1"/>
      <c r="F32" s="1"/>
      <c r="G32" s="1"/>
      <c r="H32" s="1"/>
      <c r="I32" s="1"/>
      <c r="J32" s="1"/>
      <c r="L32" s="85">
        <v>27</v>
      </c>
      <c r="M32" s="110" t="s">
        <v>110</v>
      </c>
      <c r="N32" s="107" t="s">
        <v>111</v>
      </c>
      <c r="O32" s="127">
        <v>5</v>
      </c>
      <c r="P32" s="127">
        <v>5</v>
      </c>
      <c r="Q32" s="127">
        <v>5</v>
      </c>
      <c r="R32" s="127">
        <v>5</v>
      </c>
      <c r="S32" s="127">
        <v>5</v>
      </c>
      <c r="T32" s="85" t="s">
        <v>51</v>
      </c>
      <c r="U32" s="106">
        <v>45430</v>
      </c>
      <c r="V32" s="117" t="s">
        <v>60</v>
      </c>
    </row>
    <row r="33" spans="3:22" x14ac:dyDescent="0.3">
      <c r="C33" s="21"/>
      <c r="D33" s="1"/>
      <c r="E33" s="1"/>
      <c r="F33" s="1"/>
      <c r="G33" s="1"/>
      <c r="H33" s="1"/>
      <c r="I33" s="1"/>
      <c r="J33" s="1"/>
      <c r="L33" s="85">
        <v>28</v>
      </c>
      <c r="M33" s="110" t="s">
        <v>112</v>
      </c>
      <c r="N33" s="107" t="s">
        <v>89</v>
      </c>
      <c r="O33" s="127">
        <v>5</v>
      </c>
      <c r="P33" s="127">
        <v>5</v>
      </c>
      <c r="Q33" s="127">
        <v>5</v>
      </c>
      <c r="R33" s="127">
        <v>5</v>
      </c>
      <c r="S33" s="127">
        <v>5</v>
      </c>
      <c r="T33" s="85" t="s">
        <v>51</v>
      </c>
      <c r="U33" s="106">
        <v>45430</v>
      </c>
      <c r="V33" s="117" t="s">
        <v>60</v>
      </c>
    </row>
    <row r="34" spans="3:22" x14ac:dyDescent="0.3">
      <c r="C34" s="21"/>
      <c r="D34" s="1"/>
      <c r="E34" s="1"/>
      <c r="F34" s="1"/>
      <c r="G34" s="1"/>
      <c r="H34" s="1"/>
      <c r="I34" s="1"/>
      <c r="J34" s="1"/>
      <c r="L34" s="85">
        <v>29</v>
      </c>
      <c r="M34" s="110" t="s">
        <v>113</v>
      </c>
      <c r="N34" s="107" t="s">
        <v>114</v>
      </c>
      <c r="O34" s="127">
        <v>5</v>
      </c>
      <c r="P34" s="127">
        <v>5</v>
      </c>
      <c r="Q34" s="127">
        <v>5</v>
      </c>
      <c r="R34" s="127">
        <v>5</v>
      </c>
      <c r="S34" s="127">
        <v>5</v>
      </c>
      <c r="T34" s="85" t="s">
        <v>51</v>
      </c>
      <c r="U34" s="106">
        <v>45430</v>
      </c>
      <c r="V34" s="117" t="s">
        <v>141</v>
      </c>
    </row>
    <row r="35" spans="3:22" x14ac:dyDescent="0.3">
      <c r="C35" s="21"/>
      <c r="D35" s="1"/>
      <c r="E35" s="1"/>
      <c r="F35" s="1"/>
      <c r="G35" s="1"/>
      <c r="H35" s="1"/>
      <c r="I35" s="1"/>
      <c r="J35" s="1"/>
      <c r="L35" s="85">
        <v>30</v>
      </c>
      <c r="M35" s="110" t="s">
        <v>115</v>
      </c>
      <c r="N35" s="107" t="s">
        <v>89</v>
      </c>
      <c r="O35" s="127">
        <v>5</v>
      </c>
      <c r="P35" s="127">
        <v>5</v>
      </c>
      <c r="Q35" s="127">
        <v>5</v>
      </c>
      <c r="R35" s="127">
        <v>5</v>
      </c>
      <c r="S35" s="127">
        <v>5</v>
      </c>
      <c r="T35" s="85" t="s">
        <v>51</v>
      </c>
      <c r="U35" s="106">
        <v>45430</v>
      </c>
      <c r="V35" s="117" t="s">
        <v>60</v>
      </c>
    </row>
    <row r="36" spans="3:22" x14ac:dyDescent="0.3">
      <c r="C36" s="21"/>
      <c r="D36" s="1"/>
      <c r="E36" s="1"/>
      <c r="F36" s="1"/>
      <c r="G36" s="1"/>
      <c r="H36" s="1"/>
      <c r="I36" s="1"/>
      <c r="J36" s="1"/>
      <c r="L36" s="85">
        <v>31</v>
      </c>
      <c r="M36" s="110" t="s">
        <v>116</v>
      </c>
      <c r="N36" s="107" t="s">
        <v>114</v>
      </c>
      <c r="O36" s="127">
        <v>5</v>
      </c>
      <c r="P36" s="127">
        <v>5</v>
      </c>
      <c r="Q36" s="127">
        <v>5</v>
      </c>
      <c r="R36" s="127">
        <v>5</v>
      </c>
      <c r="S36" s="127">
        <v>5</v>
      </c>
      <c r="T36" s="85" t="s">
        <v>51</v>
      </c>
      <c r="U36" s="106">
        <v>45430</v>
      </c>
      <c r="V36" s="117" t="s">
        <v>60</v>
      </c>
    </row>
    <row r="37" spans="3:22" x14ac:dyDescent="0.3">
      <c r="C37" s="21"/>
      <c r="D37" s="1"/>
      <c r="E37" s="1"/>
      <c r="F37" s="1"/>
      <c r="G37" s="1"/>
      <c r="H37" s="1"/>
      <c r="I37" s="1"/>
      <c r="J37" s="1"/>
      <c r="L37" s="85">
        <v>32</v>
      </c>
      <c r="M37" s="110" t="s">
        <v>117</v>
      </c>
      <c r="N37" s="107" t="s">
        <v>118</v>
      </c>
      <c r="O37" s="127">
        <v>5</v>
      </c>
      <c r="P37" s="127">
        <v>5</v>
      </c>
      <c r="Q37" s="127">
        <v>5</v>
      </c>
      <c r="R37" s="127">
        <v>5</v>
      </c>
      <c r="S37" s="127">
        <v>5</v>
      </c>
      <c r="T37" s="85" t="s">
        <v>51</v>
      </c>
      <c r="U37" s="106">
        <v>45430</v>
      </c>
      <c r="V37" s="117" t="s">
        <v>60</v>
      </c>
    </row>
    <row r="38" spans="3:22" x14ac:dyDescent="0.3">
      <c r="C38" s="21"/>
      <c r="D38" s="1"/>
      <c r="E38" s="1"/>
      <c r="F38" s="1"/>
      <c r="G38" s="1"/>
      <c r="H38" s="1"/>
      <c r="I38" s="1"/>
      <c r="J38" s="1"/>
      <c r="L38" s="85">
        <v>33</v>
      </c>
      <c r="M38" s="110" t="s">
        <v>119</v>
      </c>
      <c r="N38" s="107" t="s">
        <v>120</v>
      </c>
      <c r="O38" s="127">
        <v>5</v>
      </c>
      <c r="P38" s="127">
        <v>5</v>
      </c>
      <c r="Q38" s="127">
        <v>5</v>
      </c>
      <c r="R38" s="127">
        <v>5</v>
      </c>
      <c r="S38" s="127">
        <v>5</v>
      </c>
      <c r="T38" s="85" t="s">
        <v>51</v>
      </c>
      <c r="U38" s="106">
        <v>45430</v>
      </c>
      <c r="V38" s="117" t="s">
        <v>60</v>
      </c>
    </row>
    <row r="39" spans="3:22" x14ac:dyDescent="0.3">
      <c r="C39" s="21"/>
      <c r="D39" s="1"/>
      <c r="E39" s="1"/>
      <c r="F39" s="1"/>
      <c r="G39" s="1"/>
      <c r="H39" s="1"/>
      <c r="I39" s="1"/>
      <c r="J39" s="1"/>
      <c r="L39" s="85">
        <v>34</v>
      </c>
      <c r="M39" s="110" t="s">
        <v>121</v>
      </c>
      <c r="N39" s="107" t="s">
        <v>61</v>
      </c>
      <c r="O39" s="127">
        <v>5</v>
      </c>
      <c r="P39" s="127">
        <v>5</v>
      </c>
      <c r="Q39" s="127">
        <v>5</v>
      </c>
      <c r="R39" s="127">
        <v>5</v>
      </c>
      <c r="S39" s="127">
        <v>5</v>
      </c>
      <c r="T39" s="85" t="s">
        <v>51</v>
      </c>
      <c r="U39" s="106">
        <v>45434</v>
      </c>
      <c r="V39" s="117" t="s">
        <v>60</v>
      </c>
    </row>
    <row r="40" spans="3:22" x14ac:dyDescent="0.3">
      <c r="C40" s="21"/>
      <c r="D40" s="1"/>
      <c r="E40" s="1"/>
      <c r="F40" s="1"/>
      <c r="G40" s="1"/>
      <c r="H40" s="1"/>
      <c r="I40" s="1"/>
      <c r="J40" s="1"/>
      <c r="L40" s="85">
        <v>35</v>
      </c>
      <c r="M40" s="110" t="s">
        <v>122</v>
      </c>
      <c r="N40" s="107" t="s">
        <v>83</v>
      </c>
      <c r="O40" s="127">
        <v>5</v>
      </c>
      <c r="P40" s="127">
        <v>5</v>
      </c>
      <c r="Q40" s="127">
        <v>5</v>
      </c>
      <c r="R40" s="127">
        <v>5</v>
      </c>
      <c r="S40" s="127">
        <v>5</v>
      </c>
      <c r="T40" s="85" t="s">
        <v>51</v>
      </c>
      <c r="U40" s="106">
        <v>45436</v>
      </c>
      <c r="V40" s="117" t="s">
        <v>60</v>
      </c>
    </row>
    <row r="41" spans="3:22" x14ac:dyDescent="0.3">
      <c r="C41" s="21"/>
      <c r="D41" s="1"/>
      <c r="E41" s="1"/>
      <c r="F41" s="1"/>
      <c r="G41" s="1"/>
      <c r="H41" s="1"/>
      <c r="I41" s="1"/>
      <c r="J41" s="1"/>
      <c r="L41" s="85">
        <v>36</v>
      </c>
      <c r="M41" s="110" t="s">
        <v>123</v>
      </c>
      <c r="N41" s="107" t="s">
        <v>124</v>
      </c>
      <c r="O41" s="127">
        <v>5</v>
      </c>
      <c r="P41" s="127">
        <v>5</v>
      </c>
      <c r="Q41" s="127">
        <v>5</v>
      </c>
      <c r="R41" s="127">
        <v>5</v>
      </c>
      <c r="S41" s="127">
        <v>5</v>
      </c>
      <c r="T41" s="85" t="s">
        <v>51</v>
      </c>
      <c r="U41" s="106">
        <v>45436</v>
      </c>
      <c r="V41" s="117" t="s">
        <v>64</v>
      </c>
    </row>
    <row r="42" spans="3:22" x14ac:dyDescent="0.3">
      <c r="C42" s="21"/>
      <c r="D42" s="1"/>
      <c r="E42" s="1"/>
      <c r="F42" s="1"/>
      <c r="G42" s="1"/>
      <c r="H42" s="1"/>
      <c r="I42" s="1"/>
      <c r="J42" s="1"/>
      <c r="L42" s="85">
        <v>37</v>
      </c>
      <c r="M42" s="110" t="s">
        <v>125</v>
      </c>
      <c r="N42" s="107" t="s">
        <v>126</v>
      </c>
      <c r="O42" s="127">
        <v>5</v>
      </c>
      <c r="P42" s="127">
        <v>5</v>
      </c>
      <c r="Q42" s="127">
        <v>5</v>
      </c>
      <c r="R42" s="127">
        <v>5</v>
      </c>
      <c r="S42" s="127">
        <v>5</v>
      </c>
      <c r="T42" s="85" t="s">
        <v>51</v>
      </c>
      <c r="U42" s="106">
        <v>45436</v>
      </c>
      <c r="V42" s="117" t="s">
        <v>60</v>
      </c>
    </row>
    <row r="43" spans="3:22" x14ac:dyDescent="0.3">
      <c r="C43" s="21"/>
      <c r="D43" s="1"/>
      <c r="E43" s="1"/>
      <c r="F43" s="1"/>
      <c r="G43" s="1"/>
      <c r="H43" s="1"/>
      <c r="I43" s="1"/>
      <c r="J43" s="1"/>
      <c r="L43" s="85">
        <v>38</v>
      </c>
      <c r="M43" s="110" t="s">
        <v>127</v>
      </c>
      <c r="N43" s="107" t="s">
        <v>114</v>
      </c>
      <c r="O43" s="127">
        <v>5</v>
      </c>
      <c r="P43" s="127">
        <v>5</v>
      </c>
      <c r="Q43" s="127">
        <v>5</v>
      </c>
      <c r="R43" s="127">
        <v>5</v>
      </c>
      <c r="S43" s="127">
        <v>5</v>
      </c>
      <c r="T43" s="85" t="s">
        <v>51</v>
      </c>
      <c r="U43" s="106">
        <v>45436</v>
      </c>
      <c r="V43" s="117" t="s">
        <v>60</v>
      </c>
    </row>
    <row r="44" spans="3:22" x14ac:dyDescent="0.3">
      <c r="C44" s="21"/>
      <c r="D44" s="1"/>
      <c r="E44" s="1"/>
      <c r="F44" s="1"/>
      <c r="G44" s="1"/>
      <c r="H44" s="1"/>
      <c r="I44" s="1"/>
      <c r="J44" s="1"/>
      <c r="L44" s="85">
        <v>39</v>
      </c>
      <c r="M44" s="110" t="s">
        <v>128</v>
      </c>
      <c r="N44" s="107" t="s">
        <v>129</v>
      </c>
      <c r="O44" s="127">
        <v>5</v>
      </c>
      <c r="P44" s="127">
        <v>5</v>
      </c>
      <c r="Q44" s="127">
        <v>5</v>
      </c>
      <c r="R44" s="127">
        <v>5</v>
      </c>
      <c r="S44" s="127">
        <v>5</v>
      </c>
      <c r="T44" s="85" t="s">
        <v>51</v>
      </c>
      <c r="U44" s="106">
        <v>45436</v>
      </c>
      <c r="V44" s="117" t="s">
        <v>60</v>
      </c>
    </row>
    <row r="45" spans="3:22" x14ac:dyDescent="0.3">
      <c r="C45" s="21"/>
      <c r="D45" s="1"/>
      <c r="E45" s="1"/>
      <c r="F45" s="1"/>
      <c r="G45" s="1"/>
      <c r="H45" s="1"/>
      <c r="I45" s="1"/>
      <c r="J45" s="1"/>
      <c r="L45" s="85">
        <v>40</v>
      </c>
      <c r="M45" s="110" t="s">
        <v>130</v>
      </c>
      <c r="N45" s="107" t="s">
        <v>111</v>
      </c>
      <c r="O45" s="127">
        <v>5</v>
      </c>
      <c r="P45" s="127">
        <v>5</v>
      </c>
      <c r="Q45" s="127">
        <v>5</v>
      </c>
      <c r="R45" s="127">
        <v>5</v>
      </c>
      <c r="S45" s="127">
        <v>5</v>
      </c>
      <c r="T45" s="85" t="s">
        <v>51</v>
      </c>
      <c r="U45" s="106">
        <v>45436</v>
      </c>
      <c r="V45" s="1" t="s">
        <v>142</v>
      </c>
    </row>
    <row r="46" spans="3:22" ht="15.6" x14ac:dyDescent="0.3">
      <c r="C46" s="21"/>
      <c r="D46" s="1"/>
      <c r="E46" s="1"/>
      <c r="F46" s="1"/>
      <c r="G46" s="1"/>
      <c r="H46" s="1"/>
      <c r="I46" s="1"/>
      <c r="J46" s="1"/>
      <c r="L46" s="85">
        <v>41</v>
      </c>
      <c r="M46" s="107" t="s">
        <v>131</v>
      </c>
      <c r="N46" s="107" t="s">
        <v>132</v>
      </c>
      <c r="O46" s="127">
        <v>5</v>
      </c>
      <c r="P46" s="127">
        <v>4</v>
      </c>
      <c r="Q46" s="127">
        <v>4</v>
      </c>
      <c r="R46" s="127">
        <v>4</v>
      </c>
      <c r="S46" s="127">
        <v>4</v>
      </c>
      <c r="T46" s="85" t="s">
        <v>51</v>
      </c>
      <c r="U46" s="106">
        <v>45437</v>
      </c>
      <c r="V46" s="115" t="s">
        <v>60</v>
      </c>
    </row>
    <row r="47" spans="3:22" x14ac:dyDescent="0.3">
      <c r="C47" s="21"/>
      <c r="D47" s="1"/>
      <c r="E47" s="1"/>
      <c r="F47" s="1"/>
      <c r="G47" s="1"/>
      <c r="H47" s="1"/>
      <c r="I47" s="1"/>
      <c r="J47" s="1"/>
      <c r="L47" s="85">
        <v>42</v>
      </c>
      <c r="M47" s="107" t="s">
        <v>133</v>
      </c>
      <c r="N47" s="107" t="s">
        <v>134</v>
      </c>
      <c r="O47" s="127">
        <v>5</v>
      </c>
      <c r="P47" s="127">
        <v>4</v>
      </c>
      <c r="Q47" s="127">
        <v>4</v>
      </c>
      <c r="R47" s="127">
        <v>4</v>
      </c>
      <c r="S47" s="127">
        <v>3</v>
      </c>
      <c r="T47" s="85" t="s">
        <v>51</v>
      </c>
      <c r="U47" s="106">
        <v>45437</v>
      </c>
      <c r="V47" s="1" t="s">
        <v>143</v>
      </c>
    </row>
    <row r="48" spans="3:22" x14ac:dyDescent="0.3">
      <c r="C48" s="21"/>
      <c r="D48" s="1"/>
      <c r="E48" s="1"/>
      <c r="F48" s="1"/>
      <c r="G48" s="1"/>
      <c r="H48" s="1"/>
      <c r="I48" s="1"/>
      <c r="J48" s="1"/>
      <c r="L48" s="85">
        <v>43</v>
      </c>
      <c r="M48" s="107" t="s">
        <v>135</v>
      </c>
      <c r="N48" s="107" t="s">
        <v>83</v>
      </c>
      <c r="O48" s="127">
        <v>5</v>
      </c>
      <c r="P48" s="127">
        <v>5</v>
      </c>
      <c r="Q48" s="127">
        <v>5</v>
      </c>
      <c r="R48" s="127">
        <v>5</v>
      </c>
      <c r="S48" s="127">
        <v>5</v>
      </c>
      <c r="T48" s="85" t="s">
        <v>51</v>
      </c>
      <c r="U48" s="106">
        <v>45437</v>
      </c>
      <c r="V48" s="1" t="s">
        <v>60</v>
      </c>
    </row>
    <row r="49" spans="3:22" x14ac:dyDescent="0.3">
      <c r="C49" s="21"/>
      <c r="D49" s="1"/>
      <c r="E49" s="1"/>
      <c r="F49" s="1"/>
      <c r="G49" s="1"/>
      <c r="H49" s="1"/>
      <c r="I49" s="1"/>
      <c r="J49" s="1"/>
      <c r="L49" s="85"/>
      <c r="M49" s="107"/>
      <c r="N49" s="107"/>
      <c r="O49" s="116"/>
      <c r="P49" s="116"/>
      <c r="Q49" s="116"/>
      <c r="R49" s="116"/>
      <c r="S49" s="116"/>
      <c r="T49" s="85"/>
      <c r="U49" s="106"/>
      <c r="V49" s="1"/>
    </row>
    <row r="50" spans="3:22" ht="15.6" x14ac:dyDescent="0.3">
      <c r="C50" s="21"/>
      <c r="D50" s="1"/>
      <c r="E50" s="1"/>
      <c r="F50" s="1"/>
      <c r="G50" s="1"/>
      <c r="H50" s="1"/>
      <c r="I50" s="1"/>
      <c r="J50" s="1"/>
      <c r="L50" s="85">
        <v>1</v>
      </c>
      <c r="M50" s="107" t="s">
        <v>65</v>
      </c>
      <c r="N50" s="107" t="s">
        <v>67</v>
      </c>
      <c r="O50" s="128">
        <v>5</v>
      </c>
      <c r="P50" s="128">
        <v>2</v>
      </c>
      <c r="Q50" s="128">
        <v>3</v>
      </c>
      <c r="R50" s="128">
        <v>3</v>
      </c>
      <c r="S50" s="128">
        <v>4</v>
      </c>
      <c r="T50" s="85">
        <v>1910</v>
      </c>
      <c r="U50" s="106">
        <v>45413.602071759262</v>
      </c>
      <c r="V50" s="1"/>
    </row>
    <row r="51" spans="3:22" ht="15.6" x14ac:dyDescent="0.3">
      <c r="C51" s="21"/>
      <c r="D51" s="1"/>
      <c r="E51" s="1"/>
      <c r="F51" s="1"/>
      <c r="G51" s="1"/>
      <c r="H51" s="1"/>
      <c r="I51" s="1"/>
      <c r="J51" s="1"/>
      <c r="L51" s="85">
        <v>2</v>
      </c>
      <c r="M51" s="107" t="s">
        <v>144</v>
      </c>
      <c r="N51" s="107" t="s">
        <v>67</v>
      </c>
      <c r="O51" s="128">
        <v>5</v>
      </c>
      <c r="P51" s="128">
        <v>5</v>
      </c>
      <c r="Q51" s="128">
        <v>5</v>
      </c>
      <c r="R51" s="128">
        <v>5</v>
      </c>
      <c r="S51" s="128">
        <v>5</v>
      </c>
      <c r="T51" s="85">
        <v>1910</v>
      </c>
      <c r="U51" s="106">
        <v>45413.642800925925</v>
      </c>
      <c r="V51" s="1"/>
    </row>
    <row r="52" spans="3:22" ht="15.6" x14ac:dyDescent="0.3">
      <c r="C52" s="21"/>
      <c r="D52" s="1"/>
      <c r="E52" s="1"/>
      <c r="F52" s="1"/>
      <c r="G52" s="1"/>
      <c r="H52" s="1"/>
      <c r="I52" s="1"/>
      <c r="J52" s="1"/>
      <c r="L52" s="85">
        <v>3</v>
      </c>
      <c r="M52" s="107" t="s">
        <v>145</v>
      </c>
      <c r="N52" s="107" t="s">
        <v>146</v>
      </c>
      <c r="O52" s="128">
        <v>5</v>
      </c>
      <c r="P52" s="128">
        <v>5</v>
      </c>
      <c r="Q52" s="128">
        <v>5</v>
      </c>
      <c r="R52" s="128">
        <v>5</v>
      </c>
      <c r="S52" s="128">
        <v>5</v>
      </c>
      <c r="T52" s="85">
        <v>1910</v>
      </c>
      <c r="U52" s="106">
        <v>45418.62122685185</v>
      </c>
      <c r="V52" s="1"/>
    </row>
    <row r="53" spans="3:22" ht="15.6" x14ac:dyDescent="0.3">
      <c r="C53" s="21"/>
      <c r="D53" s="1"/>
      <c r="E53" s="1"/>
      <c r="F53" s="1"/>
      <c r="G53" s="1"/>
      <c r="H53" s="1"/>
      <c r="I53" s="1"/>
      <c r="J53" s="1"/>
      <c r="L53" s="85">
        <v>4</v>
      </c>
      <c r="M53" s="107" t="s">
        <v>147</v>
      </c>
      <c r="N53" s="107" t="s">
        <v>148</v>
      </c>
      <c r="O53" s="128">
        <v>5</v>
      </c>
      <c r="P53" s="128">
        <v>5</v>
      </c>
      <c r="Q53" s="128">
        <v>5</v>
      </c>
      <c r="R53" s="128">
        <v>5</v>
      </c>
      <c r="S53" s="128">
        <v>5</v>
      </c>
      <c r="T53" s="85">
        <v>1910</v>
      </c>
      <c r="U53" s="106">
        <v>45420.585648148146</v>
      </c>
      <c r="V53" s="1"/>
    </row>
    <row r="54" spans="3:22" ht="15.6" x14ac:dyDescent="0.3">
      <c r="C54" s="21"/>
      <c r="D54" s="1"/>
      <c r="E54" s="1"/>
      <c r="F54" s="1"/>
      <c r="G54" s="1"/>
      <c r="H54" s="1"/>
      <c r="I54" s="1"/>
      <c r="J54" s="1"/>
      <c r="L54" s="85">
        <v>5</v>
      </c>
      <c r="M54" s="107" t="s">
        <v>149</v>
      </c>
      <c r="N54" s="107" t="s">
        <v>150</v>
      </c>
      <c r="O54" s="128">
        <v>5</v>
      </c>
      <c r="P54" s="128">
        <v>5</v>
      </c>
      <c r="Q54" s="128">
        <v>5</v>
      </c>
      <c r="R54" s="128">
        <v>5</v>
      </c>
      <c r="S54" s="128">
        <v>5</v>
      </c>
      <c r="T54" s="85">
        <v>1910</v>
      </c>
      <c r="U54" s="106">
        <v>45420.648981481485</v>
      </c>
      <c r="V54" s="1" t="s">
        <v>160</v>
      </c>
    </row>
    <row r="55" spans="3:22" ht="15.6" x14ac:dyDescent="0.3">
      <c r="C55" s="21"/>
      <c r="D55" s="1"/>
      <c r="E55" s="1"/>
      <c r="F55" s="1"/>
      <c r="G55" s="1"/>
      <c r="H55" s="1"/>
      <c r="I55" s="1"/>
      <c r="J55" s="1"/>
      <c r="L55" s="85">
        <v>6</v>
      </c>
      <c r="M55" s="107" t="s">
        <v>151</v>
      </c>
      <c r="N55" s="107" t="s">
        <v>152</v>
      </c>
      <c r="O55" s="128">
        <v>5</v>
      </c>
      <c r="P55" s="128">
        <v>5</v>
      </c>
      <c r="Q55" s="128">
        <v>5</v>
      </c>
      <c r="R55" s="128">
        <v>4</v>
      </c>
      <c r="S55" s="128">
        <v>5</v>
      </c>
      <c r="T55" s="85">
        <v>1910</v>
      </c>
      <c r="U55" s="106">
        <v>45420.65384259259</v>
      </c>
      <c r="V55" s="1"/>
    </row>
    <row r="56" spans="3:22" ht="15.6" x14ac:dyDescent="0.3">
      <c r="C56" s="21"/>
      <c r="D56" s="1"/>
      <c r="E56" s="1"/>
      <c r="F56" s="1"/>
      <c r="G56" s="1"/>
      <c r="H56" s="1"/>
      <c r="I56" s="1"/>
      <c r="J56" s="1"/>
      <c r="L56" s="85">
        <v>7</v>
      </c>
      <c r="M56" s="107" t="s">
        <v>151</v>
      </c>
      <c r="N56" s="107" t="s">
        <v>152</v>
      </c>
      <c r="O56" s="128">
        <v>5</v>
      </c>
      <c r="P56" s="128">
        <v>5</v>
      </c>
      <c r="Q56" s="128">
        <v>5</v>
      </c>
      <c r="R56" s="128">
        <v>4</v>
      </c>
      <c r="S56" s="128">
        <v>5</v>
      </c>
      <c r="T56" s="85">
        <v>1910</v>
      </c>
      <c r="U56" s="106">
        <v>45420.654039351852</v>
      </c>
      <c r="V56" s="1"/>
    </row>
    <row r="57" spans="3:22" ht="15.6" x14ac:dyDescent="0.3">
      <c r="C57" s="21"/>
      <c r="D57" s="1"/>
      <c r="E57" s="1"/>
      <c r="F57" s="1"/>
      <c r="G57" s="1"/>
      <c r="H57" s="1"/>
      <c r="I57" s="1"/>
      <c r="J57" s="1"/>
      <c r="L57" s="85">
        <v>8</v>
      </c>
      <c r="M57" s="107" t="s">
        <v>153</v>
      </c>
      <c r="N57" s="107" t="s">
        <v>148</v>
      </c>
      <c r="O57" s="128">
        <v>5</v>
      </c>
      <c r="P57" s="128">
        <v>4</v>
      </c>
      <c r="Q57" s="128">
        <v>5</v>
      </c>
      <c r="R57" s="128">
        <v>5</v>
      </c>
      <c r="S57" s="128">
        <v>5</v>
      </c>
      <c r="T57" s="85">
        <v>1910</v>
      </c>
      <c r="U57" s="106">
        <v>45421.652442129627</v>
      </c>
      <c r="V57" s="1"/>
    </row>
    <row r="58" spans="3:22" ht="15.6" x14ac:dyDescent="0.3">
      <c r="C58" s="21"/>
      <c r="D58" s="1"/>
      <c r="E58" s="1"/>
      <c r="F58" s="1"/>
      <c r="G58" s="1"/>
      <c r="H58" s="1"/>
      <c r="I58" s="1"/>
      <c r="J58" s="1"/>
      <c r="L58" s="85">
        <v>9</v>
      </c>
      <c r="M58" s="107" t="s">
        <v>65</v>
      </c>
      <c r="N58" s="107" t="s">
        <v>154</v>
      </c>
      <c r="O58" s="128">
        <v>5</v>
      </c>
      <c r="P58" s="128">
        <v>5</v>
      </c>
      <c r="Q58" s="128">
        <v>5</v>
      </c>
      <c r="R58" s="128">
        <v>5</v>
      </c>
      <c r="S58" s="128">
        <v>3</v>
      </c>
      <c r="T58" s="85">
        <v>1910</v>
      </c>
      <c r="U58" s="106">
        <v>45422.666539351849</v>
      </c>
      <c r="V58" s="1" t="s">
        <v>161</v>
      </c>
    </row>
    <row r="59" spans="3:22" ht="15.6" x14ac:dyDescent="0.3">
      <c r="C59" s="21"/>
      <c r="D59" s="1"/>
      <c r="E59" s="1"/>
      <c r="F59" s="1"/>
      <c r="G59" s="1"/>
      <c r="H59" s="1"/>
      <c r="I59" s="1"/>
      <c r="J59" s="1"/>
      <c r="L59" s="85">
        <v>10</v>
      </c>
      <c r="M59" s="107" t="s">
        <v>155</v>
      </c>
      <c r="N59" s="107" t="s">
        <v>156</v>
      </c>
      <c r="O59" s="128">
        <v>5</v>
      </c>
      <c r="P59" s="128">
        <v>5</v>
      </c>
      <c r="Q59" s="128">
        <v>5</v>
      </c>
      <c r="R59" s="128">
        <v>5</v>
      </c>
      <c r="S59" s="128">
        <v>5</v>
      </c>
      <c r="T59" s="85">
        <v>1910</v>
      </c>
      <c r="U59" s="106">
        <v>45424.597361111111</v>
      </c>
      <c r="V59" s="1"/>
    </row>
    <row r="60" spans="3:22" ht="15.6" x14ac:dyDescent="0.3">
      <c r="C60" s="21"/>
      <c r="D60" s="1"/>
      <c r="E60" s="1"/>
      <c r="F60" s="1"/>
      <c r="G60" s="1"/>
      <c r="H60" s="1"/>
      <c r="I60" s="1"/>
      <c r="J60" s="1"/>
      <c r="L60" s="85">
        <v>11</v>
      </c>
      <c r="M60" s="107" t="s">
        <v>65</v>
      </c>
      <c r="N60" s="107" t="s">
        <v>157</v>
      </c>
      <c r="O60" s="128">
        <v>5</v>
      </c>
      <c r="P60" s="128">
        <v>5</v>
      </c>
      <c r="Q60" s="128">
        <v>5</v>
      </c>
      <c r="R60" s="128">
        <v>3</v>
      </c>
      <c r="S60" s="128">
        <v>4</v>
      </c>
      <c r="T60" s="85">
        <v>1910</v>
      </c>
      <c r="U60" s="106">
        <v>45427.588460648149</v>
      </c>
      <c r="V60" s="1"/>
    </row>
    <row r="61" spans="3:22" ht="15.6" x14ac:dyDescent="0.3">
      <c r="C61" s="21"/>
      <c r="D61" s="1"/>
      <c r="E61" s="1"/>
      <c r="F61" s="1"/>
      <c r="G61" s="1"/>
      <c r="H61" s="1"/>
      <c r="I61" s="1"/>
      <c r="J61" s="1"/>
      <c r="L61" s="85">
        <v>12</v>
      </c>
      <c r="M61" s="107" t="s">
        <v>158</v>
      </c>
      <c r="N61" s="107" t="s">
        <v>66</v>
      </c>
      <c r="O61" s="128">
        <v>5</v>
      </c>
      <c r="P61" s="128">
        <v>5</v>
      </c>
      <c r="Q61" s="128">
        <v>5</v>
      </c>
      <c r="R61" s="128">
        <v>5</v>
      </c>
      <c r="S61" s="128">
        <v>5</v>
      </c>
      <c r="T61" s="85">
        <v>1910</v>
      </c>
      <c r="U61" s="106">
        <v>45427.599212962959</v>
      </c>
      <c r="V61" s="1"/>
    </row>
    <row r="62" spans="3:22" ht="15.6" x14ac:dyDescent="0.3">
      <c r="C62" s="21"/>
      <c r="D62" s="1"/>
      <c r="E62" s="1"/>
      <c r="F62" s="1"/>
      <c r="G62" s="1"/>
      <c r="H62" s="1"/>
      <c r="I62" s="1"/>
      <c r="J62" s="1"/>
      <c r="L62" s="85">
        <v>13</v>
      </c>
      <c r="M62" s="107" t="s">
        <v>65</v>
      </c>
      <c r="N62" s="107" t="s">
        <v>159</v>
      </c>
      <c r="O62" s="128">
        <v>5</v>
      </c>
      <c r="P62" s="128">
        <v>3</v>
      </c>
      <c r="Q62" s="128">
        <v>5</v>
      </c>
      <c r="R62" s="128">
        <v>4</v>
      </c>
      <c r="S62" s="128">
        <v>5</v>
      </c>
      <c r="T62" s="85">
        <v>1910</v>
      </c>
      <c r="U62" s="106">
        <v>45433.613807870373</v>
      </c>
      <c r="V62" s="1" t="s">
        <v>162</v>
      </c>
    </row>
    <row r="63" spans="3:22" x14ac:dyDescent="0.3">
      <c r="C63" s="21"/>
      <c r="D63" s="1"/>
      <c r="E63" s="1"/>
      <c r="F63" s="1"/>
      <c r="G63" s="1"/>
      <c r="H63" s="1"/>
      <c r="I63" s="1"/>
      <c r="J63" s="1"/>
      <c r="L63" s="85"/>
      <c r="M63" s="107"/>
      <c r="N63" s="107"/>
      <c r="O63" s="116"/>
      <c r="P63" s="116"/>
      <c r="Q63" s="116"/>
      <c r="R63" s="116"/>
      <c r="S63" s="116"/>
      <c r="T63" s="85"/>
      <c r="U63" s="106"/>
      <c r="V63" s="1"/>
    </row>
    <row r="64" spans="3:22" ht="15.6" x14ac:dyDescent="0.3">
      <c r="C64" s="21"/>
      <c r="D64" s="1"/>
      <c r="E64" s="1"/>
      <c r="F64" s="1"/>
      <c r="G64" s="1"/>
      <c r="H64" s="1"/>
      <c r="I64" s="1"/>
      <c r="J64" s="1"/>
      <c r="L64" s="85">
        <v>1</v>
      </c>
      <c r="M64" s="110" t="s">
        <v>59</v>
      </c>
      <c r="N64" s="110" t="s">
        <v>69</v>
      </c>
      <c r="O64" s="128">
        <v>5</v>
      </c>
      <c r="P64" s="128">
        <v>5</v>
      </c>
      <c r="Q64" s="128">
        <v>4</v>
      </c>
      <c r="R64" s="128">
        <v>4</v>
      </c>
      <c r="S64" s="128">
        <v>3</v>
      </c>
      <c r="T64" s="85" t="s">
        <v>30</v>
      </c>
      <c r="U64" s="106">
        <v>45413.570625</v>
      </c>
      <c r="V64" s="117" t="s">
        <v>257</v>
      </c>
    </row>
    <row r="65" spans="3:22" ht="15.6" x14ac:dyDescent="0.3">
      <c r="C65" s="21"/>
      <c r="D65" s="1"/>
      <c r="E65" s="1"/>
      <c r="F65" s="1"/>
      <c r="G65" s="1"/>
      <c r="H65" s="1"/>
      <c r="I65" s="1"/>
      <c r="J65" s="1"/>
      <c r="L65" s="85">
        <v>2</v>
      </c>
      <c r="M65" s="110" t="s">
        <v>59</v>
      </c>
      <c r="N65" s="110" t="s">
        <v>69</v>
      </c>
      <c r="O65" s="128">
        <v>5</v>
      </c>
      <c r="P65" s="128">
        <v>5</v>
      </c>
      <c r="Q65" s="128">
        <v>4</v>
      </c>
      <c r="R65" s="128">
        <v>4</v>
      </c>
      <c r="S65" s="128">
        <v>3</v>
      </c>
      <c r="T65" s="85" t="s">
        <v>30</v>
      </c>
      <c r="U65" s="106">
        <v>45413.572118055556</v>
      </c>
      <c r="V65" s="117" t="s">
        <v>257</v>
      </c>
    </row>
    <row r="66" spans="3:22" ht="15.6" x14ac:dyDescent="0.3">
      <c r="C66" s="21"/>
      <c r="D66" s="1"/>
      <c r="E66" s="1"/>
      <c r="F66" s="1"/>
      <c r="G66" s="1"/>
      <c r="H66" s="1"/>
      <c r="I66" s="1"/>
      <c r="J66" s="1"/>
      <c r="L66" s="85">
        <v>3</v>
      </c>
      <c r="M66" s="110" t="s">
        <v>163</v>
      </c>
      <c r="N66" s="110" t="s">
        <v>57</v>
      </c>
      <c r="O66" s="128">
        <v>5</v>
      </c>
      <c r="P66" s="128">
        <v>5</v>
      </c>
      <c r="Q66" s="128">
        <v>5</v>
      </c>
      <c r="R66" s="128">
        <v>5</v>
      </c>
      <c r="S66" s="128">
        <v>5</v>
      </c>
      <c r="T66" s="85" t="s">
        <v>30</v>
      </c>
      <c r="U66" s="106">
        <v>45413.58185185185</v>
      </c>
      <c r="V66" s="117"/>
    </row>
    <row r="67" spans="3:22" ht="15.6" x14ac:dyDescent="0.3">
      <c r="C67" s="21"/>
      <c r="D67" s="1"/>
      <c r="E67" s="1"/>
      <c r="F67" s="1"/>
      <c r="G67" s="1"/>
      <c r="H67" s="1"/>
      <c r="I67" s="1"/>
      <c r="J67" s="1"/>
      <c r="L67" s="85">
        <v>4</v>
      </c>
      <c r="M67" s="110" t="s">
        <v>164</v>
      </c>
      <c r="N67" s="110" t="s">
        <v>55</v>
      </c>
      <c r="O67" s="128">
        <v>5</v>
      </c>
      <c r="P67" s="128">
        <v>5</v>
      </c>
      <c r="Q67" s="128">
        <v>5</v>
      </c>
      <c r="R67" s="128">
        <v>5</v>
      </c>
      <c r="S67" s="128">
        <v>5</v>
      </c>
      <c r="T67" s="85" t="s">
        <v>30</v>
      </c>
      <c r="U67" s="106">
        <v>45413.687418981484</v>
      </c>
      <c r="V67" s="117"/>
    </row>
    <row r="68" spans="3:22" ht="15.6" x14ac:dyDescent="0.3">
      <c r="C68" s="21"/>
      <c r="D68" s="1"/>
      <c r="E68" s="1"/>
      <c r="F68" s="1"/>
      <c r="G68" s="1"/>
      <c r="H68" s="1"/>
      <c r="I68" s="1"/>
      <c r="J68" s="1"/>
      <c r="L68" s="85">
        <v>5</v>
      </c>
      <c r="M68" s="110" t="s">
        <v>165</v>
      </c>
      <c r="N68" s="110" t="s">
        <v>69</v>
      </c>
      <c r="O68" s="128">
        <v>5</v>
      </c>
      <c r="P68" s="128">
        <v>5</v>
      </c>
      <c r="Q68" s="128">
        <v>5</v>
      </c>
      <c r="R68" s="128">
        <v>5</v>
      </c>
      <c r="S68" s="128">
        <v>5</v>
      </c>
      <c r="T68" s="85" t="s">
        <v>30</v>
      </c>
      <c r="U68" s="106">
        <v>45413.69021990741</v>
      </c>
      <c r="V68" s="117"/>
    </row>
    <row r="69" spans="3:22" ht="15.6" x14ac:dyDescent="0.3">
      <c r="C69" s="21"/>
      <c r="D69" s="1"/>
      <c r="E69" s="1"/>
      <c r="F69" s="1"/>
      <c r="G69" s="1"/>
      <c r="H69" s="1"/>
      <c r="I69" s="1"/>
      <c r="J69" s="1"/>
      <c r="L69" s="85">
        <v>6</v>
      </c>
      <c r="M69" s="110" t="s">
        <v>166</v>
      </c>
      <c r="N69" s="110" t="s">
        <v>69</v>
      </c>
      <c r="O69" s="128">
        <v>5</v>
      </c>
      <c r="P69" s="128">
        <v>5</v>
      </c>
      <c r="Q69" s="128">
        <v>5</v>
      </c>
      <c r="R69" s="128">
        <v>5</v>
      </c>
      <c r="S69" s="128">
        <v>5</v>
      </c>
      <c r="T69" s="85" t="s">
        <v>30</v>
      </c>
      <c r="U69" s="106">
        <v>45414.615972222222</v>
      </c>
      <c r="V69" s="117"/>
    </row>
    <row r="70" spans="3:22" ht="15.6" x14ac:dyDescent="0.3">
      <c r="C70" s="21"/>
      <c r="D70" s="1"/>
      <c r="E70" s="1"/>
      <c r="F70" s="1"/>
      <c r="G70" s="1"/>
      <c r="H70" s="1"/>
      <c r="I70" s="1"/>
      <c r="J70" s="1"/>
      <c r="L70" s="85">
        <v>7</v>
      </c>
      <c r="M70" s="110" t="s">
        <v>167</v>
      </c>
      <c r="N70" s="110" t="s">
        <v>55</v>
      </c>
      <c r="O70" s="128">
        <v>5</v>
      </c>
      <c r="P70" s="128">
        <v>5</v>
      </c>
      <c r="Q70" s="128">
        <v>5</v>
      </c>
      <c r="R70" s="128">
        <v>4</v>
      </c>
      <c r="S70" s="128">
        <v>4</v>
      </c>
      <c r="T70" s="85" t="s">
        <v>30</v>
      </c>
      <c r="U70" s="106">
        <v>45414.642997685187</v>
      </c>
      <c r="V70" s="117"/>
    </row>
    <row r="71" spans="3:22" ht="15.6" x14ac:dyDescent="0.3">
      <c r="C71" s="21"/>
      <c r="D71" s="1"/>
      <c r="E71" s="1"/>
      <c r="F71" s="1"/>
      <c r="G71" s="1"/>
      <c r="H71" s="1"/>
      <c r="I71" s="1"/>
      <c r="J71" s="1"/>
      <c r="L71" s="85">
        <v>8</v>
      </c>
      <c r="M71" s="110" t="s">
        <v>168</v>
      </c>
      <c r="N71" s="110" t="s">
        <v>69</v>
      </c>
      <c r="O71" s="128">
        <v>5</v>
      </c>
      <c r="P71" s="128">
        <v>5</v>
      </c>
      <c r="Q71" s="128">
        <v>5</v>
      </c>
      <c r="R71" s="128">
        <v>5</v>
      </c>
      <c r="S71" s="128">
        <v>5</v>
      </c>
      <c r="T71" s="85" t="s">
        <v>30</v>
      </c>
      <c r="U71" s="106">
        <v>45415.633437500001</v>
      </c>
      <c r="V71" s="117"/>
    </row>
    <row r="72" spans="3:22" ht="15.6" x14ac:dyDescent="0.3">
      <c r="C72" s="21"/>
      <c r="D72" s="1"/>
      <c r="E72" s="1"/>
      <c r="F72" s="1"/>
      <c r="G72" s="1"/>
      <c r="H72" s="1"/>
      <c r="I72" s="1"/>
      <c r="J72" s="1"/>
      <c r="L72" s="85">
        <v>9</v>
      </c>
      <c r="M72" s="110" t="s">
        <v>168</v>
      </c>
      <c r="N72" s="110" t="s">
        <v>69</v>
      </c>
      <c r="O72" s="128">
        <v>5</v>
      </c>
      <c r="P72" s="128">
        <v>5</v>
      </c>
      <c r="Q72" s="128">
        <v>5</v>
      </c>
      <c r="R72" s="128">
        <v>5</v>
      </c>
      <c r="S72" s="128">
        <v>5</v>
      </c>
      <c r="T72" s="85" t="s">
        <v>30</v>
      </c>
      <c r="U72" s="106">
        <v>45415.63354166667</v>
      </c>
      <c r="V72" s="117"/>
    </row>
    <row r="73" spans="3:22" ht="15.6" x14ac:dyDescent="0.3">
      <c r="C73" s="21"/>
      <c r="D73" s="1"/>
      <c r="E73" s="1"/>
      <c r="F73" s="1"/>
      <c r="G73" s="1"/>
      <c r="H73" s="1"/>
      <c r="I73" s="1"/>
      <c r="J73" s="1"/>
      <c r="L73" s="85">
        <v>10</v>
      </c>
      <c r="M73" s="110" t="s">
        <v>58</v>
      </c>
      <c r="N73" s="110" t="s">
        <v>55</v>
      </c>
      <c r="O73" s="128">
        <v>5</v>
      </c>
      <c r="P73" s="128">
        <v>5</v>
      </c>
      <c r="Q73" s="128">
        <v>5</v>
      </c>
      <c r="R73" s="128">
        <v>5</v>
      </c>
      <c r="S73" s="128">
        <v>5</v>
      </c>
      <c r="T73" s="85" t="s">
        <v>30</v>
      </c>
      <c r="U73" s="106">
        <v>45415.642511574071</v>
      </c>
      <c r="V73" s="117"/>
    </row>
    <row r="74" spans="3:22" ht="15.6" x14ac:dyDescent="0.3">
      <c r="C74" s="21"/>
      <c r="D74" s="1"/>
      <c r="E74" s="1"/>
      <c r="F74" s="1"/>
      <c r="G74" s="1"/>
      <c r="H74" s="1"/>
      <c r="I74" s="1"/>
      <c r="J74" s="1"/>
      <c r="L74" s="85">
        <v>11</v>
      </c>
      <c r="M74" s="110" t="s">
        <v>169</v>
      </c>
      <c r="N74" s="110" t="s">
        <v>170</v>
      </c>
      <c r="O74" s="128">
        <v>5</v>
      </c>
      <c r="P74" s="128">
        <v>5</v>
      </c>
      <c r="Q74" s="128">
        <v>5</v>
      </c>
      <c r="R74" s="128">
        <v>5</v>
      </c>
      <c r="S74" s="128">
        <v>5</v>
      </c>
      <c r="T74" s="85" t="s">
        <v>30</v>
      </c>
      <c r="U74" s="106">
        <v>45415.657430555555</v>
      </c>
      <c r="V74" s="117"/>
    </row>
    <row r="75" spans="3:22" ht="15.6" x14ac:dyDescent="0.3">
      <c r="C75" s="21"/>
      <c r="D75" s="1"/>
      <c r="E75" s="1"/>
      <c r="F75" s="1"/>
      <c r="G75" s="1"/>
      <c r="H75" s="1"/>
      <c r="I75" s="1"/>
      <c r="J75" s="1"/>
      <c r="L75" s="85">
        <v>12</v>
      </c>
      <c r="M75" s="110" t="s">
        <v>171</v>
      </c>
      <c r="N75" s="110" t="s">
        <v>69</v>
      </c>
      <c r="O75" s="128">
        <v>5</v>
      </c>
      <c r="P75" s="128">
        <v>5</v>
      </c>
      <c r="Q75" s="128">
        <v>5</v>
      </c>
      <c r="R75" s="128">
        <v>5</v>
      </c>
      <c r="S75" s="128">
        <v>5</v>
      </c>
      <c r="T75" s="85" t="s">
        <v>30</v>
      </c>
      <c r="U75" s="106">
        <v>45416.655960648146</v>
      </c>
      <c r="V75" s="117"/>
    </row>
    <row r="76" spans="3:22" ht="15.6" x14ac:dyDescent="0.3">
      <c r="C76" s="21"/>
      <c r="D76" s="1"/>
      <c r="E76" s="1"/>
      <c r="F76" s="1"/>
      <c r="G76" s="1"/>
      <c r="H76" s="1"/>
      <c r="I76" s="1"/>
      <c r="J76" s="1"/>
      <c r="L76" s="85">
        <v>13</v>
      </c>
      <c r="M76" s="110" t="s">
        <v>172</v>
      </c>
      <c r="N76" s="110" t="s">
        <v>173</v>
      </c>
      <c r="O76" s="128">
        <v>5</v>
      </c>
      <c r="P76" s="128">
        <v>5</v>
      </c>
      <c r="Q76" s="128">
        <v>3</v>
      </c>
      <c r="R76" s="128">
        <v>4</v>
      </c>
      <c r="S76" s="128">
        <v>5</v>
      </c>
      <c r="T76" s="85" t="s">
        <v>30</v>
      </c>
      <c r="U76" s="106">
        <v>45416.656875000001</v>
      </c>
      <c r="V76" s="117"/>
    </row>
    <row r="77" spans="3:22" ht="15.6" x14ac:dyDescent="0.3">
      <c r="C77" s="21"/>
      <c r="D77" s="1"/>
      <c r="E77" s="1"/>
      <c r="F77" s="1"/>
      <c r="G77" s="1"/>
      <c r="H77" s="1"/>
      <c r="I77" s="1"/>
      <c r="J77" s="1"/>
      <c r="L77" s="85">
        <v>14</v>
      </c>
      <c r="M77" s="110" t="s">
        <v>174</v>
      </c>
      <c r="N77" s="110" t="s">
        <v>69</v>
      </c>
      <c r="O77" s="128">
        <v>5</v>
      </c>
      <c r="P77" s="128">
        <v>5</v>
      </c>
      <c r="Q77" s="128">
        <v>4</v>
      </c>
      <c r="R77" s="128">
        <v>4</v>
      </c>
      <c r="S77" s="128">
        <v>4</v>
      </c>
      <c r="T77" s="85" t="s">
        <v>30</v>
      </c>
      <c r="U77" s="106">
        <v>45416.657708333332</v>
      </c>
      <c r="V77" s="117"/>
    </row>
    <row r="78" spans="3:22" ht="15.6" x14ac:dyDescent="0.3">
      <c r="C78" s="21"/>
      <c r="D78" s="1"/>
      <c r="E78" s="1"/>
      <c r="F78" s="1"/>
      <c r="G78" s="1"/>
      <c r="H78" s="1"/>
      <c r="I78" s="1"/>
      <c r="J78" s="1"/>
      <c r="L78" s="85">
        <v>15</v>
      </c>
      <c r="M78" s="110" t="s">
        <v>175</v>
      </c>
      <c r="N78" s="110" t="s">
        <v>69</v>
      </c>
      <c r="O78" s="128">
        <v>5</v>
      </c>
      <c r="P78" s="128">
        <v>5</v>
      </c>
      <c r="Q78" s="128">
        <v>5</v>
      </c>
      <c r="R78" s="128">
        <v>5</v>
      </c>
      <c r="S78" s="128">
        <v>5</v>
      </c>
      <c r="T78" s="85" t="s">
        <v>30</v>
      </c>
      <c r="U78" s="106">
        <v>45420.571932870371</v>
      </c>
      <c r="V78" s="117"/>
    </row>
    <row r="79" spans="3:22" ht="15.6" x14ac:dyDescent="0.3">
      <c r="C79" s="21"/>
      <c r="D79" s="1"/>
      <c r="E79" s="1"/>
      <c r="F79" s="1"/>
      <c r="G79" s="1"/>
      <c r="H79" s="1"/>
      <c r="I79" s="1"/>
      <c r="J79" s="1"/>
      <c r="L79" s="85">
        <v>16</v>
      </c>
      <c r="M79" s="110" t="s">
        <v>176</v>
      </c>
      <c r="N79" s="110" t="s">
        <v>170</v>
      </c>
      <c r="O79" s="128">
        <v>5</v>
      </c>
      <c r="P79" s="128">
        <v>5</v>
      </c>
      <c r="Q79" s="128">
        <v>5</v>
      </c>
      <c r="R79" s="128">
        <v>5</v>
      </c>
      <c r="S79" s="128">
        <v>5</v>
      </c>
      <c r="T79" s="85" t="s">
        <v>30</v>
      </c>
      <c r="U79" s="106">
        <v>45420.606770833336</v>
      </c>
      <c r="V79" s="117"/>
    </row>
    <row r="80" spans="3:22" ht="15.6" x14ac:dyDescent="0.3">
      <c r="C80" s="21"/>
      <c r="D80" s="1"/>
      <c r="E80" s="1"/>
      <c r="F80" s="1"/>
      <c r="G80" s="1"/>
      <c r="H80" s="1"/>
      <c r="I80" s="1"/>
      <c r="J80" s="1"/>
      <c r="L80" s="85">
        <v>17</v>
      </c>
      <c r="M80" s="110" t="s">
        <v>177</v>
      </c>
      <c r="N80" s="110" t="s">
        <v>178</v>
      </c>
      <c r="O80" s="128">
        <v>5</v>
      </c>
      <c r="P80" s="128">
        <v>5</v>
      </c>
      <c r="Q80" s="128">
        <v>5</v>
      </c>
      <c r="R80" s="128">
        <v>5</v>
      </c>
      <c r="S80" s="128">
        <v>5</v>
      </c>
      <c r="T80" s="85" t="s">
        <v>30</v>
      </c>
      <c r="U80" s="106">
        <v>45420.639374999999</v>
      </c>
      <c r="V80" s="117"/>
    </row>
    <row r="81" spans="3:22" ht="15.6" x14ac:dyDescent="0.3">
      <c r="C81" s="21"/>
      <c r="D81" s="1"/>
      <c r="E81" s="1"/>
      <c r="F81" s="1"/>
      <c r="G81" s="1"/>
      <c r="H81" s="1"/>
      <c r="I81" s="1"/>
      <c r="J81" s="1"/>
      <c r="L81" s="85">
        <v>18</v>
      </c>
      <c r="M81" s="110" t="s">
        <v>179</v>
      </c>
      <c r="N81" s="110" t="s">
        <v>170</v>
      </c>
      <c r="O81" s="128">
        <v>5</v>
      </c>
      <c r="P81" s="128">
        <v>5</v>
      </c>
      <c r="Q81" s="128">
        <v>5</v>
      </c>
      <c r="R81" s="128">
        <v>5</v>
      </c>
      <c r="S81" s="128">
        <v>5</v>
      </c>
      <c r="T81" s="85" t="s">
        <v>30</v>
      </c>
      <c r="U81" s="106">
        <v>45420.659305555557</v>
      </c>
      <c r="V81" s="117"/>
    </row>
    <row r="82" spans="3:22" ht="15.6" x14ac:dyDescent="0.3">
      <c r="C82" s="21"/>
      <c r="D82" s="1"/>
      <c r="E82" s="1"/>
      <c r="F82" s="1"/>
      <c r="G82" s="1"/>
      <c r="H82" s="1"/>
      <c r="I82" s="1"/>
      <c r="J82" s="1"/>
      <c r="L82" s="85">
        <v>19</v>
      </c>
      <c r="M82" s="110" t="s">
        <v>180</v>
      </c>
      <c r="N82" s="110" t="s">
        <v>57</v>
      </c>
      <c r="O82" s="128">
        <v>5</v>
      </c>
      <c r="P82" s="128">
        <v>5</v>
      </c>
      <c r="Q82" s="128">
        <v>5</v>
      </c>
      <c r="R82" s="128">
        <v>5</v>
      </c>
      <c r="S82" s="128">
        <v>5</v>
      </c>
      <c r="T82" s="85" t="s">
        <v>30</v>
      </c>
      <c r="U82" s="106">
        <v>45421.585393518515</v>
      </c>
      <c r="V82" s="117"/>
    </row>
    <row r="83" spans="3:22" ht="15.6" x14ac:dyDescent="0.3">
      <c r="C83" s="21"/>
      <c r="D83" s="1"/>
      <c r="E83" s="1"/>
      <c r="F83" s="1"/>
      <c r="G83" s="1"/>
      <c r="H83" s="1"/>
      <c r="I83" s="1"/>
      <c r="J83" s="1"/>
      <c r="L83" s="85">
        <v>20</v>
      </c>
      <c r="M83" s="110" t="s">
        <v>180</v>
      </c>
      <c r="N83" s="110" t="s">
        <v>57</v>
      </c>
      <c r="O83" s="128">
        <v>5</v>
      </c>
      <c r="P83" s="128">
        <v>5</v>
      </c>
      <c r="Q83" s="128">
        <v>5</v>
      </c>
      <c r="R83" s="128">
        <v>5</v>
      </c>
      <c r="S83" s="128">
        <v>5</v>
      </c>
      <c r="T83" s="85" t="s">
        <v>30</v>
      </c>
      <c r="U83" s="106">
        <v>45421.585486111115</v>
      </c>
      <c r="V83" s="117"/>
    </row>
    <row r="84" spans="3:22" ht="15.6" x14ac:dyDescent="0.3">
      <c r="C84" s="21"/>
      <c r="D84" s="1"/>
      <c r="E84" s="1"/>
      <c r="F84" s="1"/>
      <c r="G84" s="1"/>
      <c r="H84" s="1"/>
      <c r="I84" s="1"/>
      <c r="J84" s="1"/>
      <c r="L84" s="85">
        <v>21</v>
      </c>
      <c r="M84" s="110" t="s">
        <v>181</v>
      </c>
      <c r="N84" s="110" t="s">
        <v>170</v>
      </c>
      <c r="O84" s="128">
        <v>1</v>
      </c>
      <c r="P84" s="128">
        <v>1</v>
      </c>
      <c r="Q84" s="128">
        <v>1</v>
      </c>
      <c r="R84" s="128">
        <v>1</v>
      </c>
      <c r="S84" s="128">
        <v>1</v>
      </c>
      <c r="T84" s="85" t="s">
        <v>30</v>
      </c>
      <c r="U84" s="106">
        <v>45421.622187499997</v>
      </c>
      <c r="V84" s="117" t="s">
        <v>258</v>
      </c>
    </row>
    <row r="85" spans="3:22" ht="15.6" x14ac:dyDescent="0.3">
      <c r="C85" s="21"/>
      <c r="D85" s="1"/>
      <c r="E85" s="1"/>
      <c r="F85" s="1"/>
      <c r="G85" s="1"/>
      <c r="H85" s="1"/>
      <c r="I85" s="1"/>
      <c r="J85" s="1"/>
      <c r="L85" s="85">
        <v>22</v>
      </c>
      <c r="M85" s="110" t="s">
        <v>182</v>
      </c>
      <c r="N85" s="110" t="s">
        <v>69</v>
      </c>
      <c r="O85" s="128">
        <v>5</v>
      </c>
      <c r="P85" s="128">
        <v>5</v>
      </c>
      <c r="Q85" s="128">
        <v>5</v>
      </c>
      <c r="R85" s="128">
        <v>5</v>
      </c>
      <c r="S85" s="128">
        <v>5</v>
      </c>
      <c r="T85" s="85" t="s">
        <v>30</v>
      </c>
      <c r="U85" s="106">
        <v>45421.640497685185</v>
      </c>
      <c r="V85" s="117"/>
    </row>
    <row r="86" spans="3:22" ht="15.6" x14ac:dyDescent="0.3">
      <c r="C86" s="21"/>
      <c r="D86" s="1"/>
      <c r="E86" s="1"/>
      <c r="F86" s="1"/>
      <c r="G86" s="1"/>
      <c r="H86" s="1"/>
      <c r="I86" s="1"/>
      <c r="J86" s="1"/>
      <c r="L86" s="85">
        <v>23</v>
      </c>
      <c r="M86" s="110" t="s">
        <v>183</v>
      </c>
      <c r="N86" s="110" t="s">
        <v>69</v>
      </c>
      <c r="O86" s="128">
        <v>5</v>
      </c>
      <c r="P86" s="128">
        <v>5</v>
      </c>
      <c r="Q86" s="128">
        <v>5</v>
      </c>
      <c r="R86" s="128">
        <v>5</v>
      </c>
      <c r="S86" s="128">
        <v>5</v>
      </c>
      <c r="T86" s="85" t="s">
        <v>30</v>
      </c>
      <c r="U86" s="106">
        <v>45421.64203703704</v>
      </c>
      <c r="V86" s="117"/>
    </row>
    <row r="87" spans="3:22" ht="15.6" x14ac:dyDescent="0.3">
      <c r="C87" s="21"/>
      <c r="D87" s="1"/>
      <c r="E87" s="1"/>
      <c r="F87" s="1"/>
      <c r="G87" s="1"/>
      <c r="H87" s="1"/>
      <c r="I87" s="1"/>
      <c r="J87" s="1"/>
      <c r="L87" s="85">
        <v>24</v>
      </c>
      <c r="M87" s="110" t="s">
        <v>70</v>
      </c>
      <c r="N87" s="110" t="s">
        <v>184</v>
      </c>
      <c r="O87" s="128">
        <v>5</v>
      </c>
      <c r="P87" s="128">
        <v>5</v>
      </c>
      <c r="Q87" s="128">
        <v>5</v>
      </c>
      <c r="R87" s="128">
        <v>5</v>
      </c>
      <c r="S87" s="128">
        <v>5</v>
      </c>
      <c r="T87" s="85" t="s">
        <v>30</v>
      </c>
      <c r="U87" s="106">
        <v>45421.650717592594</v>
      </c>
      <c r="V87" s="117"/>
    </row>
    <row r="88" spans="3:22" ht="15.6" x14ac:dyDescent="0.3">
      <c r="C88" s="21"/>
      <c r="D88" s="1"/>
      <c r="E88" s="1"/>
      <c r="F88" s="1"/>
      <c r="G88" s="1"/>
      <c r="H88" s="1"/>
      <c r="I88" s="1"/>
      <c r="J88" s="1"/>
      <c r="L88" s="85">
        <v>25</v>
      </c>
      <c r="M88" s="110" t="s">
        <v>185</v>
      </c>
      <c r="N88" s="110" t="s">
        <v>69</v>
      </c>
      <c r="O88" s="128">
        <v>5</v>
      </c>
      <c r="P88" s="128">
        <v>5</v>
      </c>
      <c r="Q88" s="128">
        <v>5</v>
      </c>
      <c r="R88" s="128">
        <v>5</v>
      </c>
      <c r="S88" s="128">
        <v>5</v>
      </c>
      <c r="T88" s="85" t="s">
        <v>30</v>
      </c>
      <c r="U88" s="106">
        <v>45422.559537037036</v>
      </c>
      <c r="V88" s="117"/>
    </row>
    <row r="89" spans="3:22" ht="15.6" x14ac:dyDescent="0.3">
      <c r="C89" s="21"/>
      <c r="D89" s="1"/>
      <c r="E89" s="1"/>
      <c r="F89" s="1"/>
      <c r="G89" s="1"/>
      <c r="H89" s="1"/>
      <c r="I89" s="1"/>
      <c r="J89" s="1"/>
      <c r="L89" s="85">
        <v>26</v>
      </c>
      <c r="M89" s="110" t="s">
        <v>186</v>
      </c>
      <c r="N89" s="110" t="s">
        <v>170</v>
      </c>
      <c r="O89" s="128">
        <v>5</v>
      </c>
      <c r="P89" s="128">
        <v>5</v>
      </c>
      <c r="Q89" s="128">
        <v>5</v>
      </c>
      <c r="R89" s="128">
        <v>5</v>
      </c>
      <c r="S89" s="128">
        <v>5</v>
      </c>
      <c r="T89" s="85" t="s">
        <v>30</v>
      </c>
      <c r="U89" s="106">
        <v>45422.64366898148</v>
      </c>
      <c r="V89" s="117" t="s">
        <v>259</v>
      </c>
    </row>
    <row r="90" spans="3:22" ht="15.6" x14ac:dyDescent="0.3">
      <c r="C90" s="21"/>
      <c r="D90" s="1"/>
      <c r="E90" s="1"/>
      <c r="F90" s="1"/>
      <c r="G90" s="1"/>
      <c r="H90" s="1"/>
      <c r="I90" s="1"/>
      <c r="J90" s="1"/>
      <c r="L90" s="85">
        <v>27</v>
      </c>
      <c r="M90" s="110" t="s">
        <v>187</v>
      </c>
      <c r="N90" s="110" t="s">
        <v>184</v>
      </c>
      <c r="O90" s="128">
        <v>5</v>
      </c>
      <c r="P90" s="128">
        <v>5</v>
      </c>
      <c r="Q90" s="128">
        <v>5</v>
      </c>
      <c r="R90" s="128">
        <v>5</v>
      </c>
      <c r="S90" s="128">
        <v>5</v>
      </c>
      <c r="T90" s="85" t="s">
        <v>30</v>
      </c>
      <c r="U90" s="106">
        <v>45422.655011574076</v>
      </c>
      <c r="V90" s="117" t="s">
        <v>260</v>
      </c>
    </row>
    <row r="91" spans="3:22" ht="15.6" x14ac:dyDescent="0.3">
      <c r="C91" s="21"/>
      <c r="D91" s="1"/>
      <c r="E91" s="1"/>
      <c r="F91" s="1"/>
      <c r="G91" s="1"/>
      <c r="H91" s="1"/>
      <c r="I91" s="1"/>
      <c r="J91" s="1"/>
      <c r="L91" s="85">
        <v>28</v>
      </c>
      <c r="M91" s="110" t="s">
        <v>188</v>
      </c>
      <c r="N91" s="110" t="s">
        <v>57</v>
      </c>
      <c r="O91" s="128">
        <v>5</v>
      </c>
      <c r="P91" s="128">
        <v>5</v>
      </c>
      <c r="Q91" s="128">
        <v>5</v>
      </c>
      <c r="R91" s="128">
        <v>5</v>
      </c>
      <c r="S91" s="128">
        <v>5</v>
      </c>
      <c r="T91" s="85" t="s">
        <v>30</v>
      </c>
      <c r="U91" s="106">
        <v>45423.660497685189</v>
      </c>
      <c r="V91" s="117" t="s">
        <v>261</v>
      </c>
    </row>
    <row r="92" spans="3:22" ht="15.6" x14ac:dyDescent="0.3">
      <c r="C92" s="21"/>
      <c r="D92" s="1"/>
      <c r="E92" s="1"/>
      <c r="F92" s="1"/>
      <c r="G92" s="1"/>
      <c r="H92" s="1"/>
      <c r="I92" s="1"/>
      <c r="J92" s="1"/>
      <c r="L92" s="85">
        <v>29</v>
      </c>
      <c r="M92" s="110" t="s">
        <v>189</v>
      </c>
      <c r="N92" s="110" t="s">
        <v>73</v>
      </c>
      <c r="O92" s="128">
        <v>5</v>
      </c>
      <c r="P92" s="128">
        <v>5</v>
      </c>
      <c r="Q92" s="128">
        <v>4</v>
      </c>
      <c r="R92" s="128">
        <v>5</v>
      </c>
      <c r="S92" s="128">
        <v>5</v>
      </c>
      <c r="T92" s="85" t="s">
        <v>30</v>
      </c>
      <c r="U92" s="106">
        <v>45423.695092592592</v>
      </c>
      <c r="V92" s="117"/>
    </row>
    <row r="93" spans="3:22" ht="15.6" x14ac:dyDescent="0.3">
      <c r="C93" s="21"/>
      <c r="D93" s="1"/>
      <c r="E93" s="1"/>
      <c r="F93" s="1"/>
      <c r="G93" s="1"/>
      <c r="H93" s="1"/>
      <c r="I93" s="1"/>
      <c r="J93" s="1"/>
      <c r="L93" s="85">
        <v>30</v>
      </c>
      <c r="M93" s="110" t="s">
        <v>190</v>
      </c>
      <c r="N93" s="110" t="s">
        <v>69</v>
      </c>
      <c r="O93" s="128">
        <v>5</v>
      </c>
      <c r="P93" s="128">
        <v>5</v>
      </c>
      <c r="Q93" s="128">
        <v>5</v>
      </c>
      <c r="R93" s="128">
        <v>5</v>
      </c>
      <c r="S93" s="128">
        <v>5</v>
      </c>
      <c r="T93" s="85" t="s">
        <v>30</v>
      </c>
      <c r="U93" s="106">
        <v>45424.554560185185</v>
      </c>
      <c r="V93" s="117"/>
    </row>
    <row r="94" spans="3:22" ht="15.6" x14ac:dyDescent="0.3">
      <c r="C94" s="21"/>
      <c r="D94" s="1"/>
      <c r="E94" s="1"/>
      <c r="F94" s="1"/>
      <c r="G94" s="1"/>
      <c r="H94" s="1"/>
      <c r="I94" s="1"/>
      <c r="J94" s="1"/>
      <c r="L94" s="85">
        <v>31</v>
      </c>
      <c r="M94" s="110" t="s">
        <v>191</v>
      </c>
      <c r="N94" s="110" t="s">
        <v>192</v>
      </c>
      <c r="O94" s="128">
        <v>5</v>
      </c>
      <c r="P94" s="128">
        <v>5</v>
      </c>
      <c r="Q94" s="128">
        <v>5</v>
      </c>
      <c r="R94" s="128">
        <v>4</v>
      </c>
      <c r="S94" s="128">
        <v>5</v>
      </c>
      <c r="T94" s="85" t="s">
        <v>30</v>
      </c>
      <c r="U94" s="106">
        <v>45424.603252314817</v>
      </c>
      <c r="V94" s="117" t="s">
        <v>262</v>
      </c>
    </row>
    <row r="95" spans="3:22" ht="15.6" x14ac:dyDescent="0.3">
      <c r="C95" s="21"/>
      <c r="D95" s="1"/>
      <c r="E95" s="1"/>
      <c r="F95" s="1"/>
      <c r="G95" s="1"/>
      <c r="H95" s="1"/>
      <c r="I95" s="1"/>
      <c r="J95" s="1"/>
      <c r="L95" s="85">
        <v>32</v>
      </c>
      <c r="M95" s="110" t="s">
        <v>193</v>
      </c>
      <c r="N95" s="110"/>
      <c r="O95" s="128">
        <v>5</v>
      </c>
      <c r="P95" s="128">
        <v>4</v>
      </c>
      <c r="Q95" s="128">
        <v>3</v>
      </c>
      <c r="R95" s="128">
        <v>3</v>
      </c>
      <c r="S95" s="128">
        <v>4</v>
      </c>
      <c r="T95" s="85" t="s">
        <v>30</v>
      </c>
      <c r="U95" s="106">
        <v>45424.62599537037</v>
      </c>
      <c r="V95" s="117"/>
    </row>
    <row r="96" spans="3:22" ht="15.6" x14ac:dyDescent="0.3">
      <c r="C96" s="21"/>
      <c r="D96" s="1"/>
      <c r="E96" s="1"/>
      <c r="F96" s="1"/>
      <c r="G96" s="1"/>
      <c r="H96" s="1"/>
      <c r="I96" s="1"/>
      <c r="J96" s="1"/>
      <c r="L96" s="85">
        <v>33</v>
      </c>
      <c r="M96" s="107" t="s">
        <v>193</v>
      </c>
      <c r="N96" s="107"/>
      <c r="O96" s="128">
        <v>5</v>
      </c>
      <c r="P96" s="128">
        <v>4</v>
      </c>
      <c r="Q96" s="128">
        <v>3</v>
      </c>
      <c r="R96" s="128">
        <v>3</v>
      </c>
      <c r="S96" s="128">
        <v>4</v>
      </c>
      <c r="T96" s="85" t="s">
        <v>30</v>
      </c>
      <c r="U96" s="106">
        <v>45424.627187500002</v>
      </c>
      <c r="V96" s="117" t="s">
        <v>263</v>
      </c>
    </row>
    <row r="97" spans="3:22" ht="15.6" x14ac:dyDescent="0.3">
      <c r="C97" s="21"/>
      <c r="D97" s="1"/>
      <c r="E97" s="1"/>
      <c r="F97" s="1"/>
      <c r="G97" s="1"/>
      <c r="H97" s="1"/>
      <c r="I97" s="1"/>
      <c r="J97" s="1"/>
      <c r="L97" s="85">
        <v>34</v>
      </c>
      <c r="M97" s="107" t="s">
        <v>194</v>
      </c>
      <c r="N97" s="107" t="s">
        <v>195</v>
      </c>
      <c r="O97" s="128">
        <v>5</v>
      </c>
      <c r="P97" s="128">
        <v>5</v>
      </c>
      <c r="Q97" s="128">
        <v>5</v>
      </c>
      <c r="R97" s="128">
        <v>5</v>
      </c>
      <c r="S97" s="128">
        <v>5</v>
      </c>
      <c r="T97" s="85" t="s">
        <v>30</v>
      </c>
      <c r="U97" s="106">
        <v>45424.628587962965</v>
      </c>
      <c r="V97" s="117" t="s">
        <v>264</v>
      </c>
    </row>
    <row r="98" spans="3:22" ht="15.6" x14ac:dyDescent="0.3">
      <c r="C98" s="21"/>
      <c r="D98" s="1"/>
      <c r="E98" s="1"/>
      <c r="F98" s="1"/>
      <c r="G98" s="1"/>
      <c r="H98" s="1"/>
      <c r="I98" s="1"/>
      <c r="J98" s="1"/>
      <c r="L98" s="85">
        <v>35</v>
      </c>
      <c r="M98" s="107" t="s">
        <v>196</v>
      </c>
      <c r="N98" s="107" t="s">
        <v>197</v>
      </c>
      <c r="O98" s="128">
        <v>5</v>
      </c>
      <c r="P98" s="128">
        <v>5</v>
      </c>
      <c r="Q98" s="128">
        <v>5</v>
      </c>
      <c r="R98" s="128">
        <v>5</v>
      </c>
      <c r="S98" s="128">
        <v>5</v>
      </c>
      <c r="T98" s="85" t="s">
        <v>30</v>
      </c>
      <c r="U98" s="106">
        <v>45424.634780092594</v>
      </c>
      <c r="V98" s="117" t="s">
        <v>265</v>
      </c>
    </row>
    <row r="99" spans="3:22" ht="15.6" x14ac:dyDescent="0.3">
      <c r="C99" s="21"/>
      <c r="D99" s="1"/>
      <c r="E99" s="1"/>
      <c r="F99" s="1"/>
      <c r="G99" s="1"/>
      <c r="H99" s="1"/>
      <c r="I99" s="1"/>
      <c r="J99" s="1"/>
      <c r="L99" s="85">
        <v>36</v>
      </c>
      <c r="M99" s="107" t="s">
        <v>198</v>
      </c>
      <c r="N99" s="107" t="s">
        <v>55</v>
      </c>
      <c r="O99" s="128">
        <v>5</v>
      </c>
      <c r="P99" s="128">
        <v>5</v>
      </c>
      <c r="Q99" s="128">
        <v>5</v>
      </c>
      <c r="R99" s="128">
        <v>5</v>
      </c>
      <c r="S99" s="128">
        <v>5</v>
      </c>
      <c r="T99" s="85" t="s">
        <v>30</v>
      </c>
      <c r="U99" s="106">
        <v>45424.655370370368</v>
      </c>
      <c r="V99" s="117" t="s">
        <v>266</v>
      </c>
    </row>
    <row r="100" spans="3:22" ht="15.6" x14ac:dyDescent="0.3">
      <c r="C100" s="21"/>
      <c r="D100" s="1"/>
      <c r="E100" s="1"/>
      <c r="F100" s="1"/>
      <c r="G100" s="1"/>
      <c r="H100" s="1"/>
      <c r="I100" s="1"/>
      <c r="J100" s="1"/>
      <c r="L100" s="85">
        <v>37</v>
      </c>
      <c r="M100" s="107" t="s">
        <v>199</v>
      </c>
      <c r="N100" s="107" t="s">
        <v>57</v>
      </c>
      <c r="O100" s="128">
        <v>5</v>
      </c>
      <c r="P100" s="128">
        <v>5</v>
      </c>
      <c r="Q100" s="128">
        <v>5</v>
      </c>
      <c r="R100" s="128">
        <v>5</v>
      </c>
      <c r="S100" s="128">
        <v>5</v>
      </c>
      <c r="T100" s="85" t="s">
        <v>30</v>
      </c>
      <c r="U100" s="106">
        <v>45424.67496527778</v>
      </c>
      <c r="V100" s="117"/>
    </row>
    <row r="101" spans="3:22" ht="15.6" x14ac:dyDescent="0.3">
      <c r="C101" s="21"/>
      <c r="D101" s="1"/>
      <c r="E101" s="1"/>
      <c r="F101" s="1"/>
      <c r="G101" s="1"/>
      <c r="H101" s="1"/>
      <c r="I101" s="1"/>
      <c r="J101" s="1"/>
      <c r="L101" s="85">
        <v>38</v>
      </c>
      <c r="M101" s="107" t="s">
        <v>200</v>
      </c>
      <c r="N101" s="107" t="s">
        <v>69</v>
      </c>
      <c r="O101" s="128">
        <v>5</v>
      </c>
      <c r="P101" s="128">
        <v>5</v>
      </c>
      <c r="Q101" s="128">
        <v>5</v>
      </c>
      <c r="R101" s="128">
        <v>5</v>
      </c>
      <c r="S101" s="128">
        <v>5</v>
      </c>
      <c r="T101" s="85" t="s">
        <v>30</v>
      </c>
      <c r="U101" s="106">
        <v>45427.546967592592</v>
      </c>
      <c r="V101" s="117"/>
    </row>
    <row r="102" spans="3:22" ht="15.6" x14ac:dyDescent="0.3">
      <c r="C102" s="21"/>
      <c r="D102" s="1"/>
      <c r="E102" s="1"/>
      <c r="F102" s="1"/>
      <c r="G102" s="1"/>
      <c r="H102" s="1"/>
      <c r="I102" s="1"/>
      <c r="J102" s="1"/>
      <c r="L102" s="85">
        <v>39</v>
      </c>
      <c r="M102" s="107" t="s">
        <v>201</v>
      </c>
      <c r="N102" s="107" t="s">
        <v>69</v>
      </c>
      <c r="O102" s="128">
        <v>5</v>
      </c>
      <c r="P102" s="128">
        <v>5</v>
      </c>
      <c r="Q102" s="128">
        <v>4</v>
      </c>
      <c r="R102" s="128">
        <v>4</v>
      </c>
      <c r="S102" s="128">
        <v>4</v>
      </c>
      <c r="T102" s="85" t="s">
        <v>30</v>
      </c>
      <c r="U102" s="106">
        <v>45427.58693287037</v>
      </c>
      <c r="V102" s="117"/>
    </row>
    <row r="103" spans="3:22" ht="15.6" x14ac:dyDescent="0.3">
      <c r="C103" s="21"/>
      <c r="D103" s="1"/>
      <c r="E103" s="1"/>
      <c r="F103" s="1"/>
      <c r="G103" s="1"/>
      <c r="H103" s="1"/>
      <c r="I103" s="1"/>
      <c r="J103" s="1"/>
      <c r="L103" s="85">
        <v>40</v>
      </c>
      <c r="M103" s="107" t="s">
        <v>59</v>
      </c>
      <c r="N103" s="107" t="s">
        <v>202</v>
      </c>
      <c r="O103" s="128">
        <v>5</v>
      </c>
      <c r="P103" s="128">
        <v>5</v>
      </c>
      <c r="Q103" s="128">
        <v>5</v>
      </c>
      <c r="R103" s="128">
        <v>5</v>
      </c>
      <c r="S103" s="128">
        <v>5</v>
      </c>
      <c r="T103" s="85" t="s">
        <v>30</v>
      </c>
      <c r="U103" s="106">
        <v>45427.588576388887</v>
      </c>
      <c r="V103" s="117"/>
    </row>
    <row r="104" spans="3:22" ht="15.6" x14ac:dyDescent="0.3">
      <c r="C104" s="21"/>
      <c r="D104" s="1"/>
      <c r="E104" s="1"/>
      <c r="F104" s="1"/>
      <c r="G104" s="1"/>
      <c r="H104" s="1"/>
      <c r="I104" s="1"/>
      <c r="J104" s="1"/>
      <c r="L104" s="85">
        <v>41</v>
      </c>
      <c r="M104" s="107" t="s">
        <v>203</v>
      </c>
      <c r="N104" s="107" t="s">
        <v>173</v>
      </c>
      <c r="O104" s="128">
        <v>5</v>
      </c>
      <c r="P104" s="128">
        <v>5</v>
      </c>
      <c r="Q104" s="128">
        <v>5</v>
      </c>
      <c r="R104" s="128">
        <v>5</v>
      </c>
      <c r="S104" s="128">
        <v>5</v>
      </c>
      <c r="T104" s="85" t="s">
        <v>30</v>
      </c>
      <c r="U104" s="106">
        <v>45427.629710648151</v>
      </c>
      <c r="V104" s="117"/>
    </row>
    <row r="105" spans="3:22" ht="15.6" x14ac:dyDescent="0.3">
      <c r="C105" s="21"/>
      <c r="D105" s="1"/>
      <c r="E105" s="1"/>
      <c r="F105" s="1"/>
      <c r="G105" s="1"/>
      <c r="H105" s="1"/>
      <c r="I105" s="1"/>
      <c r="J105" s="1"/>
      <c r="L105" s="85">
        <v>42</v>
      </c>
      <c r="M105" s="107" t="s">
        <v>204</v>
      </c>
      <c r="N105" s="107" t="s">
        <v>55</v>
      </c>
      <c r="O105" s="128">
        <v>5</v>
      </c>
      <c r="P105" s="128">
        <v>5</v>
      </c>
      <c r="Q105" s="128">
        <v>5</v>
      </c>
      <c r="R105" s="128">
        <v>5</v>
      </c>
      <c r="S105" s="128">
        <v>5</v>
      </c>
      <c r="T105" s="85" t="s">
        <v>30</v>
      </c>
      <c r="U105" s="106">
        <v>45427.644548611112</v>
      </c>
      <c r="V105" s="117"/>
    </row>
    <row r="106" spans="3:22" ht="15.6" x14ac:dyDescent="0.3">
      <c r="C106" s="21"/>
      <c r="D106" s="1"/>
      <c r="E106" s="1"/>
      <c r="F106" s="1"/>
      <c r="G106" s="1"/>
      <c r="H106" s="1"/>
      <c r="I106" s="1"/>
      <c r="J106" s="1"/>
      <c r="L106" s="85">
        <v>43</v>
      </c>
      <c r="M106" s="107" t="s">
        <v>205</v>
      </c>
      <c r="N106" s="107" t="s">
        <v>170</v>
      </c>
      <c r="O106" s="128">
        <v>5</v>
      </c>
      <c r="P106" s="128">
        <v>5</v>
      </c>
      <c r="Q106" s="128">
        <v>3</v>
      </c>
      <c r="R106" s="128">
        <v>4</v>
      </c>
      <c r="S106" s="128">
        <v>4</v>
      </c>
      <c r="T106" s="85" t="s">
        <v>30</v>
      </c>
      <c r="U106" s="106">
        <v>45427.647511574076</v>
      </c>
      <c r="V106" s="117"/>
    </row>
    <row r="107" spans="3:22" ht="15.6" x14ac:dyDescent="0.3">
      <c r="C107" s="21"/>
      <c r="D107" s="1"/>
      <c r="E107" s="1"/>
      <c r="F107" s="1"/>
      <c r="G107" s="1"/>
      <c r="H107" s="1"/>
      <c r="I107" s="1"/>
      <c r="J107" s="1"/>
      <c r="L107" s="85">
        <v>44</v>
      </c>
      <c r="M107" s="107" t="s">
        <v>206</v>
      </c>
      <c r="N107" s="107" t="s">
        <v>207</v>
      </c>
      <c r="O107" s="128">
        <v>5</v>
      </c>
      <c r="P107" s="128">
        <v>5</v>
      </c>
      <c r="Q107" s="128">
        <v>4</v>
      </c>
      <c r="R107" s="128">
        <v>5</v>
      </c>
      <c r="S107" s="128">
        <v>5</v>
      </c>
      <c r="T107" s="85" t="s">
        <v>30</v>
      </c>
      <c r="U107" s="106">
        <v>45427.660844907405</v>
      </c>
      <c r="V107" s="117"/>
    </row>
    <row r="108" spans="3:22" ht="15.6" x14ac:dyDescent="0.3">
      <c r="C108" s="21"/>
      <c r="D108" s="1"/>
      <c r="E108" s="1"/>
      <c r="F108" s="1"/>
      <c r="G108" s="1"/>
      <c r="H108" s="1"/>
      <c r="I108" s="1"/>
      <c r="J108" s="1"/>
      <c r="L108" s="85">
        <v>45</v>
      </c>
      <c r="M108" s="107" t="s">
        <v>206</v>
      </c>
      <c r="N108" s="107" t="s">
        <v>207</v>
      </c>
      <c r="O108" s="128">
        <v>5</v>
      </c>
      <c r="P108" s="128">
        <v>5</v>
      </c>
      <c r="Q108" s="128">
        <v>4</v>
      </c>
      <c r="R108" s="128">
        <v>5</v>
      </c>
      <c r="S108" s="128">
        <v>5</v>
      </c>
      <c r="T108" s="85" t="s">
        <v>30</v>
      </c>
      <c r="U108" s="106">
        <v>45427.664837962962</v>
      </c>
      <c r="V108" s="117"/>
    </row>
    <row r="109" spans="3:22" ht="15.6" x14ac:dyDescent="0.3">
      <c r="C109" s="21"/>
      <c r="D109" s="1"/>
      <c r="E109" s="1"/>
      <c r="F109" s="1"/>
      <c r="G109" s="1"/>
      <c r="H109" s="1"/>
      <c r="I109" s="1"/>
      <c r="J109" s="1"/>
      <c r="L109" s="85">
        <v>46</v>
      </c>
      <c r="M109" s="107" t="s">
        <v>208</v>
      </c>
      <c r="N109" s="107" t="s">
        <v>69</v>
      </c>
      <c r="O109" s="128">
        <v>5</v>
      </c>
      <c r="P109" s="128">
        <v>5</v>
      </c>
      <c r="Q109" s="128">
        <v>5</v>
      </c>
      <c r="R109" s="128">
        <v>5</v>
      </c>
      <c r="S109" s="128">
        <v>5</v>
      </c>
      <c r="T109" s="85" t="s">
        <v>30</v>
      </c>
      <c r="U109" s="106">
        <v>45428.62159722222</v>
      </c>
      <c r="V109" s="117"/>
    </row>
    <row r="110" spans="3:22" ht="15.6" x14ac:dyDescent="0.3">
      <c r="C110" s="21"/>
      <c r="D110" s="1"/>
      <c r="E110" s="1"/>
      <c r="F110" s="1"/>
      <c r="G110" s="1"/>
      <c r="H110" s="1"/>
      <c r="I110" s="1"/>
      <c r="J110" s="1"/>
      <c r="L110" s="85">
        <v>47</v>
      </c>
      <c r="M110" s="107" t="s">
        <v>209</v>
      </c>
      <c r="N110" s="107" t="s">
        <v>55</v>
      </c>
      <c r="O110" s="128">
        <v>5</v>
      </c>
      <c r="P110" s="128">
        <v>5</v>
      </c>
      <c r="Q110" s="128">
        <v>5</v>
      </c>
      <c r="R110" s="128">
        <v>5</v>
      </c>
      <c r="S110" s="128">
        <v>5</v>
      </c>
      <c r="T110" s="85" t="s">
        <v>30</v>
      </c>
      <c r="U110" s="106">
        <v>45428.641331018516</v>
      </c>
      <c r="V110" s="117"/>
    </row>
    <row r="111" spans="3:22" ht="15.6" x14ac:dyDescent="0.3">
      <c r="C111" s="21"/>
      <c r="D111" s="1"/>
      <c r="E111" s="1"/>
      <c r="F111" s="1"/>
      <c r="G111" s="1"/>
      <c r="H111" s="1"/>
      <c r="I111" s="1"/>
      <c r="J111" s="1"/>
      <c r="L111" s="85">
        <v>48</v>
      </c>
      <c r="M111" s="107" t="s">
        <v>210</v>
      </c>
      <c r="N111" s="107" t="s">
        <v>55</v>
      </c>
      <c r="O111" s="128">
        <v>5</v>
      </c>
      <c r="P111" s="128">
        <v>5</v>
      </c>
      <c r="Q111" s="128">
        <v>5</v>
      </c>
      <c r="R111" s="128">
        <v>5</v>
      </c>
      <c r="S111" s="128">
        <v>5</v>
      </c>
      <c r="T111" s="85" t="s">
        <v>30</v>
      </c>
      <c r="U111" s="106">
        <v>45429.587557870371</v>
      </c>
      <c r="V111" s="117"/>
    </row>
    <row r="112" spans="3:22" ht="15.6" x14ac:dyDescent="0.3">
      <c r="C112" s="21"/>
      <c r="D112" s="1"/>
      <c r="E112" s="1"/>
      <c r="F112" s="1"/>
      <c r="G112" s="1"/>
      <c r="H112" s="1"/>
      <c r="I112" s="1"/>
      <c r="J112" s="1"/>
      <c r="L112" s="85">
        <v>49</v>
      </c>
      <c r="M112" s="107" t="s">
        <v>211</v>
      </c>
      <c r="N112" s="107" t="s">
        <v>69</v>
      </c>
      <c r="O112" s="128">
        <v>5</v>
      </c>
      <c r="P112" s="128">
        <v>5</v>
      </c>
      <c r="Q112" s="128">
        <v>5</v>
      </c>
      <c r="R112" s="128">
        <v>5</v>
      </c>
      <c r="S112" s="128">
        <v>5</v>
      </c>
      <c r="T112" s="85" t="s">
        <v>30</v>
      </c>
      <c r="U112" s="106">
        <v>45429.608425925922</v>
      </c>
      <c r="V112" s="117" t="s">
        <v>267</v>
      </c>
    </row>
    <row r="113" spans="3:22" ht="15.6" x14ac:dyDescent="0.3">
      <c r="C113" s="21"/>
      <c r="D113" s="1"/>
      <c r="E113" s="1"/>
      <c r="F113" s="1"/>
      <c r="G113" s="1"/>
      <c r="H113" s="1"/>
      <c r="I113" s="1"/>
      <c r="J113" s="1"/>
      <c r="L113" s="85">
        <v>50</v>
      </c>
      <c r="M113" s="107" t="s">
        <v>212</v>
      </c>
      <c r="N113" s="107" t="s">
        <v>213</v>
      </c>
      <c r="O113" s="128">
        <v>5</v>
      </c>
      <c r="P113" s="128">
        <v>5</v>
      </c>
      <c r="Q113" s="128">
        <v>5</v>
      </c>
      <c r="R113" s="128">
        <v>5</v>
      </c>
      <c r="S113" s="128">
        <v>5</v>
      </c>
      <c r="T113" s="85" t="s">
        <v>30</v>
      </c>
      <c r="U113" s="106">
        <v>45429.666539351849</v>
      </c>
      <c r="V113" s="117"/>
    </row>
    <row r="114" spans="3:22" ht="15.6" x14ac:dyDescent="0.3">
      <c r="C114" s="21"/>
      <c r="D114" s="1"/>
      <c r="E114" s="1"/>
      <c r="F114" s="1"/>
      <c r="G114" s="1"/>
      <c r="H114" s="1"/>
      <c r="I114" s="1"/>
      <c r="J114" s="1"/>
      <c r="L114" s="85">
        <v>51</v>
      </c>
      <c r="M114" s="107" t="s">
        <v>68</v>
      </c>
      <c r="N114" s="107" t="s">
        <v>214</v>
      </c>
      <c r="O114" s="128">
        <v>5</v>
      </c>
      <c r="P114" s="128">
        <v>5</v>
      </c>
      <c r="Q114" s="128">
        <v>5</v>
      </c>
      <c r="R114" s="128">
        <v>5</v>
      </c>
      <c r="S114" s="128">
        <v>5</v>
      </c>
      <c r="T114" s="85" t="s">
        <v>30</v>
      </c>
      <c r="U114" s="106">
        <v>45429.667430555557</v>
      </c>
      <c r="V114" s="117"/>
    </row>
    <row r="115" spans="3:22" ht="15.6" x14ac:dyDescent="0.3">
      <c r="C115" s="21"/>
      <c r="D115" s="1"/>
      <c r="E115" s="1"/>
      <c r="F115" s="1"/>
      <c r="G115" s="1"/>
      <c r="H115" s="1"/>
      <c r="I115" s="1"/>
      <c r="J115" s="1"/>
      <c r="L115" s="85">
        <v>52</v>
      </c>
      <c r="M115" s="107" t="s">
        <v>68</v>
      </c>
      <c r="N115" s="107" t="s">
        <v>214</v>
      </c>
      <c r="O115" s="128">
        <v>5</v>
      </c>
      <c r="P115" s="128">
        <v>5</v>
      </c>
      <c r="Q115" s="128">
        <v>5</v>
      </c>
      <c r="R115" s="128">
        <v>5</v>
      </c>
      <c r="S115" s="128">
        <v>5</v>
      </c>
      <c r="T115" s="85" t="s">
        <v>30</v>
      </c>
      <c r="U115" s="106">
        <v>45429.668240740742</v>
      </c>
      <c r="V115" s="117"/>
    </row>
    <row r="116" spans="3:22" ht="15.6" x14ac:dyDescent="0.3">
      <c r="C116" s="21"/>
      <c r="D116" s="1"/>
      <c r="E116" s="1"/>
      <c r="F116" s="1"/>
      <c r="G116" s="1"/>
      <c r="H116" s="1"/>
      <c r="I116" s="1"/>
      <c r="J116" s="1"/>
      <c r="L116" s="85">
        <v>53</v>
      </c>
      <c r="M116" s="107" t="s">
        <v>215</v>
      </c>
      <c r="N116" s="107" t="s">
        <v>55</v>
      </c>
      <c r="O116" s="128">
        <v>5</v>
      </c>
      <c r="P116" s="128">
        <v>5</v>
      </c>
      <c r="Q116" s="128">
        <v>5</v>
      </c>
      <c r="R116" s="128">
        <v>5</v>
      </c>
      <c r="S116" s="128">
        <v>5</v>
      </c>
      <c r="T116" s="85" t="s">
        <v>30</v>
      </c>
      <c r="U116" s="106">
        <v>45430.620613425926</v>
      </c>
      <c r="V116" s="117" t="s">
        <v>268</v>
      </c>
    </row>
    <row r="117" spans="3:22" ht="15.6" x14ac:dyDescent="0.3">
      <c r="C117" s="21"/>
      <c r="D117" s="1"/>
      <c r="E117" s="1"/>
      <c r="F117" s="1"/>
      <c r="G117" s="1"/>
      <c r="H117" s="1"/>
      <c r="I117" s="1"/>
      <c r="J117" s="1"/>
      <c r="L117" s="85">
        <v>54</v>
      </c>
      <c r="M117" s="107" t="s">
        <v>216</v>
      </c>
      <c r="N117" s="107" t="s">
        <v>55</v>
      </c>
      <c r="O117" s="128">
        <v>5</v>
      </c>
      <c r="P117" s="128">
        <v>5</v>
      </c>
      <c r="Q117" s="128">
        <v>5</v>
      </c>
      <c r="R117" s="128">
        <v>5</v>
      </c>
      <c r="S117" s="128">
        <v>5</v>
      </c>
      <c r="T117" s="85" t="s">
        <v>30</v>
      </c>
      <c r="U117" s="106">
        <v>45430.709270833337</v>
      </c>
      <c r="V117" s="117"/>
    </row>
    <row r="118" spans="3:22" ht="15.6" x14ac:dyDescent="0.3">
      <c r="C118" s="21"/>
      <c r="D118" s="1"/>
      <c r="E118" s="1"/>
      <c r="F118" s="1"/>
      <c r="G118" s="1"/>
      <c r="H118" s="1"/>
      <c r="I118" s="1"/>
      <c r="J118" s="1"/>
      <c r="L118" s="85">
        <v>55</v>
      </c>
      <c r="M118" s="107" t="s">
        <v>217</v>
      </c>
      <c r="N118" s="107" t="s">
        <v>55</v>
      </c>
      <c r="O118" s="128">
        <v>5</v>
      </c>
      <c r="P118" s="128">
        <v>5</v>
      </c>
      <c r="Q118" s="128">
        <v>5</v>
      </c>
      <c r="R118" s="128">
        <v>5</v>
      </c>
      <c r="S118" s="128">
        <v>5</v>
      </c>
      <c r="T118" s="85" t="s">
        <v>30</v>
      </c>
      <c r="U118" s="106">
        <v>45430.710185185184</v>
      </c>
      <c r="V118" s="117"/>
    </row>
    <row r="119" spans="3:22" ht="15.6" x14ac:dyDescent="0.3">
      <c r="C119" s="21"/>
      <c r="D119" s="1"/>
      <c r="E119" s="1"/>
      <c r="F119" s="1"/>
      <c r="G119" s="1"/>
      <c r="H119" s="1"/>
      <c r="I119" s="1"/>
      <c r="J119" s="1"/>
      <c r="L119" s="85">
        <v>56</v>
      </c>
      <c r="M119" s="107" t="s">
        <v>218</v>
      </c>
      <c r="N119" s="107" t="s">
        <v>55</v>
      </c>
      <c r="O119" s="128">
        <v>5</v>
      </c>
      <c r="P119" s="128">
        <v>5</v>
      </c>
      <c r="Q119" s="128">
        <v>5</v>
      </c>
      <c r="R119" s="128">
        <v>5</v>
      </c>
      <c r="S119" s="128">
        <v>5</v>
      </c>
      <c r="T119" s="85" t="s">
        <v>30</v>
      </c>
      <c r="U119" s="106">
        <v>45431.626180555555</v>
      </c>
      <c r="V119" s="117" t="s">
        <v>269</v>
      </c>
    </row>
    <row r="120" spans="3:22" ht="15.6" x14ac:dyDescent="0.3">
      <c r="C120" s="21"/>
      <c r="D120" s="1"/>
      <c r="E120" s="1"/>
      <c r="F120" s="1"/>
      <c r="G120" s="1"/>
      <c r="H120" s="1"/>
      <c r="I120" s="1"/>
      <c r="J120" s="1"/>
      <c r="L120" s="85">
        <v>57</v>
      </c>
      <c r="M120" s="107" t="s">
        <v>171</v>
      </c>
      <c r="N120" s="107" t="s">
        <v>57</v>
      </c>
      <c r="O120" s="128">
        <v>5</v>
      </c>
      <c r="P120" s="128">
        <v>5</v>
      </c>
      <c r="Q120" s="128">
        <v>5</v>
      </c>
      <c r="R120" s="128">
        <v>5</v>
      </c>
      <c r="S120" s="128">
        <v>5</v>
      </c>
      <c r="T120" s="85" t="s">
        <v>30</v>
      </c>
      <c r="U120" s="106">
        <v>45431.645937499998</v>
      </c>
      <c r="V120" s="117"/>
    </row>
    <row r="121" spans="3:22" ht="15.6" x14ac:dyDescent="0.3">
      <c r="C121" s="21"/>
      <c r="D121" s="1"/>
      <c r="E121" s="1"/>
      <c r="F121" s="1"/>
      <c r="G121" s="1"/>
      <c r="H121" s="1"/>
      <c r="I121" s="1"/>
      <c r="J121" s="1"/>
      <c r="L121" s="85">
        <v>58</v>
      </c>
      <c r="M121" s="107" t="s">
        <v>219</v>
      </c>
      <c r="N121" s="107" t="s">
        <v>220</v>
      </c>
      <c r="O121" s="128">
        <v>5</v>
      </c>
      <c r="P121" s="128">
        <v>5</v>
      </c>
      <c r="Q121" s="128">
        <v>5</v>
      </c>
      <c r="R121" s="128">
        <v>5</v>
      </c>
      <c r="S121" s="128">
        <v>5</v>
      </c>
      <c r="T121" s="85" t="s">
        <v>30</v>
      </c>
      <c r="U121" s="106">
        <v>45431.648993055554</v>
      </c>
      <c r="V121" s="117"/>
    </row>
    <row r="122" spans="3:22" ht="15.6" x14ac:dyDescent="0.3">
      <c r="C122" s="21"/>
      <c r="D122" s="1"/>
      <c r="E122" s="1"/>
      <c r="F122" s="1"/>
      <c r="G122" s="1"/>
      <c r="H122" s="1"/>
      <c r="I122" s="1"/>
      <c r="J122" s="1"/>
      <c r="L122" s="85">
        <v>59</v>
      </c>
      <c r="M122" s="107" t="s">
        <v>221</v>
      </c>
      <c r="N122" s="107" t="s">
        <v>69</v>
      </c>
      <c r="O122" s="128">
        <v>5</v>
      </c>
      <c r="P122" s="128">
        <v>5</v>
      </c>
      <c r="Q122" s="128">
        <v>5</v>
      </c>
      <c r="R122" s="128">
        <v>5</v>
      </c>
      <c r="S122" s="128">
        <v>5</v>
      </c>
      <c r="T122" s="85" t="s">
        <v>30</v>
      </c>
      <c r="U122" s="106">
        <v>45431.654942129629</v>
      </c>
      <c r="V122" s="117"/>
    </row>
    <row r="123" spans="3:22" ht="15.6" x14ac:dyDescent="0.3">
      <c r="C123" s="21"/>
      <c r="D123" s="1"/>
      <c r="E123" s="1"/>
      <c r="F123" s="1"/>
      <c r="G123" s="1"/>
      <c r="H123" s="1"/>
      <c r="I123" s="1"/>
      <c r="J123" s="1"/>
      <c r="L123" s="85">
        <v>60</v>
      </c>
      <c r="M123" s="107" t="s">
        <v>222</v>
      </c>
      <c r="N123" s="107" t="s">
        <v>170</v>
      </c>
      <c r="O123" s="128">
        <v>5</v>
      </c>
      <c r="P123" s="128">
        <v>5</v>
      </c>
      <c r="Q123" s="128">
        <v>5</v>
      </c>
      <c r="R123" s="128">
        <v>4</v>
      </c>
      <c r="S123" s="128">
        <v>5</v>
      </c>
      <c r="T123" s="85" t="s">
        <v>30</v>
      </c>
      <c r="U123" s="106">
        <v>45431.658020833333</v>
      </c>
      <c r="V123" s="117"/>
    </row>
    <row r="124" spans="3:22" ht="15.6" x14ac:dyDescent="0.3">
      <c r="C124" s="21"/>
      <c r="D124" s="1"/>
      <c r="E124" s="1"/>
      <c r="F124" s="1"/>
      <c r="G124" s="1"/>
      <c r="H124" s="1"/>
      <c r="I124" s="1"/>
      <c r="J124" s="1"/>
      <c r="L124" s="85">
        <v>61</v>
      </c>
      <c r="M124" s="107" t="s">
        <v>223</v>
      </c>
      <c r="N124" s="107" t="s">
        <v>69</v>
      </c>
      <c r="O124" s="128">
        <v>5</v>
      </c>
      <c r="P124" s="128">
        <v>5</v>
      </c>
      <c r="Q124" s="128">
        <v>5</v>
      </c>
      <c r="R124" s="128">
        <v>5</v>
      </c>
      <c r="S124" s="128">
        <v>5</v>
      </c>
      <c r="T124" s="85" t="s">
        <v>30</v>
      </c>
      <c r="U124" s="106">
        <v>45431.665752314817</v>
      </c>
      <c r="V124" s="117"/>
    </row>
    <row r="125" spans="3:22" ht="15.6" x14ac:dyDescent="0.3">
      <c r="C125" s="21"/>
      <c r="D125" s="1"/>
      <c r="E125" s="1"/>
      <c r="F125" s="1"/>
      <c r="G125" s="1"/>
      <c r="H125" s="1"/>
      <c r="I125" s="1"/>
      <c r="J125" s="1"/>
      <c r="L125" s="85">
        <v>62</v>
      </c>
      <c r="M125" s="107" t="s">
        <v>72</v>
      </c>
      <c r="N125" s="107" t="s">
        <v>55</v>
      </c>
      <c r="O125" s="128">
        <v>5</v>
      </c>
      <c r="P125" s="128">
        <v>5</v>
      </c>
      <c r="Q125" s="128">
        <v>5</v>
      </c>
      <c r="R125" s="128">
        <v>5</v>
      </c>
      <c r="S125" s="128">
        <v>5</v>
      </c>
      <c r="T125" s="85" t="s">
        <v>30</v>
      </c>
      <c r="U125" s="106">
        <v>45431.669733796298</v>
      </c>
      <c r="V125" s="117" t="s">
        <v>270</v>
      </c>
    </row>
    <row r="126" spans="3:22" ht="15.6" x14ac:dyDescent="0.3">
      <c r="C126" s="21"/>
      <c r="D126" s="1"/>
      <c r="E126" s="1"/>
      <c r="F126" s="1"/>
      <c r="G126" s="1"/>
      <c r="H126" s="1"/>
      <c r="I126" s="1"/>
      <c r="J126" s="1"/>
      <c r="L126" s="85">
        <v>63</v>
      </c>
      <c r="M126" s="107" t="s">
        <v>224</v>
      </c>
      <c r="N126" s="107" t="s">
        <v>69</v>
      </c>
      <c r="O126" s="128">
        <v>5</v>
      </c>
      <c r="P126" s="128">
        <v>5</v>
      </c>
      <c r="Q126" s="128">
        <v>5</v>
      </c>
      <c r="R126" s="128">
        <v>5</v>
      </c>
      <c r="S126" s="128">
        <v>5</v>
      </c>
      <c r="T126" s="85" t="s">
        <v>30</v>
      </c>
      <c r="U126" s="106">
        <v>45434.604733796295</v>
      </c>
      <c r="V126" s="117"/>
    </row>
    <row r="127" spans="3:22" ht="15.6" x14ac:dyDescent="0.3">
      <c r="C127" s="21"/>
      <c r="D127" s="1"/>
      <c r="E127" s="1"/>
      <c r="F127" s="1"/>
      <c r="G127" s="1"/>
      <c r="H127" s="1"/>
      <c r="I127" s="1"/>
      <c r="J127" s="1"/>
      <c r="L127" s="85">
        <v>64</v>
      </c>
      <c r="M127" s="107" t="s">
        <v>225</v>
      </c>
      <c r="N127" s="107" t="s">
        <v>69</v>
      </c>
      <c r="O127" s="128">
        <v>5</v>
      </c>
      <c r="P127" s="128">
        <v>5</v>
      </c>
      <c r="Q127" s="128">
        <v>5</v>
      </c>
      <c r="R127" s="128">
        <v>4</v>
      </c>
      <c r="S127" s="128">
        <v>5</v>
      </c>
      <c r="T127" s="85" t="s">
        <v>30</v>
      </c>
      <c r="U127" s="106">
        <v>45434.69971064815</v>
      </c>
      <c r="V127" s="117"/>
    </row>
    <row r="128" spans="3:22" ht="15.6" x14ac:dyDescent="0.3">
      <c r="C128" s="21"/>
      <c r="D128" s="1"/>
      <c r="E128" s="1"/>
      <c r="F128" s="1"/>
      <c r="G128" s="1"/>
      <c r="H128" s="1"/>
      <c r="I128" s="1"/>
      <c r="J128" s="1"/>
      <c r="L128" s="85">
        <v>65</v>
      </c>
      <c r="M128" s="107" t="s">
        <v>226</v>
      </c>
      <c r="N128" s="107" t="s">
        <v>69</v>
      </c>
      <c r="O128" s="128">
        <v>5</v>
      </c>
      <c r="P128" s="128">
        <v>5</v>
      </c>
      <c r="Q128" s="128">
        <v>3</v>
      </c>
      <c r="R128" s="128">
        <v>2</v>
      </c>
      <c r="S128" s="128">
        <v>5</v>
      </c>
      <c r="T128" s="85" t="s">
        <v>30</v>
      </c>
      <c r="U128" s="106">
        <v>45435.564236111109</v>
      </c>
      <c r="V128" s="117"/>
    </row>
    <row r="129" spans="3:22" ht="15.6" x14ac:dyDescent="0.3">
      <c r="C129" s="21"/>
      <c r="D129" s="1"/>
      <c r="E129" s="1"/>
      <c r="F129" s="1"/>
      <c r="G129" s="1"/>
      <c r="H129" s="1"/>
      <c r="I129" s="1"/>
      <c r="J129" s="1"/>
      <c r="L129" s="85">
        <v>66</v>
      </c>
      <c r="M129" s="107" t="s">
        <v>226</v>
      </c>
      <c r="N129" s="107" t="s">
        <v>69</v>
      </c>
      <c r="O129" s="128">
        <v>5</v>
      </c>
      <c r="P129" s="128">
        <v>5</v>
      </c>
      <c r="Q129" s="128">
        <v>3</v>
      </c>
      <c r="R129" s="128">
        <v>2</v>
      </c>
      <c r="S129" s="128">
        <v>5</v>
      </c>
      <c r="T129" s="85" t="s">
        <v>30</v>
      </c>
      <c r="U129" s="106">
        <v>45435.565659722219</v>
      </c>
      <c r="V129" s="117"/>
    </row>
    <row r="130" spans="3:22" ht="15.6" x14ac:dyDescent="0.3">
      <c r="C130" s="21"/>
      <c r="D130" s="1"/>
      <c r="E130" s="1"/>
      <c r="F130" s="1"/>
      <c r="G130" s="1"/>
      <c r="H130" s="1"/>
      <c r="I130" s="1"/>
      <c r="J130" s="1"/>
      <c r="L130" s="85">
        <v>67</v>
      </c>
      <c r="M130" s="107" t="s">
        <v>226</v>
      </c>
      <c r="N130" s="107" t="s">
        <v>69</v>
      </c>
      <c r="O130" s="128">
        <v>5</v>
      </c>
      <c r="P130" s="128">
        <v>5</v>
      </c>
      <c r="Q130" s="128">
        <v>3</v>
      </c>
      <c r="R130" s="128">
        <v>2</v>
      </c>
      <c r="S130" s="128">
        <v>5</v>
      </c>
      <c r="T130" s="85" t="s">
        <v>30</v>
      </c>
      <c r="U130" s="106">
        <v>45435.565810185188</v>
      </c>
      <c r="V130" s="117"/>
    </row>
    <row r="131" spans="3:22" ht="15.6" x14ac:dyDescent="0.3">
      <c r="C131" s="21"/>
      <c r="D131" s="1"/>
      <c r="E131" s="1"/>
      <c r="F131" s="1"/>
      <c r="G131" s="1"/>
      <c r="H131" s="1"/>
      <c r="I131" s="1"/>
      <c r="J131" s="1"/>
      <c r="L131" s="85">
        <v>68</v>
      </c>
      <c r="M131" s="107" t="s">
        <v>227</v>
      </c>
      <c r="N131" s="107" t="s">
        <v>228</v>
      </c>
      <c r="O131" s="128">
        <v>5</v>
      </c>
      <c r="P131" s="128">
        <v>5</v>
      </c>
      <c r="Q131" s="128">
        <v>5</v>
      </c>
      <c r="R131" s="128">
        <v>5</v>
      </c>
      <c r="S131" s="128">
        <v>5</v>
      </c>
      <c r="T131" s="85" t="s">
        <v>30</v>
      </c>
      <c r="U131" s="106">
        <v>45435.623437499999</v>
      </c>
      <c r="V131" s="117" t="s">
        <v>271</v>
      </c>
    </row>
    <row r="132" spans="3:22" ht="15.6" x14ac:dyDescent="0.3">
      <c r="C132" s="21"/>
      <c r="D132" s="1"/>
      <c r="E132" s="1"/>
      <c r="F132" s="1"/>
      <c r="G132" s="1"/>
      <c r="H132" s="1"/>
      <c r="I132" s="1"/>
      <c r="J132" s="1"/>
      <c r="L132" s="85">
        <v>69</v>
      </c>
      <c r="M132" s="107" t="s">
        <v>229</v>
      </c>
      <c r="N132" s="107" t="s">
        <v>69</v>
      </c>
      <c r="O132" s="128">
        <v>5</v>
      </c>
      <c r="P132" s="128">
        <v>5</v>
      </c>
      <c r="Q132" s="128">
        <v>5</v>
      </c>
      <c r="R132" s="128">
        <v>5</v>
      </c>
      <c r="S132" s="128">
        <v>4</v>
      </c>
      <c r="T132" s="85" t="s">
        <v>30</v>
      </c>
      <c r="U132" s="106">
        <v>45435.641817129632</v>
      </c>
      <c r="V132" s="117"/>
    </row>
    <row r="133" spans="3:22" ht="15.6" x14ac:dyDescent="0.3">
      <c r="C133" s="21"/>
      <c r="D133" s="1"/>
      <c r="E133" s="1"/>
      <c r="F133" s="1"/>
      <c r="G133" s="1"/>
      <c r="H133" s="1"/>
      <c r="I133" s="1"/>
      <c r="J133" s="1"/>
      <c r="L133" s="85">
        <v>70</v>
      </c>
      <c r="M133" s="107" t="s">
        <v>230</v>
      </c>
      <c r="N133" s="107" t="s">
        <v>71</v>
      </c>
      <c r="O133" s="128">
        <v>5</v>
      </c>
      <c r="P133" s="128">
        <v>5</v>
      </c>
      <c r="Q133" s="128">
        <v>5</v>
      </c>
      <c r="R133" s="128">
        <v>5</v>
      </c>
      <c r="S133" s="128">
        <v>4</v>
      </c>
      <c r="T133" s="85" t="s">
        <v>30</v>
      </c>
      <c r="U133" s="106">
        <v>45435.642928240741</v>
      </c>
      <c r="V133" s="117"/>
    </row>
    <row r="134" spans="3:22" ht="15.6" x14ac:dyDescent="0.3">
      <c r="C134" s="21"/>
      <c r="D134" s="1"/>
      <c r="E134" s="1"/>
      <c r="F134" s="1"/>
      <c r="G134" s="1"/>
      <c r="H134" s="1"/>
      <c r="I134" s="1"/>
      <c r="J134" s="1"/>
      <c r="L134" s="85">
        <v>71</v>
      </c>
      <c r="M134" s="107" t="s">
        <v>231</v>
      </c>
      <c r="N134" s="107" t="s">
        <v>55</v>
      </c>
      <c r="O134" s="128">
        <v>5</v>
      </c>
      <c r="P134" s="128">
        <v>5</v>
      </c>
      <c r="Q134" s="128">
        <v>5</v>
      </c>
      <c r="R134" s="128">
        <v>5</v>
      </c>
      <c r="S134" s="128">
        <v>5</v>
      </c>
      <c r="T134" s="85" t="s">
        <v>30</v>
      </c>
      <c r="U134" s="106">
        <v>45435.65693287037</v>
      </c>
      <c r="V134" s="117"/>
    </row>
    <row r="135" spans="3:22" ht="15.6" x14ac:dyDescent="0.3">
      <c r="C135" s="21"/>
      <c r="D135" s="1"/>
      <c r="E135" s="1"/>
      <c r="F135" s="1"/>
      <c r="G135" s="1"/>
      <c r="H135" s="1"/>
      <c r="I135" s="1"/>
      <c r="J135" s="1"/>
      <c r="L135" s="85">
        <v>72</v>
      </c>
      <c r="M135" s="107" t="s">
        <v>232</v>
      </c>
      <c r="N135" s="107" t="s">
        <v>233</v>
      </c>
      <c r="O135" s="128">
        <v>5</v>
      </c>
      <c r="P135" s="128">
        <v>5</v>
      </c>
      <c r="Q135" s="128">
        <v>5</v>
      </c>
      <c r="R135" s="128">
        <v>5</v>
      </c>
      <c r="S135" s="128">
        <v>5</v>
      </c>
      <c r="T135" s="85" t="s">
        <v>30</v>
      </c>
      <c r="U135" s="106">
        <v>45435.721828703703</v>
      </c>
      <c r="V135" s="117"/>
    </row>
    <row r="136" spans="3:22" ht="15.6" x14ac:dyDescent="0.3">
      <c r="C136" s="21"/>
      <c r="D136" s="1"/>
      <c r="E136" s="1"/>
      <c r="F136" s="1"/>
      <c r="G136" s="1"/>
      <c r="H136" s="1"/>
      <c r="I136" s="1"/>
      <c r="J136" s="1"/>
      <c r="L136" s="85">
        <v>73</v>
      </c>
      <c r="M136" s="107" t="s">
        <v>234</v>
      </c>
      <c r="N136" s="107" t="s">
        <v>170</v>
      </c>
      <c r="O136" s="128">
        <v>5</v>
      </c>
      <c r="P136" s="128">
        <v>5</v>
      </c>
      <c r="Q136" s="128">
        <v>5</v>
      </c>
      <c r="R136" s="128">
        <v>5</v>
      </c>
      <c r="S136" s="128">
        <v>5</v>
      </c>
      <c r="T136" s="85" t="s">
        <v>30</v>
      </c>
      <c r="U136" s="106">
        <v>45436.607048611113</v>
      </c>
      <c r="V136" s="117"/>
    </row>
    <row r="137" spans="3:22" ht="15.6" x14ac:dyDescent="0.3">
      <c r="C137" s="21"/>
      <c r="D137" s="1"/>
      <c r="E137" s="1"/>
      <c r="F137" s="1"/>
      <c r="G137" s="1"/>
      <c r="H137" s="1"/>
      <c r="I137" s="1"/>
      <c r="J137" s="1"/>
      <c r="L137" s="85">
        <v>74</v>
      </c>
      <c r="M137" s="107" t="s">
        <v>235</v>
      </c>
      <c r="N137" s="107" t="s">
        <v>69</v>
      </c>
      <c r="O137" s="128">
        <v>5</v>
      </c>
      <c r="P137" s="128">
        <v>5</v>
      </c>
      <c r="Q137" s="128">
        <v>5</v>
      </c>
      <c r="R137" s="128">
        <v>5</v>
      </c>
      <c r="S137" s="128">
        <v>5</v>
      </c>
      <c r="T137" s="85" t="s">
        <v>30</v>
      </c>
      <c r="U137" s="106">
        <v>45436.624467592592</v>
      </c>
      <c r="V137" s="117"/>
    </row>
    <row r="138" spans="3:22" ht="15.6" x14ac:dyDescent="0.3">
      <c r="C138" s="21"/>
      <c r="D138" s="1"/>
      <c r="E138" s="1"/>
      <c r="F138" s="1"/>
      <c r="G138" s="1"/>
      <c r="H138" s="1"/>
      <c r="I138" s="1"/>
      <c r="J138" s="1"/>
      <c r="L138" s="85">
        <v>75</v>
      </c>
      <c r="M138" s="107" t="s">
        <v>236</v>
      </c>
      <c r="N138" s="107" t="s">
        <v>55</v>
      </c>
      <c r="O138" s="128">
        <v>5</v>
      </c>
      <c r="P138" s="128">
        <v>5</v>
      </c>
      <c r="Q138" s="128">
        <v>5</v>
      </c>
      <c r="R138" s="128">
        <v>5</v>
      </c>
      <c r="S138" s="128">
        <v>5</v>
      </c>
      <c r="T138" s="85" t="s">
        <v>30</v>
      </c>
      <c r="U138" s="106">
        <v>45437.605104166665</v>
      </c>
      <c r="V138" s="117"/>
    </row>
    <row r="139" spans="3:22" ht="15.6" x14ac:dyDescent="0.3">
      <c r="C139" s="21"/>
      <c r="D139" s="1"/>
      <c r="E139" s="1"/>
      <c r="F139" s="1"/>
      <c r="G139" s="1"/>
      <c r="H139" s="1"/>
      <c r="I139" s="1"/>
      <c r="J139" s="1"/>
      <c r="L139" s="85">
        <v>76</v>
      </c>
      <c r="M139" s="107" t="s">
        <v>237</v>
      </c>
      <c r="N139" s="107" t="s">
        <v>69</v>
      </c>
      <c r="O139" s="128">
        <v>5</v>
      </c>
      <c r="P139" s="128">
        <v>5</v>
      </c>
      <c r="Q139" s="128">
        <v>5</v>
      </c>
      <c r="R139" s="128">
        <v>5</v>
      </c>
      <c r="S139" s="128">
        <v>5</v>
      </c>
      <c r="T139" s="85" t="s">
        <v>30</v>
      </c>
      <c r="U139" s="106">
        <v>45437.625416666669</v>
      </c>
      <c r="V139" s="117"/>
    </row>
    <row r="140" spans="3:22" ht="15.6" x14ac:dyDescent="0.3">
      <c r="C140" s="21"/>
      <c r="D140" s="1"/>
      <c r="E140" s="1"/>
      <c r="F140" s="1"/>
      <c r="G140" s="1"/>
      <c r="H140" s="1"/>
      <c r="I140" s="1"/>
      <c r="J140" s="1"/>
      <c r="L140" s="85">
        <v>77</v>
      </c>
      <c r="M140" s="107" t="s">
        <v>238</v>
      </c>
      <c r="N140" s="107" t="s">
        <v>239</v>
      </c>
      <c r="O140" s="128">
        <v>5</v>
      </c>
      <c r="P140" s="128">
        <v>5</v>
      </c>
      <c r="Q140" s="128">
        <v>5</v>
      </c>
      <c r="R140" s="128">
        <v>5</v>
      </c>
      <c r="S140" s="128">
        <v>5</v>
      </c>
      <c r="T140" s="85" t="s">
        <v>30</v>
      </c>
      <c r="U140" s="106">
        <v>45438.619317129633</v>
      </c>
      <c r="V140" s="117" t="s">
        <v>272</v>
      </c>
    </row>
    <row r="141" spans="3:22" ht="15.6" x14ac:dyDescent="0.3">
      <c r="C141" s="21"/>
      <c r="D141" s="1"/>
      <c r="E141" s="1"/>
      <c r="F141" s="1"/>
      <c r="G141" s="1"/>
      <c r="H141" s="1"/>
      <c r="I141" s="1"/>
      <c r="J141" s="1"/>
      <c r="L141" s="85">
        <v>78</v>
      </c>
      <c r="M141" s="107" t="s">
        <v>238</v>
      </c>
      <c r="N141" s="107" t="s">
        <v>239</v>
      </c>
      <c r="O141" s="128">
        <v>5</v>
      </c>
      <c r="P141" s="128">
        <v>5</v>
      </c>
      <c r="Q141" s="128">
        <v>5</v>
      </c>
      <c r="R141" s="128">
        <v>5</v>
      </c>
      <c r="S141" s="128">
        <v>5</v>
      </c>
      <c r="T141" s="85" t="s">
        <v>30</v>
      </c>
      <c r="U141" s="106">
        <v>45438.619837962964</v>
      </c>
      <c r="V141" s="117" t="s">
        <v>272</v>
      </c>
    </row>
    <row r="142" spans="3:22" ht="15.6" x14ac:dyDescent="0.3">
      <c r="C142" s="21"/>
      <c r="D142" s="1"/>
      <c r="E142" s="1"/>
      <c r="F142" s="1"/>
      <c r="G142" s="1"/>
      <c r="H142" s="1"/>
      <c r="I142" s="1"/>
      <c r="J142" s="1"/>
      <c r="L142" s="85">
        <v>79</v>
      </c>
      <c r="M142" s="107" t="s">
        <v>240</v>
      </c>
      <c r="N142" s="107" t="s">
        <v>241</v>
      </c>
      <c r="O142" s="128">
        <v>5</v>
      </c>
      <c r="P142" s="128">
        <v>5</v>
      </c>
      <c r="Q142" s="128">
        <v>5</v>
      </c>
      <c r="R142" s="128">
        <v>5</v>
      </c>
      <c r="S142" s="128">
        <v>5</v>
      </c>
      <c r="T142" s="85" t="s">
        <v>30</v>
      </c>
      <c r="U142" s="106">
        <v>45438.621655092589</v>
      </c>
      <c r="V142" s="117"/>
    </row>
    <row r="143" spans="3:22" ht="15.6" x14ac:dyDescent="0.3">
      <c r="C143" s="21"/>
      <c r="D143" s="1"/>
      <c r="E143" s="1"/>
      <c r="F143" s="1"/>
      <c r="G143" s="1"/>
      <c r="H143" s="1"/>
      <c r="I143" s="1"/>
      <c r="J143" s="1"/>
      <c r="L143" s="85">
        <v>80</v>
      </c>
      <c r="M143" s="107" t="s">
        <v>242</v>
      </c>
      <c r="N143" s="107" t="s">
        <v>55</v>
      </c>
      <c r="O143" s="128">
        <v>5</v>
      </c>
      <c r="P143" s="128">
        <v>5</v>
      </c>
      <c r="Q143" s="128">
        <v>5</v>
      </c>
      <c r="R143" s="128">
        <v>5</v>
      </c>
      <c r="S143" s="128">
        <v>5</v>
      </c>
      <c r="T143" s="85" t="s">
        <v>30</v>
      </c>
      <c r="U143" s="106">
        <v>45438.645115740743</v>
      </c>
      <c r="V143" s="117"/>
    </row>
    <row r="144" spans="3:22" ht="15.6" x14ac:dyDescent="0.3">
      <c r="C144" s="21"/>
      <c r="D144" s="1"/>
      <c r="E144" s="1"/>
      <c r="F144" s="1"/>
      <c r="G144" s="1"/>
      <c r="H144" s="1"/>
      <c r="I144" s="1"/>
      <c r="J144" s="1"/>
      <c r="L144" s="85">
        <v>81</v>
      </c>
      <c r="M144" s="107" t="s">
        <v>243</v>
      </c>
      <c r="N144" s="107" t="s">
        <v>170</v>
      </c>
      <c r="O144" s="128">
        <v>5</v>
      </c>
      <c r="P144" s="128">
        <v>5</v>
      </c>
      <c r="Q144" s="128">
        <v>5</v>
      </c>
      <c r="R144" s="128">
        <v>5</v>
      </c>
      <c r="S144" s="128">
        <v>5</v>
      </c>
      <c r="T144" s="85" t="s">
        <v>30</v>
      </c>
      <c r="U144" s="106">
        <v>45438.656331018516</v>
      </c>
      <c r="V144" s="117"/>
    </row>
    <row r="145" spans="3:22" ht="15.6" x14ac:dyDescent="0.3">
      <c r="C145" s="21"/>
      <c r="D145" s="1"/>
      <c r="E145" s="1"/>
      <c r="F145" s="1"/>
      <c r="G145" s="1"/>
      <c r="H145" s="1"/>
      <c r="I145" s="1"/>
      <c r="J145" s="1"/>
      <c r="L145" s="85">
        <v>82</v>
      </c>
      <c r="M145" s="107" t="s">
        <v>244</v>
      </c>
      <c r="N145" s="107" t="s">
        <v>57</v>
      </c>
      <c r="O145" s="128">
        <v>5</v>
      </c>
      <c r="P145" s="128">
        <v>5</v>
      </c>
      <c r="Q145" s="128">
        <v>5</v>
      </c>
      <c r="R145" s="128">
        <v>5</v>
      </c>
      <c r="S145" s="128">
        <v>5</v>
      </c>
      <c r="T145" s="85" t="s">
        <v>30</v>
      </c>
      <c r="U145" s="106">
        <v>45438.670405092591</v>
      </c>
      <c r="V145" s="117"/>
    </row>
    <row r="146" spans="3:22" ht="15.6" x14ac:dyDescent="0.3">
      <c r="C146" s="21"/>
      <c r="D146" s="1"/>
      <c r="E146" s="1"/>
      <c r="F146" s="1"/>
      <c r="G146" s="1"/>
      <c r="H146" s="1"/>
      <c r="I146" s="1"/>
      <c r="J146" s="1"/>
      <c r="L146" s="85">
        <v>83</v>
      </c>
      <c r="M146" s="107" t="s">
        <v>245</v>
      </c>
      <c r="N146" s="107" t="s">
        <v>57</v>
      </c>
      <c r="O146" s="128">
        <v>5</v>
      </c>
      <c r="P146" s="128">
        <v>5</v>
      </c>
      <c r="Q146" s="128">
        <v>4</v>
      </c>
      <c r="R146" s="128">
        <v>4</v>
      </c>
      <c r="S146" s="128">
        <v>5</v>
      </c>
      <c r="T146" s="85" t="s">
        <v>30</v>
      </c>
      <c r="U146" s="106">
        <v>45441.62228009259</v>
      </c>
      <c r="V146" s="117"/>
    </row>
    <row r="147" spans="3:22" ht="15.6" x14ac:dyDescent="0.3">
      <c r="C147" s="21"/>
      <c r="D147" s="1"/>
      <c r="E147" s="1"/>
      <c r="F147" s="1"/>
      <c r="G147" s="1"/>
      <c r="H147" s="1"/>
      <c r="I147" s="1"/>
      <c r="J147" s="1"/>
      <c r="L147" s="85">
        <v>84</v>
      </c>
      <c r="M147" s="107" t="s">
        <v>245</v>
      </c>
      <c r="N147" s="107" t="s">
        <v>57</v>
      </c>
      <c r="O147" s="128">
        <v>5</v>
      </c>
      <c r="P147" s="128">
        <v>5</v>
      </c>
      <c r="Q147" s="128">
        <v>5</v>
      </c>
      <c r="R147" s="128">
        <v>5</v>
      </c>
      <c r="S147" s="128">
        <v>5</v>
      </c>
      <c r="T147" s="85" t="s">
        <v>30</v>
      </c>
      <c r="U147" s="106">
        <v>45441.624849537038</v>
      </c>
      <c r="V147" s="117"/>
    </row>
    <row r="148" spans="3:22" ht="15.6" x14ac:dyDescent="0.3">
      <c r="C148" s="21"/>
      <c r="D148" s="1"/>
      <c r="E148" s="1"/>
      <c r="F148" s="1"/>
      <c r="G148" s="1"/>
      <c r="H148" s="1"/>
      <c r="I148" s="1"/>
      <c r="J148" s="1"/>
      <c r="L148" s="85">
        <v>85</v>
      </c>
      <c r="M148" s="107" t="s">
        <v>246</v>
      </c>
      <c r="N148" s="107" t="s">
        <v>170</v>
      </c>
      <c r="O148" s="128">
        <v>5</v>
      </c>
      <c r="P148" s="128">
        <v>5</v>
      </c>
      <c r="Q148" s="128">
        <v>5</v>
      </c>
      <c r="R148" s="128">
        <v>3</v>
      </c>
      <c r="S148" s="128">
        <v>5</v>
      </c>
      <c r="T148" s="85" t="s">
        <v>30</v>
      </c>
      <c r="U148" s="106">
        <v>45441.635289351849</v>
      </c>
      <c r="V148" s="117"/>
    </row>
    <row r="149" spans="3:22" ht="15.6" x14ac:dyDescent="0.3">
      <c r="C149" s="21"/>
      <c r="D149" s="1"/>
      <c r="E149" s="1"/>
      <c r="F149" s="1"/>
      <c r="G149" s="1"/>
      <c r="H149" s="1"/>
      <c r="I149" s="1"/>
      <c r="J149" s="1"/>
      <c r="L149" s="85">
        <v>86</v>
      </c>
      <c r="M149" s="107" t="s">
        <v>247</v>
      </c>
      <c r="N149" s="107" t="s">
        <v>170</v>
      </c>
      <c r="O149" s="128">
        <v>5</v>
      </c>
      <c r="P149" s="128">
        <v>5</v>
      </c>
      <c r="Q149" s="128">
        <v>5</v>
      </c>
      <c r="R149" s="128">
        <v>5</v>
      </c>
      <c r="S149" s="128">
        <v>5</v>
      </c>
      <c r="T149" s="85" t="s">
        <v>30</v>
      </c>
      <c r="U149" s="106">
        <v>45441.653703703705</v>
      </c>
      <c r="V149" s="117"/>
    </row>
    <row r="150" spans="3:22" ht="15.6" x14ac:dyDescent="0.3">
      <c r="C150" s="21"/>
      <c r="D150" s="1"/>
      <c r="E150" s="1"/>
      <c r="F150" s="1"/>
      <c r="G150" s="1"/>
      <c r="H150" s="1"/>
      <c r="I150" s="1"/>
      <c r="J150" s="1"/>
      <c r="L150" s="85">
        <v>87</v>
      </c>
      <c r="M150" s="107" t="s">
        <v>248</v>
      </c>
      <c r="N150" s="107" t="s">
        <v>55</v>
      </c>
      <c r="O150" s="128">
        <v>5</v>
      </c>
      <c r="P150" s="128">
        <v>4</v>
      </c>
      <c r="Q150" s="128">
        <v>5</v>
      </c>
      <c r="R150" s="128">
        <v>3</v>
      </c>
      <c r="S150" s="128">
        <v>4</v>
      </c>
      <c r="T150" s="85" t="s">
        <v>30</v>
      </c>
      <c r="U150" s="106">
        <v>45441.656423611108</v>
      </c>
      <c r="V150" s="117"/>
    </row>
    <row r="151" spans="3:22" ht="15.6" x14ac:dyDescent="0.3">
      <c r="C151" s="21"/>
      <c r="D151" s="1"/>
      <c r="E151" s="1"/>
      <c r="F151" s="1"/>
      <c r="G151" s="1"/>
      <c r="H151" s="1"/>
      <c r="I151" s="1"/>
      <c r="J151" s="1"/>
      <c r="L151" s="85">
        <v>88</v>
      </c>
      <c r="M151" s="107" t="s">
        <v>248</v>
      </c>
      <c r="N151" s="107"/>
      <c r="O151" s="128">
        <v>5</v>
      </c>
      <c r="P151" s="128">
        <v>4</v>
      </c>
      <c r="Q151" s="128">
        <v>5</v>
      </c>
      <c r="R151" s="128">
        <v>3</v>
      </c>
      <c r="S151" s="128">
        <v>4</v>
      </c>
      <c r="T151" s="85" t="s">
        <v>30</v>
      </c>
      <c r="U151" s="106">
        <v>45441.657025462962</v>
      </c>
      <c r="V151" s="117"/>
    </row>
    <row r="152" spans="3:22" ht="15.6" x14ac:dyDescent="0.3">
      <c r="C152" s="21"/>
      <c r="D152" s="1"/>
      <c r="E152" s="1"/>
      <c r="F152" s="1"/>
      <c r="G152" s="1"/>
      <c r="H152" s="1"/>
      <c r="I152" s="1"/>
      <c r="J152" s="1"/>
      <c r="L152" s="85">
        <v>89</v>
      </c>
      <c r="M152" s="107" t="s">
        <v>249</v>
      </c>
      <c r="N152" s="107" t="s">
        <v>69</v>
      </c>
      <c r="O152" s="128">
        <v>5</v>
      </c>
      <c r="P152" s="128">
        <v>5</v>
      </c>
      <c r="Q152" s="128">
        <v>5</v>
      </c>
      <c r="R152" s="128">
        <v>5</v>
      </c>
      <c r="S152" s="128">
        <v>5</v>
      </c>
      <c r="T152" s="85" t="s">
        <v>30</v>
      </c>
      <c r="U152" s="106">
        <v>45442.600324074076</v>
      </c>
      <c r="V152" s="117"/>
    </row>
    <row r="153" spans="3:22" ht="15.6" x14ac:dyDescent="0.3">
      <c r="C153" s="21"/>
      <c r="D153" s="1"/>
      <c r="E153" s="1"/>
      <c r="F153" s="1"/>
      <c r="G153" s="1"/>
      <c r="H153" s="1"/>
      <c r="I153" s="1"/>
      <c r="J153" s="1"/>
      <c r="L153" s="85">
        <v>90</v>
      </c>
      <c r="M153" s="107" t="s">
        <v>249</v>
      </c>
      <c r="N153" s="107" t="s">
        <v>69</v>
      </c>
      <c r="O153" s="128">
        <v>5</v>
      </c>
      <c r="P153" s="128">
        <v>5</v>
      </c>
      <c r="Q153" s="128">
        <v>5</v>
      </c>
      <c r="R153" s="128">
        <v>5</v>
      </c>
      <c r="S153" s="128">
        <v>5</v>
      </c>
      <c r="T153" s="85" t="s">
        <v>30</v>
      </c>
      <c r="U153" s="106">
        <v>45442.600543981483</v>
      </c>
      <c r="V153" s="117"/>
    </row>
    <row r="154" spans="3:22" ht="15.6" x14ac:dyDescent="0.3">
      <c r="C154" s="21"/>
      <c r="D154" s="1"/>
      <c r="E154" s="1"/>
      <c r="F154" s="1"/>
      <c r="G154" s="1"/>
      <c r="H154" s="1"/>
      <c r="I154" s="1"/>
      <c r="J154" s="1"/>
      <c r="L154" s="85">
        <v>91</v>
      </c>
      <c r="M154" s="107" t="s">
        <v>166</v>
      </c>
      <c r="N154" s="107" t="s">
        <v>250</v>
      </c>
      <c r="O154" s="128">
        <v>5</v>
      </c>
      <c r="P154" s="128">
        <v>5</v>
      </c>
      <c r="Q154" s="128">
        <v>5</v>
      </c>
      <c r="R154" s="128">
        <v>5</v>
      </c>
      <c r="S154" s="128">
        <v>5</v>
      </c>
      <c r="T154" s="85" t="s">
        <v>30</v>
      </c>
      <c r="U154" s="106">
        <v>45442.616875</v>
      </c>
      <c r="V154" s="117"/>
    </row>
    <row r="155" spans="3:22" ht="15.6" x14ac:dyDescent="0.3">
      <c r="C155" s="21"/>
      <c r="D155" s="1"/>
      <c r="E155" s="1"/>
      <c r="F155" s="1"/>
      <c r="G155" s="1"/>
      <c r="H155" s="1"/>
      <c r="I155" s="1"/>
      <c r="J155" s="1"/>
      <c r="L155" s="85">
        <v>92</v>
      </c>
      <c r="M155" s="107" t="s">
        <v>251</v>
      </c>
      <c r="N155" s="107" t="s">
        <v>170</v>
      </c>
      <c r="O155" s="128">
        <v>5</v>
      </c>
      <c r="P155" s="128">
        <v>5</v>
      </c>
      <c r="Q155" s="128">
        <v>4</v>
      </c>
      <c r="R155" s="128">
        <v>4</v>
      </c>
      <c r="S155" s="128">
        <v>5</v>
      </c>
      <c r="T155" s="85" t="s">
        <v>30</v>
      </c>
      <c r="U155" s="106">
        <v>45442.630486111113</v>
      </c>
      <c r="V155" s="117"/>
    </row>
    <row r="156" spans="3:22" ht="15.6" x14ac:dyDescent="0.3">
      <c r="C156" s="21"/>
      <c r="D156" s="1"/>
      <c r="E156" s="1"/>
      <c r="F156" s="1"/>
      <c r="G156" s="1"/>
      <c r="H156" s="1"/>
      <c r="I156" s="1"/>
      <c r="J156" s="1"/>
      <c r="L156" s="85">
        <v>93</v>
      </c>
      <c r="M156" s="107" t="s">
        <v>212</v>
      </c>
      <c r="N156" s="107" t="s">
        <v>55</v>
      </c>
      <c r="O156" s="128">
        <v>5</v>
      </c>
      <c r="P156" s="128">
        <v>5</v>
      </c>
      <c r="Q156" s="128">
        <v>5</v>
      </c>
      <c r="R156" s="128">
        <v>5</v>
      </c>
      <c r="S156" s="128">
        <v>5</v>
      </c>
      <c r="T156" s="85" t="s">
        <v>30</v>
      </c>
      <c r="U156" s="106">
        <v>45442.643773148149</v>
      </c>
      <c r="V156" s="117"/>
    </row>
    <row r="157" spans="3:22" ht="15.6" x14ac:dyDescent="0.3">
      <c r="C157" s="21"/>
      <c r="D157" s="1"/>
      <c r="E157" s="1"/>
      <c r="F157" s="1"/>
      <c r="G157" s="1"/>
      <c r="H157" s="1"/>
      <c r="I157" s="1"/>
      <c r="J157" s="1"/>
      <c r="L157" s="85">
        <v>94</v>
      </c>
      <c r="M157" s="107" t="s">
        <v>252</v>
      </c>
      <c r="N157" s="107" t="s">
        <v>57</v>
      </c>
      <c r="O157" s="128">
        <v>5</v>
      </c>
      <c r="P157" s="128">
        <v>5</v>
      </c>
      <c r="Q157" s="128">
        <v>5</v>
      </c>
      <c r="R157" s="128">
        <v>5</v>
      </c>
      <c r="S157" s="128">
        <v>5</v>
      </c>
      <c r="T157" s="85" t="s">
        <v>30</v>
      </c>
      <c r="U157" s="106">
        <v>45442.669953703706</v>
      </c>
      <c r="V157" s="117"/>
    </row>
    <row r="158" spans="3:22" ht="15.6" x14ac:dyDescent="0.3">
      <c r="C158" s="21"/>
      <c r="D158" s="1"/>
      <c r="E158" s="1"/>
      <c r="F158" s="1"/>
      <c r="G158" s="1"/>
      <c r="H158" s="1"/>
      <c r="I158" s="1"/>
      <c r="J158" s="1"/>
      <c r="L158" s="85">
        <v>95</v>
      </c>
      <c r="M158" s="107" t="s">
        <v>253</v>
      </c>
      <c r="N158" s="107" t="s">
        <v>55</v>
      </c>
      <c r="O158" s="128">
        <v>5</v>
      </c>
      <c r="P158" s="128">
        <v>5</v>
      </c>
      <c r="Q158" s="128">
        <v>5</v>
      </c>
      <c r="R158" s="128">
        <v>3</v>
      </c>
      <c r="S158" s="128">
        <v>3</v>
      </c>
      <c r="T158" s="85" t="s">
        <v>30</v>
      </c>
      <c r="U158" s="106">
        <v>45443.615023148152</v>
      </c>
      <c r="V158" s="117"/>
    </row>
    <row r="159" spans="3:22" ht="15.6" x14ac:dyDescent="0.3">
      <c r="C159" s="21"/>
      <c r="D159" s="1"/>
      <c r="E159" s="1"/>
      <c r="F159" s="1"/>
      <c r="G159" s="1"/>
      <c r="H159" s="1"/>
      <c r="I159" s="1"/>
      <c r="J159" s="1"/>
      <c r="L159" s="85">
        <v>96</v>
      </c>
      <c r="M159" s="107" t="s">
        <v>254</v>
      </c>
      <c r="N159" s="107" t="s">
        <v>69</v>
      </c>
      <c r="O159" s="128">
        <v>5</v>
      </c>
      <c r="P159" s="128">
        <v>4</v>
      </c>
      <c r="Q159" s="128">
        <v>5</v>
      </c>
      <c r="R159" s="128">
        <v>4</v>
      </c>
      <c r="S159" s="128">
        <v>3</v>
      </c>
      <c r="T159" s="85" t="s">
        <v>30</v>
      </c>
      <c r="U159" s="106">
        <v>45443.63685185185</v>
      </c>
      <c r="V159" s="117"/>
    </row>
    <row r="160" spans="3:22" ht="15.6" x14ac:dyDescent="0.3">
      <c r="C160" s="21"/>
      <c r="D160" s="1"/>
      <c r="E160" s="1"/>
      <c r="F160" s="1"/>
      <c r="G160" s="1"/>
      <c r="H160" s="1"/>
      <c r="I160" s="1"/>
      <c r="J160" s="1"/>
      <c r="L160" s="85">
        <v>97</v>
      </c>
      <c r="M160" s="107" t="s">
        <v>255</v>
      </c>
      <c r="N160" s="107" t="s">
        <v>256</v>
      </c>
      <c r="O160" s="128">
        <v>4</v>
      </c>
      <c r="P160" s="128">
        <v>4</v>
      </c>
      <c r="Q160" s="128">
        <v>4</v>
      </c>
      <c r="R160" s="128">
        <v>3</v>
      </c>
      <c r="S160" s="128">
        <v>4</v>
      </c>
      <c r="T160" s="85" t="s">
        <v>30</v>
      </c>
      <c r="U160" s="106">
        <v>45443.657118055555</v>
      </c>
      <c r="V160" s="117" t="s">
        <v>273</v>
      </c>
    </row>
    <row r="161" spans="3:22" x14ac:dyDescent="0.3">
      <c r="C161" s="21"/>
      <c r="D161" s="1"/>
      <c r="E161" s="1"/>
      <c r="F161" s="1"/>
      <c r="G161" s="1"/>
      <c r="H161" s="1"/>
      <c r="I161" s="1"/>
      <c r="J161" s="1"/>
      <c r="L161" s="85"/>
      <c r="M161" s="85"/>
      <c r="N161" s="85"/>
      <c r="O161" s="85"/>
      <c r="P161" s="85"/>
      <c r="Q161" s="85"/>
      <c r="R161" s="85"/>
      <c r="S161" s="85"/>
      <c r="T161" s="85"/>
      <c r="U161" s="1"/>
      <c r="V161" s="1"/>
    </row>
    <row r="162" spans="3:22" x14ac:dyDescent="0.3">
      <c r="C162" s="21"/>
      <c r="D162" s="1"/>
      <c r="E162" s="1"/>
      <c r="F162" s="1"/>
      <c r="G162" s="1"/>
      <c r="H162" s="1"/>
      <c r="I162" s="1"/>
      <c r="J162" s="1"/>
      <c r="L162" s="85"/>
      <c r="M162" s="85"/>
      <c r="N162" s="85"/>
      <c r="O162" s="85"/>
      <c r="P162" s="85"/>
      <c r="Q162" s="85"/>
      <c r="R162" s="85"/>
      <c r="S162" s="85"/>
      <c r="T162" s="85"/>
      <c r="U162" s="1"/>
      <c r="V162" s="1"/>
    </row>
    <row r="163" spans="3:22" x14ac:dyDescent="0.3">
      <c r="C163" s="21"/>
      <c r="D163" s="1"/>
      <c r="E163" s="1"/>
      <c r="F163" s="1"/>
      <c r="G163" s="1"/>
      <c r="H163" s="1"/>
      <c r="I163" s="1"/>
      <c r="J163" s="1"/>
      <c r="L163" s="85"/>
      <c r="M163" s="85"/>
      <c r="N163" s="85"/>
      <c r="O163" s="85"/>
      <c r="P163" s="85"/>
      <c r="Q163" s="85"/>
      <c r="R163" s="85"/>
      <c r="S163" s="85"/>
      <c r="T163" s="85"/>
      <c r="U163" s="1"/>
      <c r="V163" s="1"/>
    </row>
    <row r="164" spans="3:22" x14ac:dyDescent="0.3">
      <c r="C164" s="21"/>
      <c r="D164" s="1"/>
      <c r="E164" s="1"/>
      <c r="F164" s="1"/>
      <c r="G164" s="1"/>
      <c r="H164" s="1"/>
      <c r="I164" s="1"/>
      <c r="J164" s="1"/>
      <c r="L164" s="85"/>
      <c r="M164" s="85"/>
      <c r="N164" s="85"/>
      <c r="O164" s="85"/>
      <c r="P164" s="85"/>
      <c r="Q164" s="85"/>
      <c r="R164" s="85"/>
      <c r="S164" s="85"/>
      <c r="T164" s="85"/>
      <c r="U164" s="1"/>
      <c r="V164" s="1"/>
    </row>
    <row r="165" spans="3:22" x14ac:dyDescent="0.3">
      <c r="C165" s="21"/>
      <c r="D165" s="1"/>
      <c r="E165" s="1"/>
      <c r="F165" s="1"/>
      <c r="G165" s="1"/>
      <c r="H165" s="1"/>
      <c r="I165" s="1"/>
      <c r="J165" s="1"/>
      <c r="L165" s="85"/>
      <c r="M165" s="85"/>
      <c r="N165" s="85"/>
      <c r="O165" s="85"/>
      <c r="P165" s="85"/>
      <c r="Q165" s="85"/>
      <c r="R165" s="85"/>
      <c r="S165" s="85"/>
      <c r="T165" s="85"/>
      <c r="U165" s="1"/>
      <c r="V165" s="1"/>
    </row>
    <row r="166" spans="3:22" x14ac:dyDescent="0.3">
      <c r="C166" s="21"/>
      <c r="D166" s="1"/>
      <c r="E166" s="1"/>
      <c r="F166" s="1"/>
      <c r="G166" s="1"/>
      <c r="H166" s="1"/>
      <c r="I166" s="1"/>
      <c r="J166" s="1"/>
      <c r="L166" s="85"/>
      <c r="M166" s="85"/>
      <c r="N166" s="85"/>
      <c r="O166" s="85"/>
      <c r="P166" s="85"/>
      <c r="Q166" s="85"/>
      <c r="R166" s="85"/>
      <c r="S166" s="85"/>
      <c r="T166" s="85"/>
      <c r="U166" s="1"/>
      <c r="V166" s="1"/>
    </row>
    <row r="167" spans="3:22" x14ac:dyDescent="0.3">
      <c r="C167" s="21"/>
      <c r="D167" s="1"/>
      <c r="E167" s="1"/>
      <c r="F167" s="1"/>
      <c r="G167" s="1"/>
      <c r="H167" s="1"/>
      <c r="I167" s="1"/>
      <c r="J167" s="1"/>
      <c r="L167" s="85"/>
      <c r="M167" s="85"/>
      <c r="N167" s="85"/>
      <c r="O167" s="85"/>
      <c r="P167" s="85"/>
      <c r="Q167" s="85"/>
      <c r="R167" s="85"/>
      <c r="S167" s="85"/>
      <c r="T167" s="85"/>
      <c r="U167" s="1"/>
      <c r="V167" s="1"/>
    </row>
    <row r="168" spans="3:22" x14ac:dyDescent="0.3">
      <c r="C168" s="21"/>
      <c r="D168" s="1"/>
      <c r="E168" s="1"/>
      <c r="F168" s="1"/>
      <c r="G168" s="1"/>
      <c r="H168" s="1"/>
      <c r="I168" s="1"/>
      <c r="J168" s="1"/>
      <c r="L168" s="85"/>
      <c r="M168" s="85"/>
      <c r="N168" s="85"/>
      <c r="O168" s="85"/>
      <c r="P168" s="85"/>
      <c r="Q168" s="85"/>
      <c r="R168" s="85"/>
      <c r="S168" s="85"/>
      <c r="T168" s="85"/>
      <c r="U168" s="1"/>
      <c r="V168" s="1"/>
    </row>
    <row r="169" spans="3:22" x14ac:dyDescent="0.3">
      <c r="C169" s="21"/>
      <c r="D169" s="1"/>
      <c r="E169" s="1"/>
      <c r="F169" s="1"/>
      <c r="G169" s="1"/>
      <c r="H169" s="1"/>
      <c r="I169" s="1"/>
      <c r="J169" s="1"/>
      <c r="L169" s="85"/>
      <c r="M169" s="85"/>
      <c r="N169" s="85"/>
      <c r="O169" s="85"/>
      <c r="P169" s="85"/>
      <c r="Q169" s="85"/>
      <c r="R169" s="85"/>
      <c r="S169" s="85"/>
      <c r="T169" s="85"/>
      <c r="U169" s="1"/>
      <c r="V169" s="1"/>
    </row>
    <row r="170" spans="3:22" x14ac:dyDescent="0.3">
      <c r="C170" s="21"/>
      <c r="D170" s="1"/>
      <c r="E170" s="1"/>
      <c r="F170" s="1"/>
      <c r="G170" s="1"/>
      <c r="H170" s="1"/>
      <c r="I170" s="1"/>
      <c r="J170" s="1"/>
      <c r="L170" s="85"/>
      <c r="M170" s="85"/>
      <c r="N170" s="85"/>
      <c r="O170" s="85"/>
      <c r="P170" s="85"/>
      <c r="Q170" s="85"/>
      <c r="R170" s="85"/>
      <c r="S170" s="85"/>
      <c r="T170" s="85"/>
      <c r="U170" s="1"/>
      <c r="V170" s="1"/>
    </row>
    <row r="171" spans="3:22" x14ac:dyDescent="0.3">
      <c r="C171" s="21"/>
      <c r="D171" s="1"/>
      <c r="E171" s="1"/>
      <c r="F171" s="1"/>
      <c r="G171" s="1"/>
      <c r="H171" s="1"/>
      <c r="I171" s="1"/>
      <c r="J171" s="1"/>
      <c r="L171" s="85"/>
      <c r="M171" s="85"/>
      <c r="N171" s="85"/>
      <c r="O171" s="85"/>
      <c r="P171" s="85"/>
      <c r="Q171" s="85"/>
      <c r="R171" s="85"/>
      <c r="S171" s="85"/>
      <c r="T171" s="85"/>
      <c r="U171" s="1"/>
      <c r="V171" s="1"/>
    </row>
    <row r="172" spans="3:22" x14ac:dyDescent="0.3">
      <c r="C172" s="21"/>
      <c r="D172" s="1"/>
      <c r="E172" s="1"/>
      <c r="F172" s="1"/>
      <c r="G172" s="1"/>
      <c r="H172" s="1"/>
      <c r="I172" s="1"/>
      <c r="J172" s="1"/>
      <c r="L172" s="85"/>
      <c r="M172" s="85"/>
      <c r="N172" s="85"/>
      <c r="O172" s="85"/>
      <c r="P172" s="85"/>
      <c r="Q172" s="85"/>
      <c r="R172" s="85"/>
      <c r="S172" s="85"/>
      <c r="T172" s="85"/>
      <c r="U172" s="1"/>
      <c r="V172" s="1"/>
    </row>
    <row r="173" spans="3:22" x14ac:dyDescent="0.3">
      <c r="C173" s="21"/>
      <c r="D173" s="1"/>
      <c r="E173" s="1"/>
      <c r="F173" s="1"/>
      <c r="G173" s="1"/>
      <c r="H173" s="1"/>
      <c r="I173" s="1"/>
      <c r="J173" s="1"/>
      <c r="L173" s="85"/>
      <c r="M173" s="85"/>
      <c r="N173" s="85"/>
      <c r="O173" s="85"/>
      <c r="P173" s="85"/>
      <c r="Q173" s="85"/>
      <c r="R173" s="85"/>
      <c r="S173" s="85"/>
      <c r="T173" s="85"/>
      <c r="U173" s="1"/>
      <c r="V173" s="1"/>
    </row>
    <row r="174" spans="3:22" x14ac:dyDescent="0.3">
      <c r="C174" s="21"/>
      <c r="D174" s="1"/>
      <c r="E174" s="1"/>
      <c r="F174" s="1"/>
      <c r="G174" s="1"/>
      <c r="H174" s="1"/>
      <c r="I174" s="1"/>
      <c r="J174" s="1"/>
      <c r="L174" s="85"/>
      <c r="M174" s="85"/>
      <c r="N174" s="85"/>
      <c r="O174" s="85"/>
      <c r="P174" s="85"/>
      <c r="Q174" s="85"/>
      <c r="R174" s="85"/>
      <c r="S174" s="85"/>
      <c r="T174" s="85"/>
      <c r="U174" s="1"/>
      <c r="V174" s="1"/>
    </row>
    <row r="175" spans="3:22" x14ac:dyDescent="0.3">
      <c r="C175" s="21"/>
      <c r="D175" s="1"/>
      <c r="E175" s="1"/>
      <c r="F175" s="1"/>
      <c r="G175" s="1"/>
      <c r="H175" s="1"/>
      <c r="I175" s="1"/>
      <c r="J175" s="1"/>
      <c r="L175" s="85"/>
      <c r="M175" s="85"/>
      <c r="N175" s="85"/>
      <c r="O175" s="85"/>
      <c r="P175" s="85"/>
      <c r="Q175" s="85"/>
      <c r="R175" s="85"/>
      <c r="S175" s="85"/>
      <c r="T175" s="85"/>
      <c r="U175" s="1"/>
      <c r="V175" s="1"/>
    </row>
    <row r="176" spans="3:22" x14ac:dyDescent="0.3">
      <c r="C176" s="21"/>
      <c r="D176" s="1"/>
      <c r="E176" s="1"/>
      <c r="F176" s="1"/>
      <c r="G176" s="1"/>
      <c r="H176" s="1"/>
      <c r="I176" s="1"/>
      <c r="J176" s="1"/>
      <c r="L176" s="85"/>
      <c r="M176" s="85"/>
      <c r="N176" s="85"/>
      <c r="O176" s="85"/>
      <c r="P176" s="85"/>
      <c r="Q176" s="85"/>
      <c r="R176" s="85"/>
      <c r="S176" s="85"/>
      <c r="T176" s="85"/>
      <c r="U176" s="1"/>
      <c r="V176" s="1"/>
    </row>
    <row r="177" spans="3:22" x14ac:dyDescent="0.3">
      <c r="C177" s="21"/>
      <c r="D177" s="1"/>
      <c r="E177" s="1"/>
      <c r="F177" s="1"/>
      <c r="G177" s="1"/>
      <c r="H177" s="1"/>
      <c r="I177" s="1"/>
      <c r="J177" s="1"/>
      <c r="L177" s="85"/>
      <c r="M177" s="85"/>
      <c r="N177" s="85"/>
      <c r="O177" s="85"/>
      <c r="P177" s="85"/>
      <c r="Q177" s="85"/>
      <c r="R177" s="85"/>
      <c r="S177" s="85"/>
      <c r="T177" s="85"/>
      <c r="U177" s="1"/>
      <c r="V177" s="1"/>
    </row>
    <row r="178" spans="3:22" x14ac:dyDescent="0.3">
      <c r="C178" s="21"/>
      <c r="D178" s="1"/>
      <c r="E178" s="1"/>
      <c r="F178" s="1"/>
      <c r="G178" s="1"/>
      <c r="H178" s="1"/>
      <c r="I178" s="1"/>
      <c r="J178" s="1"/>
      <c r="L178" s="85"/>
      <c r="M178" s="85"/>
      <c r="N178" s="85"/>
      <c r="O178" s="85"/>
      <c r="P178" s="85"/>
      <c r="Q178" s="85"/>
      <c r="R178" s="85"/>
      <c r="S178" s="85"/>
      <c r="T178" s="85"/>
      <c r="U178" s="1"/>
      <c r="V178" s="1"/>
    </row>
    <row r="179" spans="3:22" x14ac:dyDescent="0.3">
      <c r="C179" s="21"/>
      <c r="D179" s="1"/>
      <c r="E179" s="1"/>
      <c r="F179" s="1"/>
      <c r="G179" s="1"/>
      <c r="H179" s="1"/>
      <c r="I179" s="1"/>
      <c r="J179" s="1"/>
      <c r="L179" s="85"/>
      <c r="M179" s="85"/>
      <c r="N179" s="85"/>
      <c r="O179" s="85"/>
      <c r="P179" s="85"/>
      <c r="Q179" s="85"/>
      <c r="R179" s="85"/>
      <c r="S179" s="85"/>
      <c r="T179" s="85"/>
      <c r="U179" s="1"/>
      <c r="V179" s="1"/>
    </row>
    <row r="180" spans="3:22" x14ac:dyDescent="0.3">
      <c r="C180" s="21"/>
      <c r="D180" s="1"/>
      <c r="E180" s="1"/>
      <c r="F180" s="1"/>
      <c r="G180" s="1"/>
      <c r="H180" s="1"/>
      <c r="I180" s="1"/>
      <c r="J180" s="1"/>
      <c r="L180" s="85"/>
      <c r="M180" s="85"/>
      <c r="N180" s="85"/>
      <c r="O180" s="85"/>
      <c r="P180" s="85"/>
      <c r="Q180" s="85"/>
      <c r="R180" s="85"/>
      <c r="S180" s="85"/>
      <c r="T180" s="85"/>
      <c r="U180" s="1"/>
      <c r="V180" s="1"/>
    </row>
    <row r="181" spans="3:22" x14ac:dyDescent="0.3">
      <c r="C181" s="21"/>
      <c r="D181" s="1"/>
      <c r="E181" s="1"/>
      <c r="F181" s="1"/>
      <c r="G181" s="1"/>
      <c r="H181" s="1"/>
      <c r="I181" s="1"/>
      <c r="J181" s="1"/>
      <c r="L181" s="85"/>
      <c r="M181" s="85"/>
      <c r="N181" s="85"/>
      <c r="O181" s="85"/>
      <c r="P181" s="85"/>
      <c r="Q181" s="85"/>
      <c r="R181" s="85"/>
      <c r="S181" s="85"/>
      <c r="T181" s="85"/>
      <c r="U181" s="1"/>
      <c r="V181" s="1"/>
    </row>
    <row r="182" spans="3:22" x14ac:dyDescent="0.3">
      <c r="C182" s="21"/>
      <c r="D182" s="1"/>
      <c r="E182" s="1"/>
      <c r="F182" s="1"/>
      <c r="G182" s="1"/>
      <c r="H182" s="1"/>
      <c r="I182" s="1"/>
      <c r="J182" s="1"/>
      <c r="L182" s="85"/>
      <c r="M182" s="85"/>
      <c r="N182" s="85"/>
      <c r="O182" s="85"/>
      <c r="P182" s="85"/>
      <c r="Q182" s="85"/>
      <c r="R182" s="85"/>
      <c r="S182" s="85"/>
      <c r="T182" s="85"/>
      <c r="U182" s="1"/>
      <c r="V182" s="1"/>
    </row>
    <row r="183" spans="3:22" x14ac:dyDescent="0.3">
      <c r="C183" s="21"/>
      <c r="D183" s="1"/>
      <c r="E183" s="1"/>
      <c r="F183" s="1"/>
      <c r="G183" s="1"/>
      <c r="H183" s="1"/>
      <c r="I183" s="1"/>
      <c r="J183" s="1"/>
      <c r="L183" s="85"/>
      <c r="M183" s="85"/>
      <c r="N183" s="85"/>
      <c r="O183" s="85"/>
      <c r="P183" s="85"/>
      <c r="Q183" s="85"/>
      <c r="R183" s="85"/>
      <c r="S183" s="85"/>
      <c r="T183" s="85"/>
      <c r="U183" s="1"/>
      <c r="V183" s="1"/>
    </row>
    <row r="184" spans="3:22" x14ac:dyDescent="0.3">
      <c r="C184" s="21"/>
      <c r="D184" s="1"/>
      <c r="E184" s="1"/>
      <c r="F184" s="1"/>
      <c r="G184" s="1"/>
      <c r="H184" s="1"/>
      <c r="I184" s="1"/>
      <c r="J184" s="1"/>
      <c r="L184" s="85"/>
      <c r="M184" s="85"/>
      <c r="N184" s="85"/>
      <c r="O184" s="85"/>
      <c r="P184" s="85"/>
      <c r="Q184" s="85"/>
      <c r="R184" s="85"/>
      <c r="S184" s="85"/>
      <c r="T184" s="85"/>
      <c r="U184" s="1"/>
      <c r="V184" s="1"/>
    </row>
    <row r="185" spans="3:22" x14ac:dyDescent="0.3">
      <c r="C185" s="21"/>
      <c r="D185" s="1"/>
      <c r="E185" s="1"/>
      <c r="F185" s="1"/>
      <c r="G185" s="1"/>
      <c r="H185" s="1"/>
      <c r="I185" s="1"/>
      <c r="J185" s="1"/>
      <c r="L185" s="85"/>
      <c r="M185" s="85"/>
      <c r="N185" s="85"/>
      <c r="O185" s="85"/>
      <c r="P185" s="85"/>
      <c r="Q185" s="85"/>
      <c r="R185" s="85"/>
      <c r="S185" s="85"/>
      <c r="T185" s="85"/>
      <c r="U185" s="1"/>
      <c r="V185" s="1"/>
    </row>
    <row r="186" spans="3:22" x14ac:dyDescent="0.3">
      <c r="C186" s="21"/>
      <c r="D186" s="1"/>
      <c r="E186" s="1"/>
      <c r="F186" s="1"/>
      <c r="G186" s="1"/>
      <c r="H186" s="1"/>
      <c r="I186" s="1"/>
      <c r="J186" s="1"/>
      <c r="L186" s="85"/>
      <c r="M186" s="85"/>
      <c r="N186" s="85"/>
      <c r="O186" s="85"/>
      <c r="P186" s="85"/>
      <c r="Q186" s="85"/>
      <c r="R186" s="85"/>
      <c r="S186" s="85"/>
      <c r="T186" s="85"/>
      <c r="U186" s="1"/>
      <c r="V186" s="1"/>
    </row>
    <row r="187" spans="3:22" x14ac:dyDescent="0.3">
      <c r="C187" s="21"/>
      <c r="D187" s="1"/>
      <c r="E187" s="1"/>
      <c r="F187" s="1"/>
      <c r="G187" s="1"/>
      <c r="H187" s="1"/>
      <c r="I187" s="1"/>
      <c r="J187" s="1"/>
      <c r="L187" s="85"/>
      <c r="M187" s="85"/>
      <c r="N187" s="85"/>
      <c r="O187" s="85"/>
      <c r="P187" s="85"/>
      <c r="Q187" s="85"/>
      <c r="R187" s="85"/>
      <c r="S187" s="85"/>
      <c r="T187" s="85"/>
      <c r="U187" s="1"/>
      <c r="V187" s="1"/>
    </row>
    <row r="188" spans="3:22" x14ac:dyDescent="0.3">
      <c r="C188" s="21"/>
      <c r="D188" s="1"/>
      <c r="E188" s="1"/>
      <c r="F188" s="1"/>
      <c r="G188" s="1"/>
      <c r="H188" s="1"/>
      <c r="I188" s="1"/>
      <c r="J188" s="1"/>
      <c r="L188" s="85"/>
      <c r="M188" s="85"/>
      <c r="N188" s="85"/>
      <c r="O188" s="85"/>
      <c r="P188" s="85"/>
      <c r="Q188" s="85"/>
      <c r="R188" s="85"/>
      <c r="S188" s="85"/>
      <c r="T188" s="85"/>
      <c r="U188" s="1"/>
      <c r="V188" s="1"/>
    </row>
    <row r="189" spans="3:22" x14ac:dyDescent="0.3">
      <c r="C189" s="21"/>
      <c r="D189" s="1"/>
      <c r="E189" s="1"/>
      <c r="F189" s="1"/>
      <c r="G189" s="1"/>
      <c r="H189" s="1"/>
      <c r="I189" s="1"/>
      <c r="J189" s="1"/>
      <c r="L189" s="85"/>
      <c r="M189" s="85"/>
      <c r="N189" s="85"/>
      <c r="O189" s="85"/>
      <c r="P189" s="85"/>
      <c r="Q189" s="85"/>
      <c r="R189" s="85"/>
      <c r="S189" s="85"/>
      <c r="T189" s="85"/>
      <c r="U189" s="1"/>
      <c r="V189" s="1"/>
    </row>
    <row r="190" spans="3:22" x14ac:dyDescent="0.3">
      <c r="C190" s="21"/>
      <c r="D190" s="1"/>
      <c r="E190" s="1"/>
      <c r="F190" s="1"/>
      <c r="G190" s="1"/>
      <c r="H190" s="1"/>
      <c r="I190" s="1"/>
      <c r="J190" s="1"/>
      <c r="L190" s="85"/>
      <c r="M190" s="85"/>
      <c r="N190" s="85"/>
      <c r="O190" s="85"/>
      <c r="P190" s="85"/>
      <c r="Q190" s="85"/>
      <c r="R190" s="85"/>
      <c r="S190" s="85"/>
      <c r="T190" s="85"/>
      <c r="U190" s="1"/>
      <c r="V190" s="1"/>
    </row>
    <row r="191" spans="3:22" x14ac:dyDescent="0.3">
      <c r="C191" s="21"/>
      <c r="D191" s="1"/>
      <c r="E191" s="1"/>
      <c r="F191" s="1"/>
      <c r="G191" s="1"/>
      <c r="H191" s="1"/>
      <c r="I191" s="1"/>
      <c r="J191" s="1"/>
      <c r="L191" s="85"/>
      <c r="M191" s="85"/>
      <c r="N191" s="85"/>
      <c r="O191" s="85"/>
      <c r="P191" s="85"/>
      <c r="Q191" s="85"/>
      <c r="R191" s="85"/>
      <c r="S191" s="85"/>
      <c r="T191" s="85"/>
      <c r="U191" s="1"/>
      <c r="V191" s="1"/>
    </row>
    <row r="192" spans="3:22" x14ac:dyDescent="0.3">
      <c r="C192" s="21"/>
      <c r="D192" s="1"/>
      <c r="E192" s="1"/>
      <c r="F192" s="1"/>
      <c r="G192" s="1"/>
      <c r="H192" s="1"/>
      <c r="I192" s="1"/>
      <c r="J192" s="1"/>
      <c r="L192" s="85"/>
      <c r="M192" s="85"/>
      <c r="N192" s="85"/>
      <c r="O192" s="85"/>
      <c r="P192" s="85"/>
      <c r="Q192" s="85"/>
      <c r="R192" s="85"/>
      <c r="S192" s="85"/>
      <c r="T192" s="85"/>
      <c r="U192" s="1"/>
      <c r="V192" s="1"/>
    </row>
    <row r="193" spans="3:22" x14ac:dyDescent="0.3">
      <c r="C193" s="21"/>
      <c r="D193" s="1"/>
      <c r="E193" s="1"/>
      <c r="F193" s="1"/>
      <c r="G193" s="1"/>
      <c r="H193" s="1"/>
      <c r="I193" s="1"/>
      <c r="J193" s="1"/>
      <c r="L193" s="85"/>
      <c r="M193" s="85"/>
      <c r="N193" s="85"/>
      <c r="O193" s="85"/>
      <c r="P193" s="85"/>
      <c r="Q193" s="85"/>
      <c r="R193" s="85"/>
      <c r="S193" s="85"/>
      <c r="T193" s="85"/>
      <c r="U193" s="1"/>
      <c r="V193" s="1"/>
    </row>
    <row r="194" spans="3:22" x14ac:dyDescent="0.3">
      <c r="C194" s="21"/>
      <c r="D194" s="1"/>
      <c r="E194" s="1"/>
      <c r="F194" s="1"/>
      <c r="G194" s="1"/>
      <c r="H194" s="1"/>
      <c r="I194" s="1"/>
      <c r="J194" s="1"/>
      <c r="L194" s="85"/>
      <c r="M194" s="85"/>
      <c r="N194" s="85"/>
      <c r="O194" s="85"/>
      <c r="P194" s="85"/>
      <c r="Q194" s="85"/>
      <c r="R194" s="85"/>
      <c r="S194" s="85"/>
      <c r="T194" s="85"/>
      <c r="U194" s="1"/>
      <c r="V194" s="1"/>
    </row>
    <row r="195" spans="3:22" x14ac:dyDescent="0.3">
      <c r="C195" s="21"/>
      <c r="D195" s="1"/>
      <c r="E195" s="1"/>
      <c r="F195" s="1"/>
      <c r="G195" s="1"/>
      <c r="H195" s="1"/>
      <c r="I195" s="1"/>
      <c r="J195" s="1"/>
      <c r="L195" s="85"/>
      <c r="M195" s="85"/>
      <c r="N195" s="85"/>
      <c r="O195" s="85"/>
      <c r="P195" s="85"/>
      <c r="Q195" s="85"/>
      <c r="R195" s="85"/>
      <c r="S195" s="85"/>
      <c r="T195" s="85"/>
      <c r="U195" s="1"/>
      <c r="V195" s="1"/>
    </row>
    <row r="196" spans="3:22" x14ac:dyDescent="0.3">
      <c r="C196" s="21"/>
      <c r="D196" s="1"/>
      <c r="E196" s="1"/>
      <c r="F196" s="1"/>
      <c r="G196" s="1"/>
      <c r="H196" s="1"/>
      <c r="I196" s="1"/>
      <c r="J196" s="1"/>
      <c r="L196" s="85"/>
      <c r="M196" s="85"/>
      <c r="N196" s="85"/>
      <c r="O196" s="85"/>
      <c r="P196" s="85"/>
      <c r="Q196" s="85"/>
      <c r="R196" s="85"/>
      <c r="S196" s="85"/>
      <c r="T196" s="85"/>
      <c r="U196" s="1"/>
      <c r="V196" s="1"/>
    </row>
    <row r="197" spans="3:22" x14ac:dyDescent="0.3">
      <c r="C197" s="21"/>
      <c r="D197" s="1"/>
      <c r="E197" s="1"/>
      <c r="F197" s="1"/>
      <c r="G197" s="1"/>
      <c r="H197" s="1"/>
      <c r="I197" s="1"/>
      <c r="J197" s="1"/>
      <c r="L197" s="85"/>
      <c r="M197" s="85"/>
      <c r="N197" s="85"/>
      <c r="O197" s="85"/>
      <c r="P197" s="85"/>
      <c r="Q197" s="85"/>
      <c r="R197" s="85"/>
      <c r="S197" s="85"/>
      <c r="T197" s="85"/>
      <c r="U197" s="1"/>
      <c r="V197" s="1"/>
    </row>
    <row r="198" spans="3:22" x14ac:dyDescent="0.3">
      <c r="C198" s="21"/>
      <c r="D198" s="1"/>
      <c r="E198" s="1"/>
      <c r="F198" s="1"/>
      <c r="G198" s="1"/>
      <c r="H198" s="1"/>
      <c r="I198" s="1"/>
      <c r="J198" s="1"/>
      <c r="L198" s="85"/>
      <c r="M198" s="85"/>
      <c r="N198" s="85"/>
      <c r="O198" s="85"/>
      <c r="P198" s="85"/>
      <c r="Q198" s="85"/>
      <c r="R198" s="85"/>
      <c r="S198" s="85"/>
      <c r="T198" s="85"/>
      <c r="U198" s="1"/>
      <c r="V198" s="1"/>
    </row>
    <row r="199" spans="3:22" x14ac:dyDescent="0.3">
      <c r="C199" s="21"/>
      <c r="D199" s="1"/>
      <c r="E199" s="1"/>
      <c r="F199" s="1"/>
      <c r="G199" s="1"/>
      <c r="H199" s="1"/>
      <c r="I199" s="1"/>
      <c r="J199" s="1"/>
      <c r="L199" s="85"/>
      <c r="M199" s="85"/>
      <c r="N199" s="85"/>
      <c r="O199" s="85"/>
      <c r="P199" s="85"/>
      <c r="Q199" s="85"/>
      <c r="R199" s="85"/>
      <c r="S199" s="85"/>
      <c r="T199" s="85"/>
      <c r="U199" s="1"/>
      <c r="V199" s="1"/>
    </row>
    <row r="200" spans="3:22" x14ac:dyDescent="0.3">
      <c r="C200" s="21"/>
      <c r="D200" s="1"/>
      <c r="E200" s="1"/>
      <c r="F200" s="1"/>
      <c r="G200" s="1"/>
      <c r="H200" s="1"/>
      <c r="I200" s="1"/>
      <c r="J200" s="1"/>
      <c r="L200" s="85"/>
      <c r="M200" s="85"/>
      <c r="N200" s="85"/>
      <c r="O200" s="85"/>
      <c r="P200" s="85"/>
      <c r="Q200" s="85"/>
      <c r="R200" s="85"/>
      <c r="S200" s="85"/>
      <c r="T200" s="85"/>
      <c r="U200" s="1"/>
      <c r="V200" s="1"/>
    </row>
    <row r="201" spans="3:22" x14ac:dyDescent="0.3">
      <c r="C201" s="21"/>
      <c r="D201" s="1"/>
      <c r="E201" s="1"/>
      <c r="F201" s="1"/>
      <c r="G201" s="1"/>
      <c r="H201" s="1"/>
      <c r="I201" s="1"/>
      <c r="J201" s="1"/>
      <c r="L201" s="85"/>
      <c r="M201" s="85"/>
      <c r="N201" s="85"/>
      <c r="O201" s="85"/>
      <c r="P201" s="85"/>
      <c r="Q201" s="85"/>
      <c r="R201" s="85"/>
      <c r="S201" s="85"/>
      <c r="T201" s="85"/>
      <c r="U201" s="1"/>
      <c r="V201" s="1"/>
    </row>
    <row r="202" spans="3:22" x14ac:dyDescent="0.3">
      <c r="C202" s="21"/>
      <c r="D202" s="1"/>
      <c r="E202" s="1"/>
      <c r="F202" s="1"/>
      <c r="G202" s="1"/>
      <c r="H202" s="1"/>
      <c r="I202" s="1"/>
      <c r="J202" s="1"/>
      <c r="L202" s="85"/>
      <c r="M202" s="85"/>
      <c r="N202" s="85"/>
      <c r="O202" s="85"/>
      <c r="P202" s="85"/>
      <c r="Q202" s="85"/>
      <c r="R202" s="85"/>
      <c r="S202" s="85"/>
      <c r="T202" s="85"/>
      <c r="U202" s="1"/>
      <c r="V202" s="1"/>
    </row>
    <row r="203" spans="3:22" x14ac:dyDescent="0.3">
      <c r="C203" s="21"/>
      <c r="D203" s="1"/>
      <c r="E203" s="1"/>
      <c r="F203" s="1"/>
      <c r="G203" s="1"/>
      <c r="H203" s="1"/>
      <c r="I203" s="1"/>
      <c r="J203" s="1"/>
      <c r="L203" s="85"/>
      <c r="M203" s="85"/>
      <c r="N203" s="85"/>
      <c r="O203" s="85"/>
      <c r="P203" s="85"/>
      <c r="Q203" s="85"/>
      <c r="R203" s="85"/>
      <c r="S203" s="85"/>
      <c r="T203" s="85"/>
      <c r="U203" s="1"/>
      <c r="V203" s="1"/>
    </row>
    <row r="204" spans="3:22" x14ac:dyDescent="0.3">
      <c r="C204" s="21"/>
      <c r="D204" s="1"/>
      <c r="E204" s="1"/>
      <c r="F204" s="1"/>
      <c r="G204" s="1"/>
      <c r="H204" s="1"/>
      <c r="I204" s="1"/>
      <c r="J204" s="1"/>
      <c r="L204" s="85"/>
      <c r="M204" s="85"/>
      <c r="N204" s="85"/>
      <c r="O204" s="85"/>
      <c r="P204" s="85"/>
      <c r="Q204" s="85"/>
      <c r="R204" s="85"/>
      <c r="S204" s="85"/>
      <c r="T204" s="85"/>
      <c r="U204" s="1"/>
      <c r="V204" s="1"/>
    </row>
    <row r="205" spans="3:22" x14ac:dyDescent="0.3">
      <c r="C205" s="21"/>
      <c r="D205" s="1"/>
      <c r="E205" s="1"/>
      <c r="F205" s="1"/>
      <c r="G205" s="1"/>
      <c r="H205" s="1"/>
      <c r="I205" s="1"/>
      <c r="J205" s="1"/>
      <c r="L205" s="85"/>
      <c r="M205" s="85"/>
      <c r="N205" s="85"/>
      <c r="O205" s="85"/>
      <c r="P205" s="85"/>
      <c r="Q205" s="85"/>
      <c r="R205" s="85"/>
      <c r="S205" s="85"/>
      <c r="T205" s="85"/>
      <c r="U205" s="1"/>
      <c r="V205" s="1"/>
    </row>
    <row r="206" spans="3:22" x14ac:dyDescent="0.3">
      <c r="C206" s="21"/>
      <c r="D206" s="1"/>
      <c r="E206" s="1"/>
      <c r="F206" s="1"/>
      <c r="G206" s="1"/>
      <c r="H206" s="1"/>
      <c r="I206" s="1"/>
      <c r="J206" s="1"/>
      <c r="L206" s="85"/>
      <c r="M206" s="85"/>
      <c r="N206" s="85"/>
      <c r="O206" s="85"/>
      <c r="P206" s="85"/>
      <c r="Q206" s="85"/>
      <c r="R206" s="85"/>
      <c r="S206" s="85"/>
      <c r="T206" s="85"/>
      <c r="U206" s="1"/>
      <c r="V206" s="1"/>
    </row>
    <row r="207" spans="3:22" x14ac:dyDescent="0.3">
      <c r="C207" s="21"/>
      <c r="D207" s="1"/>
      <c r="E207" s="1"/>
      <c r="F207" s="1"/>
      <c r="G207" s="1"/>
      <c r="H207" s="1"/>
      <c r="I207" s="1"/>
      <c r="J207" s="1"/>
      <c r="L207" s="85"/>
      <c r="M207" s="85"/>
      <c r="N207" s="85"/>
      <c r="O207" s="85"/>
      <c r="P207" s="85"/>
      <c r="Q207" s="85"/>
      <c r="R207" s="85"/>
      <c r="S207" s="85"/>
      <c r="T207" s="85"/>
      <c r="U207" s="1"/>
      <c r="V207" s="1"/>
    </row>
    <row r="208" spans="3:22" x14ac:dyDescent="0.3">
      <c r="C208" s="21"/>
      <c r="D208" s="1"/>
      <c r="E208" s="1"/>
      <c r="F208" s="1"/>
      <c r="G208" s="1"/>
      <c r="H208" s="1"/>
      <c r="I208" s="1"/>
      <c r="J208" s="1"/>
      <c r="L208" s="85"/>
      <c r="M208" s="85"/>
      <c r="N208" s="85"/>
      <c r="O208" s="85"/>
      <c r="P208" s="85"/>
      <c r="Q208" s="85"/>
      <c r="R208" s="85"/>
      <c r="S208" s="85"/>
      <c r="T208" s="85"/>
      <c r="U208" s="1"/>
      <c r="V208" s="1"/>
    </row>
    <row r="209" spans="3:22" x14ac:dyDescent="0.3">
      <c r="C209" s="21"/>
      <c r="D209" s="1"/>
      <c r="E209" s="1"/>
      <c r="F209" s="1"/>
      <c r="G209" s="1"/>
      <c r="H209" s="1"/>
      <c r="I209" s="1"/>
      <c r="J209" s="1"/>
      <c r="L209" s="85"/>
      <c r="M209" s="85"/>
      <c r="N209" s="85"/>
      <c r="O209" s="85"/>
      <c r="P209" s="85"/>
      <c r="Q209" s="85"/>
      <c r="R209" s="85"/>
      <c r="S209" s="85"/>
      <c r="T209" s="85"/>
      <c r="U209" s="1"/>
      <c r="V209" s="1"/>
    </row>
    <row r="210" spans="3:22" x14ac:dyDescent="0.3">
      <c r="C210" s="21"/>
      <c r="D210" s="1"/>
      <c r="E210" s="1"/>
      <c r="F210" s="1"/>
      <c r="G210" s="1"/>
      <c r="H210" s="1"/>
      <c r="I210" s="1"/>
      <c r="J210" s="1"/>
      <c r="L210" s="85"/>
      <c r="M210" s="85"/>
      <c r="N210" s="85"/>
      <c r="O210" s="85"/>
      <c r="P210" s="85"/>
      <c r="Q210" s="85"/>
      <c r="R210" s="85"/>
      <c r="S210" s="85"/>
      <c r="T210" s="85"/>
      <c r="U210" s="1"/>
      <c r="V210" s="1"/>
    </row>
    <row r="211" spans="3:22" x14ac:dyDescent="0.3">
      <c r="C211" s="21"/>
      <c r="D211" s="1"/>
      <c r="E211" s="1"/>
      <c r="F211" s="1"/>
      <c r="G211" s="1"/>
      <c r="H211" s="1"/>
      <c r="I211" s="1"/>
      <c r="J211" s="1"/>
      <c r="L211" s="85"/>
      <c r="M211" s="85"/>
      <c r="N211" s="85"/>
      <c r="O211" s="85"/>
      <c r="P211" s="85"/>
      <c r="Q211" s="85"/>
      <c r="R211" s="85"/>
      <c r="S211" s="85"/>
      <c r="T211" s="85"/>
      <c r="U211" s="94"/>
      <c r="V211" s="1"/>
    </row>
    <row r="212" spans="3:22" x14ac:dyDescent="0.3">
      <c r="C212" s="21"/>
      <c r="D212" s="1"/>
      <c r="E212" s="1"/>
      <c r="F212" s="1"/>
      <c r="G212" s="1"/>
      <c r="H212" s="1"/>
      <c r="I212" s="1"/>
      <c r="J212" s="1"/>
      <c r="L212" s="85"/>
      <c r="M212" s="85"/>
      <c r="N212" s="85"/>
      <c r="O212" s="85"/>
      <c r="P212" s="85"/>
      <c r="Q212" s="85"/>
      <c r="R212" s="85"/>
      <c r="S212" s="85"/>
      <c r="T212" s="85"/>
      <c r="U212" s="1"/>
      <c r="V212" s="1"/>
    </row>
    <row r="213" spans="3:22" x14ac:dyDescent="0.3">
      <c r="C213" s="21"/>
      <c r="D213" s="1"/>
      <c r="E213" s="1"/>
      <c r="F213" s="1"/>
      <c r="G213" s="1"/>
      <c r="H213" s="1"/>
      <c r="I213" s="1"/>
      <c r="J213" s="1"/>
      <c r="L213" s="85"/>
      <c r="M213" s="85"/>
      <c r="N213" s="85"/>
      <c r="O213" s="85"/>
      <c r="P213" s="85"/>
      <c r="Q213" s="85"/>
      <c r="R213" s="85"/>
      <c r="S213" s="85"/>
      <c r="T213" s="85"/>
      <c r="U213" s="1"/>
      <c r="V213" s="1"/>
    </row>
    <row r="214" spans="3:22" x14ac:dyDescent="0.3">
      <c r="C214" s="21"/>
      <c r="D214" s="1"/>
      <c r="E214" s="1"/>
      <c r="F214" s="1"/>
      <c r="G214" s="1"/>
      <c r="H214" s="1"/>
      <c r="I214" s="1"/>
      <c r="J214" s="1"/>
      <c r="L214" s="85"/>
      <c r="M214" s="85"/>
      <c r="N214" s="85"/>
      <c r="O214" s="85"/>
      <c r="P214" s="85"/>
      <c r="Q214" s="85"/>
      <c r="R214" s="85"/>
      <c r="S214" s="85"/>
      <c r="T214" s="85"/>
      <c r="U214" s="1"/>
      <c r="V214" s="1"/>
    </row>
    <row r="215" spans="3:22" x14ac:dyDescent="0.3">
      <c r="C215" s="21"/>
      <c r="D215" s="1"/>
      <c r="E215" s="1"/>
      <c r="F215" s="1"/>
      <c r="G215" s="1"/>
      <c r="H215" s="1"/>
      <c r="I215" s="1"/>
      <c r="J215" s="1"/>
      <c r="L215" s="85"/>
      <c r="M215" s="85"/>
      <c r="N215" s="85"/>
      <c r="O215" s="85"/>
      <c r="P215" s="85"/>
      <c r="Q215" s="85"/>
      <c r="R215" s="85"/>
      <c r="S215" s="85"/>
      <c r="T215" s="85"/>
      <c r="U215" s="1"/>
      <c r="V215" s="1"/>
    </row>
    <row r="216" spans="3:22" x14ac:dyDescent="0.3">
      <c r="C216" s="21"/>
      <c r="D216" s="1"/>
      <c r="E216" s="1"/>
      <c r="F216" s="1"/>
      <c r="G216" s="1"/>
      <c r="H216" s="1"/>
      <c r="I216" s="1"/>
      <c r="J216" s="1"/>
      <c r="L216" s="85"/>
      <c r="M216" s="85"/>
      <c r="N216" s="85"/>
      <c r="O216" s="85"/>
      <c r="P216" s="85"/>
      <c r="Q216" s="85"/>
      <c r="R216" s="85"/>
      <c r="S216" s="85"/>
      <c r="T216" s="85"/>
      <c r="U216" s="1"/>
      <c r="V216" s="1"/>
    </row>
    <row r="217" spans="3:22" x14ac:dyDescent="0.3">
      <c r="C217" s="21"/>
      <c r="D217" s="1"/>
      <c r="E217" s="1"/>
      <c r="F217" s="1"/>
      <c r="G217" s="1"/>
      <c r="H217" s="1"/>
      <c r="I217" s="1"/>
      <c r="J217" s="1"/>
      <c r="L217" s="85"/>
      <c r="M217" s="85"/>
      <c r="N217" s="85"/>
      <c r="O217" s="85"/>
      <c r="P217" s="85"/>
      <c r="Q217" s="85"/>
      <c r="R217" s="85"/>
      <c r="S217" s="85"/>
      <c r="T217" s="85"/>
      <c r="U217" s="1"/>
      <c r="V217" s="1"/>
    </row>
    <row r="218" spans="3:22" x14ac:dyDescent="0.3">
      <c r="C218" s="21"/>
      <c r="D218" s="1"/>
      <c r="E218" s="1"/>
      <c r="F218" s="1"/>
      <c r="G218" s="1"/>
      <c r="H218" s="1"/>
      <c r="I218" s="1"/>
      <c r="J218" s="1"/>
      <c r="L218" s="85"/>
      <c r="M218" s="85"/>
      <c r="N218" s="85"/>
      <c r="O218" s="85"/>
      <c r="P218" s="85"/>
      <c r="Q218" s="85"/>
      <c r="R218" s="85"/>
      <c r="S218" s="85"/>
      <c r="T218" s="85"/>
      <c r="U218" s="1"/>
      <c r="V218" s="1"/>
    </row>
    <row r="219" spans="3:22" x14ac:dyDescent="0.3">
      <c r="C219" s="21"/>
      <c r="D219" s="1"/>
      <c r="E219" s="1"/>
      <c r="F219" s="1"/>
      <c r="G219" s="1"/>
      <c r="H219" s="1"/>
      <c r="I219" s="1"/>
      <c r="J219" s="1"/>
      <c r="L219" s="85"/>
      <c r="M219" s="85"/>
      <c r="N219" s="85"/>
      <c r="O219" s="85"/>
      <c r="P219" s="85"/>
      <c r="Q219" s="85"/>
      <c r="R219" s="85"/>
      <c r="S219" s="85"/>
      <c r="T219" s="85"/>
      <c r="U219" s="1"/>
      <c r="V219" s="1"/>
    </row>
    <row r="220" spans="3:22" x14ac:dyDescent="0.3">
      <c r="C220" s="21"/>
      <c r="D220" s="1"/>
      <c r="E220" s="1"/>
      <c r="F220" s="1"/>
      <c r="G220" s="1"/>
      <c r="H220" s="1"/>
      <c r="I220" s="1"/>
      <c r="J220" s="1"/>
      <c r="L220" s="85"/>
      <c r="M220" s="85"/>
      <c r="N220" s="85"/>
      <c r="O220" s="85"/>
      <c r="P220" s="85"/>
      <c r="Q220" s="85"/>
      <c r="R220" s="85"/>
      <c r="S220" s="85"/>
      <c r="T220" s="85"/>
      <c r="U220" s="1"/>
      <c r="V220" s="1"/>
    </row>
    <row r="221" spans="3:22" x14ac:dyDescent="0.3">
      <c r="C221" s="21"/>
      <c r="D221" s="1"/>
      <c r="E221" s="1"/>
      <c r="F221" s="1"/>
      <c r="G221" s="1"/>
      <c r="H221" s="1"/>
      <c r="I221" s="1"/>
      <c r="J221" s="1"/>
      <c r="L221" s="85"/>
      <c r="M221" s="85"/>
      <c r="N221" s="85"/>
      <c r="O221" s="85"/>
      <c r="P221" s="85"/>
      <c r="Q221" s="85"/>
      <c r="R221" s="85"/>
      <c r="S221" s="85"/>
      <c r="T221" s="85"/>
      <c r="U221" s="1"/>
      <c r="V221" s="1"/>
    </row>
    <row r="222" spans="3:22" x14ac:dyDescent="0.3">
      <c r="C222" s="21"/>
      <c r="D222" s="1"/>
      <c r="E222" s="1"/>
      <c r="F222" s="1"/>
      <c r="G222" s="1"/>
      <c r="H222" s="1"/>
      <c r="I222" s="1"/>
      <c r="J222" s="1"/>
      <c r="L222" s="85"/>
      <c r="M222" s="85"/>
      <c r="N222" s="85"/>
      <c r="O222" s="85"/>
      <c r="P222" s="85"/>
      <c r="Q222" s="85"/>
      <c r="R222" s="85"/>
      <c r="S222" s="85"/>
      <c r="T222" s="85"/>
      <c r="U222" s="1"/>
      <c r="V222" s="1"/>
    </row>
    <row r="223" spans="3:22" x14ac:dyDescent="0.3">
      <c r="C223" s="21"/>
      <c r="D223" s="1"/>
      <c r="E223" s="1"/>
      <c r="F223" s="1"/>
      <c r="G223" s="1"/>
      <c r="H223" s="1"/>
      <c r="I223" s="1"/>
      <c r="J223" s="1"/>
      <c r="L223" s="85"/>
      <c r="M223" s="85"/>
      <c r="N223" s="85"/>
      <c r="O223" s="85"/>
      <c r="P223" s="85"/>
      <c r="Q223" s="85"/>
      <c r="R223" s="85"/>
      <c r="S223" s="85"/>
      <c r="T223" s="85"/>
      <c r="U223" s="1"/>
      <c r="V223" s="1"/>
    </row>
    <row r="224" spans="3:22" x14ac:dyDescent="0.3">
      <c r="C224" s="21"/>
      <c r="D224" s="1"/>
      <c r="E224" s="1"/>
      <c r="F224" s="1"/>
      <c r="G224" s="1"/>
      <c r="H224" s="1"/>
      <c r="I224" s="1"/>
      <c r="J224" s="1"/>
      <c r="L224" s="85"/>
      <c r="M224" s="85"/>
      <c r="N224" s="85"/>
      <c r="O224" s="85"/>
      <c r="P224" s="85"/>
      <c r="Q224" s="85"/>
      <c r="R224" s="85"/>
      <c r="S224" s="85"/>
      <c r="T224" s="85"/>
      <c r="U224" s="1"/>
      <c r="V224" s="1"/>
    </row>
    <row r="225" spans="3:22" x14ac:dyDescent="0.3">
      <c r="C225" s="21"/>
      <c r="D225" s="1"/>
      <c r="E225" s="1"/>
      <c r="F225" s="1"/>
      <c r="G225" s="1"/>
      <c r="H225" s="1"/>
      <c r="I225" s="1"/>
      <c r="J225" s="1"/>
      <c r="L225" s="85"/>
      <c r="M225" s="85"/>
      <c r="N225" s="85"/>
      <c r="O225" s="85"/>
      <c r="P225" s="85"/>
      <c r="Q225" s="85"/>
      <c r="R225" s="85"/>
      <c r="S225" s="85"/>
      <c r="T225" s="85"/>
      <c r="U225" s="1"/>
      <c r="V225" s="1"/>
    </row>
    <row r="226" spans="3:22" x14ac:dyDescent="0.3">
      <c r="C226" s="21"/>
      <c r="D226" s="1"/>
      <c r="E226" s="1"/>
      <c r="F226" s="1"/>
      <c r="G226" s="1"/>
      <c r="H226" s="1"/>
      <c r="I226" s="1"/>
      <c r="J226" s="1"/>
      <c r="L226" s="85"/>
      <c r="M226" s="85"/>
      <c r="N226" s="85"/>
      <c r="O226" s="85"/>
      <c r="P226" s="85"/>
      <c r="Q226" s="85"/>
      <c r="R226" s="85"/>
      <c r="S226" s="85"/>
      <c r="T226" s="85"/>
      <c r="U226" s="1"/>
      <c r="V226" s="1"/>
    </row>
    <row r="227" spans="3:22" x14ac:dyDescent="0.3">
      <c r="C227" s="21"/>
      <c r="D227" s="1"/>
      <c r="E227" s="1"/>
      <c r="F227" s="1"/>
      <c r="G227" s="1"/>
      <c r="H227" s="1"/>
      <c r="I227" s="1"/>
      <c r="J227" s="1"/>
      <c r="L227" s="85"/>
      <c r="M227" s="85"/>
      <c r="N227" s="85"/>
      <c r="O227" s="85"/>
      <c r="P227" s="85"/>
      <c r="Q227" s="85"/>
      <c r="R227" s="85"/>
      <c r="S227" s="85"/>
      <c r="T227" s="85"/>
      <c r="U227" s="1"/>
      <c r="V227" s="1"/>
    </row>
    <row r="228" spans="3:22" x14ac:dyDescent="0.3">
      <c r="C228" s="21"/>
      <c r="D228" s="1"/>
      <c r="E228" s="1"/>
      <c r="F228" s="1"/>
      <c r="G228" s="1"/>
      <c r="H228" s="1"/>
      <c r="I228" s="1"/>
      <c r="J228" s="1"/>
      <c r="L228" s="85"/>
      <c r="M228" s="85"/>
      <c r="N228" s="85"/>
      <c r="O228" s="85"/>
      <c r="P228" s="85"/>
      <c r="Q228" s="85"/>
      <c r="R228" s="85"/>
      <c r="S228" s="85"/>
      <c r="T228" s="85"/>
      <c r="U228" s="1"/>
      <c r="V228" s="1"/>
    </row>
    <row r="229" spans="3:22" x14ac:dyDescent="0.3">
      <c r="C229" s="21"/>
      <c r="D229" s="1"/>
      <c r="E229" s="1"/>
      <c r="F229" s="1"/>
      <c r="G229" s="1"/>
      <c r="H229" s="1"/>
      <c r="I229" s="1"/>
      <c r="J229" s="1"/>
      <c r="L229" s="85"/>
      <c r="M229" s="85"/>
      <c r="N229" s="85"/>
      <c r="O229" s="85"/>
      <c r="P229" s="85"/>
      <c r="Q229" s="85"/>
      <c r="R229" s="85"/>
      <c r="S229" s="85"/>
      <c r="T229" s="85"/>
      <c r="U229" s="1"/>
      <c r="V229" s="1"/>
    </row>
    <row r="230" spans="3:22" x14ac:dyDescent="0.3">
      <c r="C230" s="21"/>
      <c r="D230" s="1"/>
      <c r="E230" s="1"/>
      <c r="F230" s="1"/>
      <c r="G230" s="1"/>
      <c r="H230" s="1"/>
      <c r="I230" s="1"/>
      <c r="J230" s="1"/>
      <c r="L230" s="85"/>
      <c r="M230" s="85"/>
      <c r="N230" s="85"/>
      <c r="O230" s="85"/>
      <c r="P230" s="85"/>
      <c r="Q230" s="85"/>
      <c r="R230" s="85"/>
      <c r="S230" s="85"/>
      <c r="T230" s="85"/>
      <c r="U230" s="1"/>
      <c r="V230" s="1"/>
    </row>
    <row r="231" spans="3:22" x14ac:dyDescent="0.3">
      <c r="C231" s="21"/>
      <c r="D231" s="1"/>
      <c r="E231" s="1"/>
      <c r="F231" s="1"/>
      <c r="G231" s="1"/>
      <c r="H231" s="1"/>
      <c r="I231" s="1"/>
      <c r="J231" s="1"/>
      <c r="L231" s="85"/>
      <c r="M231" s="85"/>
      <c r="N231" s="85"/>
      <c r="O231" s="85"/>
      <c r="P231" s="85"/>
      <c r="Q231" s="85"/>
      <c r="R231" s="85"/>
      <c r="S231" s="85"/>
      <c r="T231" s="85"/>
      <c r="U231" s="1"/>
      <c r="V231" s="1"/>
    </row>
    <row r="232" spans="3:22" x14ac:dyDescent="0.3">
      <c r="C232" s="21"/>
      <c r="D232" s="1"/>
      <c r="E232" s="1"/>
      <c r="F232" s="1"/>
      <c r="G232" s="1"/>
      <c r="H232" s="1"/>
      <c r="I232" s="1"/>
      <c r="J232" s="1"/>
      <c r="L232" s="85"/>
      <c r="M232" s="85"/>
      <c r="N232" s="85"/>
      <c r="O232" s="85"/>
      <c r="P232" s="85"/>
      <c r="Q232" s="85"/>
      <c r="R232" s="85"/>
      <c r="S232" s="85"/>
      <c r="T232" s="85"/>
      <c r="U232" s="1"/>
      <c r="V232" s="1"/>
    </row>
    <row r="233" spans="3:22" x14ac:dyDescent="0.3">
      <c r="C233" s="21"/>
      <c r="D233" s="1"/>
      <c r="E233" s="1"/>
      <c r="F233" s="1"/>
      <c r="G233" s="1"/>
      <c r="H233" s="1"/>
      <c r="I233" s="1"/>
      <c r="J233" s="1"/>
      <c r="L233" s="85"/>
      <c r="M233" s="85"/>
      <c r="N233" s="85"/>
      <c r="O233" s="85"/>
      <c r="P233" s="85"/>
      <c r="Q233" s="85"/>
      <c r="R233" s="85"/>
      <c r="S233" s="85"/>
      <c r="T233" s="85"/>
      <c r="U233" s="1"/>
      <c r="V233" s="1"/>
    </row>
    <row r="234" spans="3:22" x14ac:dyDescent="0.3">
      <c r="C234" s="21"/>
      <c r="D234" s="1"/>
      <c r="E234" s="1"/>
      <c r="F234" s="1"/>
      <c r="G234" s="1"/>
      <c r="H234" s="1"/>
      <c r="I234" s="1"/>
      <c r="J234" s="1"/>
      <c r="L234" s="85"/>
      <c r="M234" s="85"/>
      <c r="N234" s="85"/>
      <c r="O234" s="85"/>
      <c r="P234" s="85"/>
      <c r="Q234" s="85"/>
      <c r="R234" s="85"/>
      <c r="S234" s="85"/>
      <c r="T234" s="85"/>
      <c r="U234" s="1"/>
      <c r="V234" s="1"/>
    </row>
    <row r="235" spans="3:22" x14ac:dyDescent="0.3">
      <c r="C235" s="21"/>
      <c r="D235" s="1"/>
      <c r="E235" s="1"/>
      <c r="F235" s="1"/>
      <c r="G235" s="1"/>
      <c r="H235" s="1"/>
      <c r="I235" s="1"/>
      <c r="J235" s="1"/>
      <c r="L235" s="85"/>
      <c r="M235" s="85"/>
      <c r="N235" s="85"/>
      <c r="O235" s="85"/>
      <c r="P235" s="85"/>
      <c r="Q235" s="85"/>
      <c r="R235" s="85"/>
      <c r="S235" s="85"/>
      <c r="T235" s="85"/>
      <c r="U235" s="1"/>
      <c r="V235" s="1"/>
    </row>
    <row r="236" spans="3:22" x14ac:dyDescent="0.3">
      <c r="C236" s="21"/>
      <c r="D236" s="1"/>
      <c r="E236" s="1"/>
      <c r="F236" s="1"/>
      <c r="G236" s="1"/>
      <c r="H236" s="1"/>
      <c r="I236" s="1"/>
      <c r="J236" s="1"/>
      <c r="L236" s="85"/>
      <c r="M236" s="85"/>
      <c r="N236" s="85"/>
      <c r="O236" s="85"/>
      <c r="P236" s="85"/>
      <c r="Q236" s="85"/>
      <c r="R236" s="85"/>
      <c r="S236" s="85"/>
      <c r="T236" s="85"/>
      <c r="U236" s="1"/>
      <c r="V236" s="1"/>
    </row>
    <row r="237" spans="3:22" x14ac:dyDescent="0.3">
      <c r="C237" s="21"/>
      <c r="D237" s="1"/>
      <c r="E237" s="1"/>
      <c r="F237" s="1"/>
      <c r="G237" s="1"/>
      <c r="H237" s="1"/>
      <c r="I237" s="1"/>
      <c r="J237" s="1"/>
      <c r="L237" s="85"/>
      <c r="M237" s="85"/>
      <c r="N237" s="85"/>
      <c r="O237" s="85"/>
      <c r="P237" s="85"/>
      <c r="Q237" s="85"/>
      <c r="R237" s="85"/>
      <c r="S237" s="85"/>
      <c r="T237" s="85"/>
      <c r="U237" s="1"/>
      <c r="V237" s="1"/>
    </row>
    <row r="238" spans="3:22" x14ac:dyDescent="0.3">
      <c r="C238" s="21"/>
      <c r="D238" s="1"/>
      <c r="E238" s="1"/>
      <c r="F238" s="1"/>
      <c r="G238" s="1"/>
      <c r="H238" s="1"/>
      <c r="I238" s="1"/>
      <c r="J238" s="1"/>
      <c r="L238" s="85"/>
      <c r="M238" s="85"/>
      <c r="N238" s="85"/>
      <c r="O238" s="85"/>
      <c r="P238" s="85"/>
      <c r="Q238" s="85"/>
      <c r="R238" s="85"/>
      <c r="S238" s="85"/>
      <c r="T238" s="85"/>
      <c r="U238" s="1"/>
      <c r="V238" s="1"/>
    </row>
    <row r="239" spans="3:22" x14ac:dyDescent="0.3">
      <c r="C239" s="21"/>
      <c r="D239" s="1"/>
      <c r="E239" s="1"/>
      <c r="F239" s="1"/>
      <c r="G239" s="1"/>
      <c r="H239" s="1"/>
      <c r="I239" s="1"/>
      <c r="J239" s="1"/>
      <c r="L239" s="85"/>
      <c r="M239" s="85"/>
      <c r="N239" s="85"/>
      <c r="O239" s="85"/>
      <c r="P239" s="85"/>
      <c r="Q239" s="85"/>
      <c r="R239" s="85"/>
      <c r="S239" s="85"/>
      <c r="T239" s="85"/>
      <c r="U239" s="1"/>
      <c r="V239" s="1"/>
    </row>
    <row r="240" spans="3:22" x14ac:dyDescent="0.3">
      <c r="C240" s="21"/>
      <c r="D240" s="1"/>
      <c r="E240" s="1"/>
      <c r="F240" s="1"/>
      <c r="G240" s="1"/>
      <c r="H240" s="1"/>
      <c r="I240" s="1"/>
      <c r="J240" s="1"/>
      <c r="L240" s="85"/>
      <c r="M240" s="85"/>
      <c r="N240" s="85"/>
      <c r="O240" s="85"/>
      <c r="P240" s="85"/>
      <c r="Q240" s="85"/>
      <c r="R240" s="85"/>
      <c r="S240" s="85"/>
      <c r="T240" s="85"/>
      <c r="U240" s="1"/>
      <c r="V240" s="1"/>
    </row>
    <row r="241" spans="3:22" x14ac:dyDescent="0.3">
      <c r="C241" s="21"/>
      <c r="D241" s="1"/>
      <c r="E241" s="1"/>
      <c r="F241" s="1"/>
      <c r="G241" s="1"/>
      <c r="H241" s="1"/>
      <c r="I241" s="1"/>
      <c r="J241" s="1"/>
      <c r="L241" s="85"/>
      <c r="M241" s="85"/>
      <c r="N241" s="85"/>
      <c r="O241" s="85"/>
      <c r="P241" s="85"/>
      <c r="Q241" s="85"/>
      <c r="R241" s="85"/>
      <c r="S241" s="85"/>
      <c r="T241" s="85"/>
      <c r="U241" s="1"/>
      <c r="V241" s="1"/>
    </row>
    <row r="242" spans="3:22" x14ac:dyDescent="0.3">
      <c r="C242" s="21"/>
      <c r="D242" s="1"/>
      <c r="E242" s="1"/>
      <c r="F242" s="1"/>
      <c r="G242" s="1"/>
      <c r="H242" s="1"/>
      <c r="I242" s="1"/>
      <c r="J242" s="1"/>
      <c r="L242" s="85"/>
      <c r="M242" s="85"/>
      <c r="N242" s="85"/>
      <c r="O242" s="85"/>
      <c r="P242" s="85"/>
      <c r="Q242" s="85"/>
      <c r="R242" s="85"/>
      <c r="S242" s="85"/>
      <c r="T242" s="85"/>
      <c r="U242" s="1"/>
      <c r="V242" s="1"/>
    </row>
    <row r="243" spans="3:22" x14ac:dyDescent="0.3">
      <c r="C243" s="21"/>
      <c r="D243" s="1"/>
      <c r="E243" s="1"/>
      <c r="F243" s="1"/>
      <c r="G243" s="1"/>
      <c r="H243" s="1"/>
      <c r="I243" s="1"/>
      <c r="J243" s="1"/>
      <c r="L243" s="85"/>
      <c r="M243" s="85"/>
      <c r="N243" s="85"/>
      <c r="O243" s="85"/>
      <c r="P243" s="85"/>
      <c r="Q243" s="85"/>
      <c r="R243" s="85"/>
      <c r="S243" s="85"/>
      <c r="T243" s="85"/>
      <c r="U243" s="1"/>
      <c r="V243" s="1"/>
    </row>
    <row r="244" spans="3:22" x14ac:dyDescent="0.3">
      <c r="C244" s="21"/>
      <c r="D244" s="1"/>
      <c r="E244" s="1"/>
      <c r="F244" s="1"/>
      <c r="G244" s="1"/>
      <c r="H244" s="1"/>
      <c r="I244" s="1"/>
      <c r="J244" s="1"/>
      <c r="L244" s="85"/>
      <c r="M244" s="85"/>
      <c r="N244" s="85"/>
      <c r="O244" s="85"/>
      <c r="P244" s="85"/>
      <c r="Q244" s="85"/>
      <c r="R244" s="85"/>
      <c r="S244" s="85"/>
      <c r="T244" s="85"/>
      <c r="U244" s="1"/>
      <c r="V244" s="1"/>
    </row>
    <row r="245" spans="3:22" x14ac:dyDescent="0.3">
      <c r="C245" s="21"/>
      <c r="D245" s="1"/>
      <c r="E245" s="1"/>
      <c r="F245" s="1"/>
      <c r="G245" s="1"/>
      <c r="H245" s="1"/>
      <c r="I245" s="1"/>
      <c r="J245" s="1"/>
      <c r="L245" s="85"/>
      <c r="M245" s="85"/>
      <c r="N245" s="85"/>
      <c r="O245" s="85"/>
      <c r="P245" s="85"/>
      <c r="Q245" s="85"/>
      <c r="R245" s="85"/>
      <c r="S245" s="85"/>
      <c r="T245" s="85"/>
      <c r="U245" s="1"/>
      <c r="V245" s="1"/>
    </row>
    <row r="246" spans="3:22" x14ac:dyDescent="0.3">
      <c r="C246" s="21"/>
      <c r="D246" s="1"/>
      <c r="E246" s="1"/>
      <c r="F246" s="1"/>
      <c r="G246" s="1"/>
      <c r="H246" s="1"/>
      <c r="I246" s="1"/>
      <c r="J246" s="1"/>
      <c r="L246" s="85"/>
      <c r="M246" s="85"/>
      <c r="N246" s="85"/>
      <c r="O246" s="85"/>
      <c r="P246" s="85"/>
      <c r="Q246" s="85"/>
      <c r="R246" s="85"/>
      <c r="S246" s="85"/>
      <c r="T246" s="85"/>
      <c r="U246" s="1"/>
      <c r="V246" s="1"/>
    </row>
    <row r="247" spans="3:22" x14ac:dyDescent="0.3">
      <c r="C247" s="21"/>
      <c r="D247" s="1"/>
      <c r="E247" s="1"/>
      <c r="F247" s="1"/>
      <c r="G247" s="1"/>
      <c r="H247" s="1"/>
      <c r="I247" s="1"/>
      <c r="J247" s="1"/>
      <c r="L247" s="85"/>
      <c r="M247" s="85"/>
      <c r="N247" s="85"/>
      <c r="O247" s="85"/>
      <c r="P247" s="85"/>
      <c r="Q247" s="85"/>
      <c r="R247" s="85"/>
      <c r="S247" s="85"/>
      <c r="T247" s="85"/>
      <c r="U247" s="1"/>
      <c r="V247" s="1"/>
    </row>
    <row r="248" spans="3:22" x14ac:dyDescent="0.3">
      <c r="C248" s="21"/>
      <c r="D248" s="1"/>
      <c r="E248" s="1"/>
      <c r="F248" s="1"/>
      <c r="G248" s="1"/>
      <c r="H248" s="1"/>
      <c r="I248" s="1"/>
      <c r="J248" s="1"/>
      <c r="L248" s="85"/>
      <c r="M248" s="85"/>
      <c r="N248" s="85"/>
      <c r="O248" s="85"/>
      <c r="P248" s="85"/>
      <c r="Q248" s="85"/>
      <c r="R248" s="85"/>
      <c r="S248" s="85"/>
      <c r="T248" s="85"/>
      <c r="U248" s="1"/>
      <c r="V248" s="1"/>
    </row>
    <row r="249" spans="3:22" x14ac:dyDescent="0.3">
      <c r="C249" s="21"/>
      <c r="D249" s="1"/>
      <c r="E249" s="1"/>
      <c r="F249" s="1"/>
      <c r="G249" s="1"/>
      <c r="H249" s="1"/>
      <c r="I249" s="1"/>
      <c r="J249" s="1"/>
      <c r="L249" s="85"/>
      <c r="M249" s="85"/>
      <c r="N249" s="85"/>
      <c r="O249" s="85"/>
      <c r="P249" s="85"/>
      <c r="Q249" s="85"/>
      <c r="R249" s="85"/>
      <c r="S249" s="85"/>
      <c r="T249" s="85"/>
      <c r="U249" s="1"/>
      <c r="V249" s="1"/>
    </row>
    <row r="250" spans="3:22" x14ac:dyDescent="0.3">
      <c r="C250" s="21"/>
      <c r="D250" s="1"/>
      <c r="E250" s="1"/>
      <c r="F250" s="1"/>
      <c r="G250" s="1"/>
      <c r="H250" s="1"/>
      <c r="I250" s="1"/>
      <c r="J250" s="1"/>
      <c r="L250" s="85"/>
      <c r="M250" s="85"/>
      <c r="N250" s="85"/>
      <c r="O250" s="85"/>
      <c r="P250" s="85"/>
      <c r="Q250" s="85"/>
      <c r="R250" s="85"/>
      <c r="S250" s="85"/>
      <c r="T250" s="85"/>
      <c r="U250" s="1"/>
      <c r="V250" s="1"/>
    </row>
    <row r="251" spans="3:22" x14ac:dyDescent="0.3">
      <c r="C251" s="21"/>
      <c r="D251" s="1"/>
      <c r="E251" s="1"/>
      <c r="F251" s="1"/>
      <c r="G251" s="1"/>
      <c r="H251" s="1"/>
      <c r="I251" s="1"/>
      <c r="J251" s="1"/>
      <c r="L251" s="85"/>
      <c r="M251" s="85"/>
      <c r="N251" s="85"/>
      <c r="O251" s="85"/>
      <c r="P251" s="85"/>
      <c r="Q251" s="85"/>
      <c r="R251" s="85"/>
      <c r="S251" s="85"/>
      <c r="T251" s="85"/>
      <c r="U251" s="1"/>
      <c r="V251" s="1"/>
    </row>
    <row r="252" spans="3:22" x14ac:dyDescent="0.3">
      <c r="C252" s="21"/>
      <c r="D252" s="1"/>
      <c r="E252" s="1"/>
      <c r="F252" s="1"/>
      <c r="G252" s="1"/>
      <c r="H252" s="1"/>
      <c r="I252" s="1"/>
      <c r="J252" s="1"/>
      <c r="L252" s="85"/>
      <c r="M252" s="85"/>
      <c r="N252" s="85"/>
      <c r="O252" s="85"/>
      <c r="P252" s="85"/>
      <c r="Q252" s="85"/>
      <c r="R252" s="85"/>
      <c r="S252" s="85"/>
      <c r="T252" s="85"/>
      <c r="U252" s="1"/>
      <c r="V252" s="1"/>
    </row>
    <row r="253" spans="3:22" x14ac:dyDescent="0.3">
      <c r="C253" s="21"/>
      <c r="D253" s="1"/>
      <c r="E253" s="1"/>
      <c r="F253" s="1"/>
      <c r="G253" s="1"/>
      <c r="H253" s="1"/>
      <c r="I253" s="1"/>
      <c r="J253" s="1"/>
      <c r="L253" s="85"/>
      <c r="M253" s="85"/>
      <c r="N253" s="85"/>
      <c r="O253" s="85"/>
      <c r="P253" s="85"/>
      <c r="Q253" s="85"/>
      <c r="R253" s="85"/>
      <c r="S253" s="85"/>
      <c r="T253" s="85"/>
      <c r="U253" s="1"/>
      <c r="V253" s="1"/>
    </row>
    <row r="254" spans="3:22" x14ac:dyDescent="0.3">
      <c r="C254" s="21"/>
      <c r="D254" s="1"/>
      <c r="E254" s="1"/>
      <c r="F254" s="1"/>
      <c r="G254" s="1"/>
      <c r="H254" s="1"/>
      <c r="I254" s="1"/>
      <c r="J254" s="1"/>
      <c r="L254" s="85"/>
      <c r="M254" s="85"/>
      <c r="N254" s="85"/>
      <c r="O254" s="85"/>
      <c r="P254" s="85"/>
      <c r="Q254" s="85"/>
      <c r="R254" s="85"/>
      <c r="S254" s="85"/>
      <c r="T254" s="85"/>
      <c r="U254" s="1"/>
      <c r="V254" s="1"/>
    </row>
    <row r="255" spans="3:22" x14ac:dyDescent="0.3">
      <c r="C255" s="21"/>
      <c r="D255" s="1"/>
      <c r="E255" s="1"/>
      <c r="F255" s="1"/>
      <c r="G255" s="1"/>
      <c r="H255" s="1"/>
      <c r="I255" s="1"/>
      <c r="J255" s="1"/>
      <c r="L255" s="85"/>
      <c r="M255" s="85"/>
      <c r="N255" s="85"/>
      <c r="O255" s="85"/>
      <c r="P255" s="85"/>
      <c r="Q255" s="85"/>
      <c r="R255" s="85"/>
      <c r="S255" s="85"/>
      <c r="T255" s="85"/>
      <c r="U255" s="1"/>
      <c r="V255" s="1"/>
    </row>
    <row r="256" spans="3:22" x14ac:dyDescent="0.3">
      <c r="C256" s="21"/>
      <c r="D256" s="1"/>
      <c r="E256" s="1"/>
      <c r="F256" s="1"/>
      <c r="G256" s="1"/>
      <c r="H256" s="1"/>
      <c r="I256" s="1"/>
      <c r="J256" s="1"/>
      <c r="L256" s="85"/>
      <c r="M256" s="85"/>
      <c r="N256" s="85"/>
      <c r="O256" s="85"/>
      <c r="P256" s="85"/>
      <c r="Q256" s="85"/>
      <c r="R256" s="85"/>
      <c r="S256" s="85"/>
      <c r="T256" s="85"/>
      <c r="U256" s="1"/>
      <c r="V256" s="1"/>
    </row>
    <row r="257" spans="3:22" x14ac:dyDescent="0.3">
      <c r="C257" s="21"/>
      <c r="D257" s="1"/>
      <c r="E257" s="1"/>
      <c r="F257" s="1"/>
      <c r="G257" s="1"/>
      <c r="H257" s="1"/>
      <c r="I257" s="1"/>
      <c r="J257" s="1"/>
      <c r="L257" s="85"/>
      <c r="M257" s="85"/>
      <c r="N257" s="85"/>
      <c r="O257" s="85"/>
      <c r="P257" s="85"/>
      <c r="Q257" s="85"/>
      <c r="R257" s="85"/>
      <c r="S257" s="85"/>
      <c r="T257" s="85"/>
      <c r="U257" s="1"/>
      <c r="V257" s="1"/>
    </row>
    <row r="258" spans="3:22" x14ac:dyDescent="0.3">
      <c r="C258" s="21"/>
      <c r="D258" s="1"/>
      <c r="E258" s="1"/>
      <c r="F258" s="1"/>
      <c r="G258" s="1"/>
      <c r="H258" s="1"/>
      <c r="I258" s="1"/>
      <c r="J258" s="1"/>
      <c r="L258" s="85"/>
      <c r="M258" s="85"/>
      <c r="N258" s="85"/>
      <c r="O258" s="85"/>
      <c r="P258" s="85"/>
      <c r="Q258" s="85"/>
      <c r="R258" s="85"/>
      <c r="S258" s="85"/>
      <c r="T258" s="85"/>
      <c r="U258" s="1"/>
      <c r="V258" s="1"/>
    </row>
    <row r="259" spans="3:22" x14ac:dyDescent="0.3">
      <c r="C259" s="21"/>
      <c r="D259" s="1"/>
      <c r="E259" s="1"/>
      <c r="F259" s="1"/>
      <c r="G259" s="1"/>
      <c r="H259" s="1"/>
      <c r="I259" s="1"/>
      <c r="J259" s="1"/>
      <c r="L259" s="85"/>
      <c r="M259" s="85"/>
      <c r="N259" s="85"/>
      <c r="O259" s="85"/>
      <c r="P259" s="85"/>
      <c r="Q259" s="85"/>
      <c r="R259" s="85"/>
      <c r="S259" s="85"/>
      <c r="T259" s="85"/>
      <c r="U259" s="1"/>
      <c r="V259" s="1"/>
    </row>
    <row r="260" spans="3:22" x14ac:dyDescent="0.3">
      <c r="C260" s="21"/>
      <c r="D260" s="1"/>
      <c r="E260" s="1"/>
      <c r="F260" s="1"/>
      <c r="G260" s="1"/>
      <c r="H260" s="1"/>
      <c r="I260" s="1"/>
      <c r="J260" s="1"/>
      <c r="L260" s="85"/>
      <c r="M260" s="85"/>
      <c r="N260" s="85"/>
      <c r="O260" s="85"/>
      <c r="P260" s="85"/>
      <c r="Q260" s="85"/>
      <c r="R260" s="85"/>
      <c r="S260" s="85"/>
      <c r="T260" s="85"/>
      <c r="U260" s="1"/>
      <c r="V260" s="1"/>
    </row>
    <row r="261" spans="3:22" x14ac:dyDescent="0.3">
      <c r="C261" s="21"/>
      <c r="D261" s="1"/>
      <c r="E261" s="1"/>
      <c r="F261" s="1"/>
      <c r="G261" s="1"/>
      <c r="H261" s="1"/>
      <c r="I261" s="1"/>
      <c r="J261" s="1"/>
      <c r="L261" s="85"/>
      <c r="M261" s="85"/>
      <c r="N261" s="85"/>
      <c r="O261" s="85"/>
      <c r="P261" s="85"/>
      <c r="Q261" s="85"/>
      <c r="R261" s="85"/>
      <c r="S261" s="85"/>
      <c r="T261" s="85"/>
      <c r="U261" s="1"/>
      <c r="V261" s="1"/>
    </row>
    <row r="262" spans="3:22" x14ac:dyDescent="0.3">
      <c r="C262" s="21"/>
      <c r="D262" s="1"/>
      <c r="E262" s="1"/>
      <c r="F262" s="1"/>
      <c r="G262" s="1"/>
      <c r="H262" s="1"/>
      <c r="I262" s="1"/>
      <c r="J262" s="1"/>
      <c r="L262" s="85"/>
      <c r="M262" s="85"/>
      <c r="N262" s="85"/>
      <c r="O262" s="85"/>
      <c r="P262" s="85"/>
      <c r="Q262" s="85"/>
      <c r="R262" s="85"/>
      <c r="S262" s="85"/>
      <c r="T262" s="85"/>
      <c r="U262" s="1"/>
      <c r="V262" s="1"/>
    </row>
    <row r="263" spans="3:22" x14ac:dyDescent="0.3">
      <c r="C263" s="21"/>
      <c r="D263" s="1"/>
      <c r="E263" s="1"/>
      <c r="F263" s="1"/>
      <c r="G263" s="1"/>
      <c r="H263" s="1"/>
      <c r="I263" s="1"/>
      <c r="J263" s="1"/>
      <c r="L263" s="85"/>
      <c r="M263" s="85"/>
      <c r="N263" s="85"/>
      <c r="O263" s="85"/>
      <c r="P263" s="85"/>
      <c r="Q263" s="85"/>
      <c r="R263" s="85"/>
      <c r="S263" s="85"/>
      <c r="T263" s="85"/>
      <c r="U263" s="1"/>
      <c r="V263" s="1"/>
    </row>
    <row r="264" spans="3:22" x14ac:dyDescent="0.3">
      <c r="C264" s="21"/>
      <c r="D264" s="1"/>
      <c r="E264" s="1"/>
      <c r="F264" s="1"/>
      <c r="G264" s="1"/>
      <c r="H264" s="1"/>
      <c r="I264" s="1"/>
      <c r="J264" s="1"/>
      <c r="L264" s="85"/>
      <c r="M264" s="85"/>
      <c r="N264" s="85"/>
      <c r="O264" s="85"/>
      <c r="P264" s="85"/>
      <c r="Q264" s="85"/>
      <c r="R264" s="85"/>
      <c r="S264" s="85"/>
      <c r="T264" s="85"/>
      <c r="U264" s="1"/>
      <c r="V264" s="1"/>
    </row>
    <row r="265" spans="3:22" x14ac:dyDescent="0.3">
      <c r="C265" s="21"/>
      <c r="D265" s="1"/>
      <c r="E265" s="1"/>
      <c r="F265" s="1"/>
      <c r="G265" s="1"/>
      <c r="H265" s="1"/>
      <c r="I265" s="1"/>
      <c r="J265" s="1"/>
      <c r="L265" s="85"/>
      <c r="M265" s="85"/>
      <c r="N265" s="85"/>
      <c r="O265" s="85"/>
      <c r="P265" s="85"/>
      <c r="Q265" s="85"/>
      <c r="R265" s="85"/>
      <c r="S265" s="85"/>
      <c r="T265" s="85"/>
      <c r="U265" s="1"/>
      <c r="V265" s="1"/>
    </row>
    <row r="266" spans="3:22" x14ac:dyDescent="0.3">
      <c r="C266" s="21"/>
      <c r="D266" s="1"/>
      <c r="E266" s="1"/>
      <c r="F266" s="1"/>
      <c r="G266" s="1"/>
      <c r="H266" s="1"/>
      <c r="I266" s="1"/>
      <c r="J266" s="1"/>
      <c r="L266" s="85"/>
      <c r="M266" s="85"/>
      <c r="N266" s="85"/>
      <c r="O266" s="85"/>
      <c r="P266" s="85"/>
      <c r="Q266" s="85"/>
      <c r="R266" s="85"/>
      <c r="S266" s="85"/>
      <c r="T266" s="85"/>
      <c r="U266" s="1"/>
      <c r="V266" s="1"/>
    </row>
    <row r="267" spans="3:22" x14ac:dyDescent="0.3">
      <c r="C267" s="21"/>
      <c r="D267" s="1"/>
      <c r="E267" s="1"/>
      <c r="F267" s="1"/>
      <c r="G267" s="1"/>
      <c r="H267" s="1"/>
      <c r="I267" s="1"/>
      <c r="J267" s="1"/>
      <c r="L267" s="85"/>
      <c r="M267" s="85"/>
      <c r="N267" s="85"/>
      <c r="O267" s="85"/>
      <c r="P267" s="85"/>
      <c r="Q267" s="85"/>
      <c r="R267" s="85"/>
      <c r="S267" s="85"/>
      <c r="T267" s="85"/>
      <c r="U267" s="1"/>
      <c r="V267" s="1"/>
    </row>
    <row r="268" spans="3:22" x14ac:dyDescent="0.3">
      <c r="C268" s="21"/>
      <c r="D268" s="1"/>
      <c r="E268" s="1"/>
      <c r="F268" s="1"/>
      <c r="G268" s="1"/>
      <c r="H268" s="1"/>
      <c r="I268" s="1"/>
      <c r="J268" s="1"/>
      <c r="L268" s="85"/>
      <c r="M268" s="85"/>
      <c r="N268" s="85"/>
      <c r="O268" s="85"/>
      <c r="P268" s="85"/>
      <c r="Q268" s="85"/>
      <c r="R268" s="85"/>
      <c r="S268" s="85"/>
      <c r="T268" s="85"/>
      <c r="U268" s="1"/>
      <c r="V268" s="1"/>
    </row>
    <row r="269" spans="3:22" x14ac:dyDescent="0.3">
      <c r="C269" s="21"/>
      <c r="D269" s="1"/>
      <c r="E269" s="1"/>
      <c r="F269" s="1"/>
      <c r="G269" s="1"/>
      <c r="H269" s="1"/>
      <c r="I269" s="1"/>
      <c r="J269" s="1"/>
      <c r="L269" s="85"/>
      <c r="M269" s="85"/>
      <c r="N269" s="85"/>
      <c r="O269" s="85"/>
      <c r="P269" s="85"/>
      <c r="Q269" s="85"/>
      <c r="R269" s="85"/>
      <c r="S269" s="85"/>
      <c r="T269" s="85"/>
      <c r="U269" s="1"/>
      <c r="V269" s="1"/>
    </row>
    <row r="270" spans="3:22" x14ac:dyDescent="0.3">
      <c r="C270" s="21"/>
      <c r="D270" s="1"/>
      <c r="E270" s="1"/>
      <c r="F270" s="1"/>
      <c r="G270" s="1"/>
      <c r="H270" s="1"/>
      <c r="I270" s="1"/>
      <c r="J270" s="1"/>
      <c r="L270" s="85"/>
      <c r="M270" s="85"/>
      <c r="N270" s="85"/>
      <c r="O270" s="85"/>
      <c r="P270" s="85"/>
      <c r="Q270" s="85"/>
      <c r="R270" s="85"/>
      <c r="S270" s="85"/>
      <c r="T270" s="85"/>
      <c r="U270" s="1"/>
      <c r="V270" s="1"/>
    </row>
    <row r="271" spans="3:22" x14ac:dyDescent="0.3">
      <c r="C271" s="21"/>
      <c r="D271" s="1"/>
      <c r="E271" s="1"/>
      <c r="F271" s="1"/>
      <c r="G271" s="1"/>
      <c r="H271" s="1"/>
      <c r="I271" s="1"/>
      <c r="J271" s="1"/>
      <c r="L271" s="85"/>
      <c r="M271" s="85"/>
      <c r="N271" s="85"/>
      <c r="O271" s="85"/>
      <c r="P271" s="85"/>
      <c r="Q271" s="85"/>
      <c r="R271" s="85"/>
      <c r="S271" s="85"/>
      <c r="T271" s="85"/>
      <c r="U271" s="1"/>
      <c r="V271" s="1"/>
    </row>
    <row r="272" spans="3:22" x14ac:dyDescent="0.3">
      <c r="C272" s="21"/>
      <c r="D272" s="1"/>
      <c r="E272" s="1"/>
      <c r="F272" s="1"/>
      <c r="G272" s="1"/>
      <c r="H272" s="1"/>
      <c r="I272" s="1"/>
      <c r="J272" s="1"/>
      <c r="L272" s="85"/>
      <c r="M272" s="85"/>
      <c r="N272" s="85"/>
      <c r="O272" s="85"/>
      <c r="P272" s="85"/>
      <c r="Q272" s="85"/>
      <c r="R272" s="85"/>
      <c r="S272" s="85"/>
      <c r="T272" s="85"/>
      <c r="U272" s="1"/>
      <c r="V272" s="1"/>
    </row>
    <row r="273" spans="3:22" x14ac:dyDescent="0.3">
      <c r="C273" s="21"/>
      <c r="D273" s="1"/>
      <c r="E273" s="1"/>
      <c r="F273" s="1"/>
      <c r="G273" s="1"/>
      <c r="H273" s="1"/>
      <c r="I273" s="1"/>
      <c r="J273" s="1"/>
      <c r="L273" s="85"/>
      <c r="M273" s="85"/>
      <c r="N273" s="85"/>
      <c r="O273" s="85"/>
      <c r="P273" s="85"/>
      <c r="Q273" s="85"/>
      <c r="R273" s="85"/>
      <c r="S273" s="85"/>
      <c r="T273" s="85"/>
      <c r="U273" s="1"/>
      <c r="V273" s="1"/>
    </row>
    <row r="274" spans="3:22" x14ac:dyDescent="0.3">
      <c r="C274" s="21"/>
      <c r="D274" s="1"/>
      <c r="E274" s="1"/>
      <c r="F274" s="1"/>
      <c r="G274" s="1"/>
      <c r="H274" s="1"/>
      <c r="I274" s="1"/>
      <c r="J274" s="1"/>
      <c r="L274" s="85"/>
      <c r="M274" s="85"/>
      <c r="N274" s="85"/>
      <c r="O274" s="85"/>
      <c r="P274" s="85"/>
      <c r="Q274" s="85"/>
      <c r="R274" s="85"/>
      <c r="S274" s="85"/>
      <c r="T274" s="85"/>
      <c r="U274" s="1"/>
      <c r="V274" s="1"/>
    </row>
    <row r="275" spans="3:22" x14ac:dyDescent="0.3">
      <c r="C275" s="21"/>
      <c r="D275" s="1"/>
      <c r="E275" s="1"/>
      <c r="F275" s="1"/>
      <c r="G275" s="1"/>
      <c r="H275" s="1"/>
      <c r="I275" s="1"/>
      <c r="J275" s="1"/>
      <c r="L275" s="85"/>
      <c r="M275" s="85"/>
      <c r="N275" s="85"/>
      <c r="O275" s="85"/>
      <c r="P275" s="85"/>
      <c r="Q275" s="85"/>
      <c r="R275" s="85"/>
      <c r="S275" s="85"/>
      <c r="T275" s="85"/>
      <c r="U275" s="1"/>
      <c r="V275" s="1"/>
    </row>
    <row r="276" spans="3:22" x14ac:dyDescent="0.3">
      <c r="C276" s="21"/>
      <c r="D276" s="1"/>
      <c r="E276" s="1"/>
      <c r="F276" s="1"/>
      <c r="G276" s="1"/>
      <c r="H276" s="1"/>
      <c r="I276" s="1"/>
      <c r="J276" s="1"/>
      <c r="L276" s="85"/>
      <c r="M276" s="85"/>
      <c r="N276" s="85"/>
      <c r="O276" s="85"/>
      <c r="P276" s="85"/>
      <c r="Q276" s="85"/>
      <c r="R276" s="85"/>
      <c r="S276" s="85"/>
      <c r="T276" s="85"/>
      <c r="U276" s="1"/>
      <c r="V276" s="1"/>
    </row>
    <row r="277" spans="3:22" x14ac:dyDescent="0.3">
      <c r="C277" s="21"/>
      <c r="D277" s="1"/>
      <c r="E277" s="1"/>
      <c r="F277" s="1"/>
      <c r="G277" s="1"/>
      <c r="H277" s="1"/>
      <c r="I277" s="1"/>
      <c r="J277" s="1"/>
      <c r="L277" s="85"/>
      <c r="M277" s="85"/>
      <c r="N277" s="85"/>
      <c r="O277" s="85"/>
      <c r="P277" s="85"/>
      <c r="Q277" s="85"/>
      <c r="R277" s="85"/>
      <c r="S277" s="85"/>
      <c r="T277" s="85"/>
      <c r="U277" s="1"/>
      <c r="V277" s="1"/>
    </row>
    <row r="278" spans="3:22" x14ac:dyDescent="0.3">
      <c r="C278" s="21"/>
      <c r="D278" s="1"/>
      <c r="E278" s="1"/>
      <c r="F278" s="1"/>
      <c r="G278" s="1"/>
      <c r="H278" s="1"/>
      <c r="I278" s="1"/>
      <c r="J278" s="1"/>
      <c r="L278" s="85"/>
      <c r="M278" s="85"/>
      <c r="N278" s="85"/>
      <c r="O278" s="85"/>
      <c r="P278" s="85"/>
      <c r="Q278" s="85"/>
      <c r="R278" s="85"/>
      <c r="S278" s="85"/>
      <c r="T278" s="85"/>
      <c r="U278" s="1"/>
      <c r="V278" s="1"/>
    </row>
    <row r="279" spans="3:22" x14ac:dyDescent="0.3">
      <c r="C279" s="21"/>
      <c r="D279" s="1"/>
      <c r="E279" s="1"/>
      <c r="F279" s="1"/>
      <c r="G279" s="1"/>
      <c r="H279" s="1"/>
      <c r="I279" s="1"/>
      <c r="J279" s="1"/>
      <c r="L279" s="85"/>
      <c r="M279" s="85"/>
      <c r="N279" s="85"/>
      <c r="O279" s="85"/>
      <c r="P279" s="85"/>
      <c r="Q279" s="85"/>
      <c r="R279" s="85"/>
      <c r="S279" s="85"/>
      <c r="T279" s="85"/>
      <c r="U279" s="1"/>
      <c r="V279" s="1"/>
    </row>
    <row r="280" spans="3:22" x14ac:dyDescent="0.3">
      <c r="C280" s="21"/>
      <c r="D280" s="1"/>
      <c r="E280" s="1"/>
      <c r="F280" s="1"/>
      <c r="G280" s="1"/>
      <c r="H280" s="1"/>
      <c r="I280" s="1"/>
      <c r="J280" s="1"/>
      <c r="L280" s="85"/>
      <c r="M280" s="85"/>
      <c r="N280" s="85"/>
      <c r="O280" s="85"/>
      <c r="P280" s="85"/>
      <c r="Q280" s="85"/>
      <c r="R280" s="85"/>
      <c r="S280" s="85"/>
      <c r="T280" s="85"/>
      <c r="U280" s="1"/>
      <c r="V280" s="1"/>
    </row>
    <row r="281" spans="3:22" x14ac:dyDescent="0.3">
      <c r="C281" s="21"/>
      <c r="D281" s="1"/>
      <c r="E281" s="1"/>
      <c r="F281" s="1"/>
      <c r="G281" s="1"/>
      <c r="H281" s="1"/>
      <c r="I281" s="1"/>
      <c r="J281" s="1"/>
      <c r="L281" s="85"/>
      <c r="M281" s="85"/>
      <c r="N281" s="85"/>
      <c r="O281" s="85"/>
      <c r="P281" s="85"/>
      <c r="Q281" s="85"/>
      <c r="R281" s="85"/>
      <c r="S281" s="85"/>
      <c r="T281" s="85"/>
      <c r="U281" s="1"/>
      <c r="V281" s="1"/>
    </row>
    <row r="282" spans="3:22" x14ac:dyDescent="0.3">
      <c r="C282" s="21"/>
      <c r="D282" s="1"/>
      <c r="E282" s="1"/>
      <c r="F282" s="1"/>
      <c r="G282" s="1"/>
      <c r="H282" s="1"/>
      <c r="I282" s="1"/>
      <c r="J282" s="1"/>
      <c r="L282" s="85"/>
      <c r="M282" s="85"/>
      <c r="N282" s="85"/>
      <c r="O282" s="85"/>
      <c r="P282" s="85"/>
      <c r="Q282" s="85"/>
      <c r="R282" s="85"/>
      <c r="S282" s="85"/>
      <c r="T282" s="85"/>
      <c r="U282" s="1"/>
      <c r="V282" s="1"/>
    </row>
    <row r="283" spans="3:22" x14ac:dyDescent="0.3">
      <c r="C283" s="21"/>
      <c r="D283" s="1"/>
      <c r="E283" s="1"/>
      <c r="F283" s="1"/>
      <c r="G283" s="1"/>
      <c r="H283" s="1"/>
      <c r="I283" s="1"/>
      <c r="J283" s="1"/>
      <c r="L283" s="85"/>
      <c r="M283" s="85"/>
      <c r="N283" s="85"/>
      <c r="O283" s="85"/>
      <c r="P283" s="85"/>
      <c r="Q283" s="85"/>
      <c r="R283" s="85"/>
      <c r="S283" s="85"/>
      <c r="T283" s="85"/>
      <c r="U283" s="1"/>
      <c r="V283" s="1"/>
    </row>
    <row r="284" spans="3:22" x14ac:dyDescent="0.3">
      <c r="C284" s="21"/>
      <c r="D284" s="1"/>
      <c r="E284" s="1"/>
      <c r="F284" s="1"/>
      <c r="G284" s="1"/>
      <c r="H284" s="1"/>
      <c r="I284" s="1"/>
      <c r="J284" s="1"/>
      <c r="L284" s="85"/>
      <c r="M284" s="85"/>
      <c r="N284" s="85"/>
      <c r="O284" s="85"/>
      <c r="P284" s="85"/>
      <c r="Q284" s="85"/>
      <c r="R284" s="85"/>
      <c r="S284" s="85"/>
      <c r="T284" s="85"/>
      <c r="U284" s="1"/>
      <c r="V284" s="1"/>
    </row>
    <row r="285" spans="3:22" x14ac:dyDescent="0.3">
      <c r="C285" s="21"/>
      <c r="D285" s="1"/>
      <c r="E285" s="1"/>
      <c r="F285" s="1"/>
      <c r="G285" s="1"/>
      <c r="H285" s="1"/>
      <c r="I285" s="1"/>
      <c r="J285" s="1"/>
      <c r="L285" s="85"/>
      <c r="M285" s="85"/>
      <c r="N285" s="85"/>
      <c r="O285" s="85"/>
      <c r="P285" s="85"/>
      <c r="Q285" s="85"/>
      <c r="R285" s="85"/>
      <c r="S285" s="85"/>
      <c r="T285" s="85"/>
      <c r="U285" s="1"/>
      <c r="V285" s="1"/>
    </row>
    <row r="286" spans="3:22" x14ac:dyDescent="0.3">
      <c r="C286" s="21"/>
      <c r="D286" s="1"/>
      <c r="E286" s="1"/>
      <c r="F286" s="1"/>
      <c r="G286" s="1"/>
      <c r="H286" s="1"/>
      <c r="I286" s="1"/>
      <c r="J286" s="1"/>
      <c r="L286" s="85"/>
      <c r="M286" s="85"/>
      <c r="N286" s="85"/>
      <c r="O286" s="85"/>
      <c r="P286" s="85"/>
      <c r="Q286" s="85"/>
      <c r="R286" s="85"/>
      <c r="S286" s="85"/>
      <c r="T286" s="85"/>
      <c r="U286" s="1"/>
      <c r="V286" s="1"/>
    </row>
    <row r="287" spans="3:22" x14ac:dyDescent="0.3">
      <c r="C287" s="21"/>
      <c r="D287" s="1"/>
      <c r="E287" s="1"/>
      <c r="F287" s="1"/>
      <c r="G287" s="1"/>
      <c r="H287" s="1"/>
      <c r="I287" s="1"/>
      <c r="J287" s="1"/>
      <c r="L287" s="85"/>
      <c r="M287" s="85"/>
      <c r="N287" s="85"/>
      <c r="O287" s="85"/>
      <c r="P287" s="85"/>
      <c r="Q287" s="85"/>
      <c r="R287" s="85"/>
      <c r="S287" s="85"/>
      <c r="T287" s="85"/>
      <c r="U287" s="1"/>
      <c r="V287" s="1"/>
    </row>
    <row r="288" spans="3:22" x14ac:dyDescent="0.3">
      <c r="C288" s="21"/>
      <c r="D288" s="1"/>
      <c r="E288" s="1"/>
      <c r="F288" s="1"/>
      <c r="G288" s="1"/>
      <c r="H288" s="1"/>
      <c r="I288" s="1"/>
      <c r="J288" s="1"/>
      <c r="L288" s="85"/>
      <c r="M288" s="85"/>
      <c r="N288" s="85"/>
      <c r="O288" s="85"/>
      <c r="P288" s="85"/>
      <c r="Q288" s="85"/>
      <c r="R288" s="85"/>
      <c r="S288" s="85"/>
      <c r="T288" s="85"/>
      <c r="U288" s="1"/>
      <c r="V288" s="1"/>
    </row>
    <row r="289" spans="3:22" x14ac:dyDescent="0.3">
      <c r="C289" s="21"/>
      <c r="D289" s="1"/>
      <c r="E289" s="1"/>
      <c r="F289" s="1"/>
      <c r="G289" s="1"/>
      <c r="H289" s="1"/>
      <c r="I289" s="1"/>
      <c r="J289" s="1"/>
      <c r="L289" s="85"/>
      <c r="M289" s="85"/>
      <c r="N289" s="85"/>
      <c r="O289" s="85"/>
      <c r="P289" s="85"/>
      <c r="Q289" s="85"/>
      <c r="R289" s="85"/>
      <c r="S289" s="85"/>
      <c r="T289" s="85"/>
      <c r="U289" s="1"/>
      <c r="V289" s="1"/>
    </row>
    <row r="290" spans="3:22" x14ac:dyDescent="0.3">
      <c r="C290" s="21"/>
      <c r="D290" s="1"/>
      <c r="E290" s="1"/>
      <c r="F290" s="1"/>
      <c r="G290" s="1"/>
      <c r="H290" s="1"/>
      <c r="I290" s="1"/>
      <c r="J290" s="1"/>
      <c r="L290" s="85"/>
      <c r="M290" s="85"/>
      <c r="N290" s="85"/>
      <c r="O290" s="85"/>
      <c r="P290" s="85"/>
      <c r="Q290" s="85"/>
      <c r="R290" s="85"/>
      <c r="S290" s="85"/>
      <c r="T290" s="85"/>
      <c r="U290" s="1"/>
      <c r="V290" s="1"/>
    </row>
    <row r="291" spans="3:22" x14ac:dyDescent="0.3">
      <c r="C291" s="21"/>
      <c r="D291" s="1"/>
      <c r="E291" s="1"/>
      <c r="F291" s="1"/>
      <c r="G291" s="1"/>
      <c r="H291" s="1"/>
      <c r="I291" s="1"/>
      <c r="J291" s="1"/>
      <c r="L291" s="85"/>
      <c r="M291" s="85"/>
      <c r="N291" s="85"/>
      <c r="O291" s="85"/>
      <c r="P291" s="85"/>
      <c r="Q291" s="85"/>
      <c r="R291" s="85"/>
      <c r="S291" s="85"/>
      <c r="T291" s="85"/>
      <c r="U291" s="1"/>
      <c r="V291" s="1"/>
    </row>
    <row r="292" spans="3:22" x14ac:dyDescent="0.3">
      <c r="C292" s="21"/>
      <c r="D292" s="1"/>
      <c r="E292" s="1"/>
      <c r="F292" s="1"/>
      <c r="G292" s="1"/>
      <c r="H292" s="1"/>
      <c r="I292" s="1"/>
      <c r="J292" s="1"/>
      <c r="L292" s="85"/>
      <c r="M292" s="85"/>
      <c r="N292" s="85"/>
      <c r="O292" s="85"/>
      <c r="P292" s="85"/>
      <c r="Q292" s="85"/>
      <c r="R292" s="85"/>
      <c r="S292" s="85"/>
      <c r="T292" s="85"/>
      <c r="U292" s="1"/>
      <c r="V292" s="1"/>
    </row>
    <row r="293" spans="3:22" x14ac:dyDescent="0.3">
      <c r="C293" s="21"/>
      <c r="D293" s="1"/>
      <c r="E293" s="1"/>
      <c r="F293" s="1"/>
      <c r="G293" s="1"/>
      <c r="H293" s="1"/>
      <c r="I293" s="1"/>
      <c r="J293" s="1"/>
      <c r="L293" s="85"/>
      <c r="M293" s="85"/>
      <c r="N293" s="85"/>
      <c r="O293" s="85"/>
      <c r="P293" s="85"/>
      <c r="Q293" s="85"/>
      <c r="R293" s="85"/>
      <c r="S293" s="85"/>
      <c r="T293" s="85"/>
      <c r="U293" s="1"/>
      <c r="V293" s="1"/>
    </row>
    <row r="294" spans="3:22" x14ac:dyDescent="0.3">
      <c r="C294" s="21"/>
      <c r="D294" s="1"/>
      <c r="E294" s="1"/>
      <c r="F294" s="1"/>
      <c r="G294" s="1"/>
      <c r="H294" s="1"/>
      <c r="I294" s="1"/>
      <c r="J294" s="1"/>
      <c r="L294" s="85"/>
      <c r="M294" s="85"/>
      <c r="N294" s="85"/>
      <c r="O294" s="85"/>
      <c r="P294" s="85"/>
      <c r="Q294" s="85"/>
      <c r="R294" s="85"/>
      <c r="S294" s="85"/>
      <c r="T294" s="85"/>
      <c r="U294" s="1"/>
      <c r="V294" s="1"/>
    </row>
    <row r="295" spans="3:22" x14ac:dyDescent="0.3">
      <c r="C295" s="21"/>
      <c r="D295" s="1"/>
      <c r="E295" s="1"/>
      <c r="F295" s="1"/>
      <c r="G295" s="1"/>
      <c r="H295" s="1"/>
      <c r="I295" s="1"/>
      <c r="J295" s="1"/>
      <c r="L295" s="85"/>
      <c r="M295" s="85"/>
      <c r="N295" s="85"/>
      <c r="O295" s="85"/>
      <c r="P295" s="85"/>
      <c r="Q295" s="85"/>
      <c r="R295" s="85"/>
      <c r="S295" s="85"/>
      <c r="T295" s="85"/>
      <c r="U295" s="1"/>
      <c r="V295" s="1"/>
    </row>
    <row r="296" spans="3:22" x14ac:dyDescent="0.3">
      <c r="C296" s="21"/>
      <c r="D296" s="1"/>
      <c r="E296" s="1"/>
      <c r="F296" s="1"/>
      <c r="G296" s="1"/>
      <c r="H296" s="1"/>
      <c r="I296" s="1"/>
      <c r="J296" s="1"/>
      <c r="L296" s="85"/>
      <c r="M296" s="85"/>
      <c r="N296" s="85"/>
      <c r="O296" s="85"/>
      <c r="P296" s="85"/>
      <c r="Q296" s="85"/>
      <c r="R296" s="85"/>
      <c r="S296" s="85"/>
      <c r="T296" s="85"/>
      <c r="U296" s="1"/>
      <c r="V296" s="1"/>
    </row>
    <row r="297" spans="3:22" x14ac:dyDescent="0.3">
      <c r="C297" s="21"/>
      <c r="D297" s="1"/>
      <c r="E297" s="1"/>
      <c r="F297" s="1"/>
      <c r="G297" s="1"/>
      <c r="H297" s="1"/>
      <c r="I297" s="1"/>
      <c r="J297" s="1"/>
      <c r="L297" s="85"/>
      <c r="M297" s="85"/>
      <c r="N297" s="85"/>
      <c r="O297" s="85"/>
      <c r="P297" s="85"/>
      <c r="Q297" s="85"/>
      <c r="R297" s="85"/>
      <c r="S297" s="85"/>
      <c r="T297" s="85"/>
      <c r="U297" s="1"/>
      <c r="V297" s="1"/>
    </row>
    <row r="298" spans="3:22" x14ac:dyDescent="0.3">
      <c r="C298" s="21"/>
      <c r="D298" s="1"/>
      <c r="E298" s="1"/>
      <c r="F298" s="1"/>
      <c r="G298" s="1"/>
      <c r="H298" s="1"/>
      <c r="I298" s="1"/>
      <c r="J298" s="1"/>
      <c r="L298" s="85"/>
      <c r="M298" s="85"/>
      <c r="N298" s="85"/>
      <c r="O298" s="85"/>
      <c r="P298" s="85"/>
      <c r="Q298" s="85"/>
      <c r="R298" s="85"/>
      <c r="S298" s="85"/>
      <c r="T298" s="85"/>
      <c r="U298" s="1"/>
      <c r="V298" s="1"/>
    </row>
    <row r="299" spans="3:22" x14ac:dyDescent="0.3">
      <c r="C299" s="21"/>
      <c r="D299" s="1"/>
      <c r="E299" s="1"/>
      <c r="F299" s="1"/>
      <c r="G299" s="1"/>
      <c r="H299" s="1"/>
      <c r="I299" s="1"/>
      <c r="J299" s="1"/>
      <c r="L299" s="85"/>
      <c r="M299" s="85"/>
      <c r="N299" s="85"/>
      <c r="O299" s="85"/>
      <c r="P299" s="85"/>
      <c r="Q299" s="85"/>
      <c r="R299" s="85"/>
      <c r="S299" s="85"/>
      <c r="T299" s="85"/>
      <c r="U299" s="1"/>
      <c r="V299" s="1"/>
    </row>
    <row r="300" spans="3:22" x14ac:dyDescent="0.3">
      <c r="C300" s="21"/>
      <c r="D300" s="1"/>
      <c r="E300" s="1"/>
      <c r="F300" s="1"/>
      <c r="G300" s="1"/>
      <c r="H300" s="1"/>
      <c r="I300" s="1"/>
      <c r="J300" s="1"/>
      <c r="L300" s="85"/>
      <c r="M300" s="85"/>
      <c r="N300" s="85"/>
      <c r="O300" s="85"/>
      <c r="P300" s="85"/>
      <c r="Q300" s="85"/>
      <c r="R300" s="85"/>
      <c r="S300" s="85"/>
      <c r="T300" s="85"/>
      <c r="U300" s="1"/>
      <c r="V300" s="1"/>
    </row>
    <row r="301" spans="3:22" x14ac:dyDescent="0.3">
      <c r="C301" s="21"/>
      <c r="D301" s="1"/>
      <c r="E301" s="1"/>
      <c r="F301" s="1"/>
      <c r="G301" s="1"/>
      <c r="H301" s="1"/>
      <c r="I301" s="1"/>
      <c r="J301" s="1"/>
      <c r="L301" s="85"/>
      <c r="M301" s="85"/>
      <c r="N301" s="85"/>
      <c r="O301" s="85"/>
      <c r="P301" s="85"/>
      <c r="Q301" s="85"/>
      <c r="R301" s="85"/>
      <c r="S301" s="85"/>
      <c r="T301" s="85"/>
      <c r="U301" s="1"/>
      <c r="V301" s="1"/>
    </row>
    <row r="302" spans="3:22" x14ac:dyDescent="0.3">
      <c r="C302" s="21"/>
      <c r="D302" s="1"/>
      <c r="E302" s="1"/>
      <c r="F302" s="1"/>
      <c r="G302" s="1"/>
      <c r="H302" s="1"/>
      <c r="I302" s="1"/>
      <c r="J302" s="1"/>
      <c r="L302" s="85"/>
      <c r="M302" s="85"/>
      <c r="N302" s="85"/>
      <c r="O302" s="85"/>
      <c r="P302" s="85"/>
      <c r="Q302" s="85"/>
      <c r="R302" s="85"/>
      <c r="S302" s="85"/>
      <c r="T302" s="85"/>
      <c r="U302" s="1"/>
      <c r="V302" s="1"/>
    </row>
    <row r="303" spans="3:22" x14ac:dyDescent="0.3">
      <c r="C303" s="21"/>
      <c r="D303" s="1"/>
      <c r="E303" s="1"/>
      <c r="F303" s="1"/>
      <c r="G303" s="1"/>
      <c r="H303" s="1"/>
      <c r="I303" s="1"/>
      <c r="J303" s="1"/>
      <c r="L303" s="85"/>
      <c r="M303" s="85"/>
      <c r="N303" s="85"/>
      <c r="O303" s="85"/>
      <c r="P303" s="85"/>
      <c r="Q303" s="85"/>
      <c r="R303" s="85"/>
      <c r="S303" s="85"/>
      <c r="T303" s="85"/>
      <c r="U303" s="1"/>
      <c r="V303" s="1"/>
    </row>
    <row r="304" spans="3:22" x14ac:dyDescent="0.3">
      <c r="C304" s="21"/>
      <c r="D304" s="1"/>
      <c r="E304" s="1"/>
      <c r="F304" s="1"/>
      <c r="G304" s="1"/>
      <c r="H304" s="1"/>
      <c r="I304" s="1"/>
      <c r="J304" s="1"/>
      <c r="L304" s="85"/>
      <c r="M304" s="85"/>
      <c r="N304" s="85"/>
      <c r="O304" s="85"/>
      <c r="P304" s="85"/>
      <c r="Q304" s="85"/>
      <c r="R304" s="85"/>
      <c r="S304" s="85"/>
      <c r="T304" s="85"/>
      <c r="U304" s="1"/>
      <c r="V304" s="1"/>
    </row>
    <row r="305" spans="3:22" x14ac:dyDescent="0.3">
      <c r="C305" s="21"/>
      <c r="D305" s="1"/>
      <c r="E305" s="1"/>
      <c r="F305" s="1"/>
      <c r="G305" s="1"/>
      <c r="H305" s="1"/>
      <c r="I305" s="1"/>
      <c r="J305" s="1"/>
      <c r="L305" s="85"/>
      <c r="M305" s="85"/>
      <c r="N305" s="85"/>
      <c r="O305" s="85"/>
      <c r="P305" s="85"/>
      <c r="Q305" s="85"/>
      <c r="R305" s="85"/>
      <c r="S305" s="85"/>
      <c r="T305" s="85"/>
      <c r="U305" s="1"/>
      <c r="V305" s="1"/>
    </row>
    <row r="306" spans="3:22" x14ac:dyDescent="0.3">
      <c r="C306" s="21"/>
      <c r="D306" s="1"/>
      <c r="E306" s="1"/>
      <c r="F306" s="1"/>
      <c r="G306" s="1"/>
      <c r="H306" s="1"/>
      <c r="I306" s="1"/>
      <c r="J306" s="1"/>
      <c r="L306" s="85"/>
      <c r="M306" s="85"/>
      <c r="N306" s="85"/>
      <c r="O306" s="85"/>
      <c r="P306" s="85"/>
      <c r="Q306" s="85"/>
      <c r="R306" s="85"/>
      <c r="S306" s="85"/>
      <c r="T306" s="85"/>
      <c r="U306" s="1"/>
      <c r="V306" s="1"/>
    </row>
    <row r="307" spans="3:22" x14ac:dyDescent="0.3">
      <c r="C307" s="21"/>
      <c r="D307" s="1"/>
      <c r="E307" s="1"/>
      <c r="F307" s="1"/>
      <c r="G307" s="1"/>
      <c r="H307" s="1"/>
      <c r="I307" s="1"/>
      <c r="J307" s="1"/>
      <c r="L307" s="85"/>
      <c r="M307" s="85"/>
      <c r="N307" s="85"/>
      <c r="O307" s="85"/>
      <c r="P307" s="85"/>
      <c r="Q307" s="85"/>
      <c r="R307" s="85"/>
      <c r="S307" s="85"/>
      <c r="T307" s="85"/>
      <c r="U307" s="1"/>
      <c r="V307" s="1"/>
    </row>
    <row r="308" spans="3:22" x14ac:dyDescent="0.3">
      <c r="C308" s="21"/>
      <c r="D308" s="1"/>
      <c r="E308" s="1"/>
      <c r="F308" s="1"/>
      <c r="G308" s="1"/>
      <c r="H308" s="1"/>
      <c r="I308" s="1"/>
      <c r="J308" s="1"/>
      <c r="L308" s="85"/>
      <c r="M308" s="85"/>
      <c r="N308" s="85"/>
      <c r="O308" s="85"/>
      <c r="P308" s="85"/>
      <c r="Q308" s="85"/>
      <c r="R308" s="85"/>
      <c r="S308" s="85"/>
      <c r="T308" s="85"/>
      <c r="U308" s="1"/>
      <c r="V308" s="1"/>
    </row>
    <row r="309" spans="3:22" x14ac:dyDescent="0.3">
      <c r="C309" s="21"/>
      <c r="D309" s="1"/>
      <c r="E309" s="1"/>
      <c r="F309" s="1"/>
      <c r="G309" s="1"/>
      <c r="H309" s="1"/>
      <c r="I309" s="1"/>
      <c r="J309" s="1"/>
      <c r="L309" s="85"/>
      <c r="M309" s="85"/>
      <c r="N309" s="85"/>
      <c r="O309" s="85"/>
      <c r="P309" s="85"/>
      <c r="Q309" s="85"/>
      <c r="R309" s="85"/>
      <c r="S309" s="85"/>
      <c r="T309" s="85"/>
      <c r="U309" s="1"/>
      <c r="V309" s="1"/>
    </row>
    <row r="310" spans="3:22" x14ac:dyDescent="0.3">
      <c r="C310" s="21"/>
      <c r="D310" s="1"/>
      <c r="E310" s="1"/>
      <c r="F310" s="1"/>
      <c r="G310" s="1"/>
      <c r="H310" s="1"/>
      <c r="I310" s="1"/>
      <c r="J310" s="1"/>
      <c r="L310" s="85"/>
      <c r="M310" s="85"/>
      <c r="N310" s="85"/>
      <c r="O310" s="85"/>
      <c r="P310" s="85"/>
      <c r="Q310" s="85"/>
      <c r="R310" s="85"/>
      <c r="S310" s="85"/>
      <c r="T310" s="85"/>
      <c r="U310" s="1"/>
      <c r="V310" s="1"/>
    </row>
    <row r="311" spans="3:22" x14ac:dyDescent="0.3">
      <c r="C311" s="21"/>
      <c r="D311" s="1"/>
      <c r="E311" s="1"/>
      <c r="F311" s="1"/>
      <c r="G311" s="1"/>
      <c r="H311" s="1"/>
      <c r="I311" s="1"/>
      <c r="J311" s="1"/>
      <c r="L311" s="85"/>
      <c r="M311" s="85"/>
      <c r="N311" s="85"/>
      <c r="O311" s="85"/>
      <c r="P311" s="85"/>
      <c r="Q311" s="85"/>
      <c r="R311" s="85"/>
      <c r="S311" s="85"/>
      <c r="T311" s="85"/>
      <c r="U311" s="1"/>
      <c r="V311" s="1"/>
    </row>
    <row r="312" spans="3:22" x14ac:dyDescent="0.3">
      <c r="C312" s="21"/>
      <c r="D312" s="1"/>
      <c r="E312" s="1"/>
      <c r="F312" s="1"/>
      <c r="G312" s="1"/>
      <c r="H312" s="1"/>
      <c r="I312" s="1"/>
      <c r="J312" s="1"/>
      <c r="L312" s="85"/>
      <c r="M312" s="85"/>
      <c r="N312" s="85"/>
      <c r="O312" s="85"/>
      <c r="P312" s="85"/>
      <c r="Q312" s="85"/>
      <c r="R312" s="85"/>
      <c r="S312" s="85"/>
      <c r="T312" s="85"/>
      <c r="U312" s="1"/>
      <c r="V312" s="1"/>
    </row>
    <row r="313" spans="3:22" x14ac:dyDescent="0.3">
      <c r="C313" s="21"/>
      <c r="D313" s="1"/>
      <c r="E313" s="1"/>
      <c r="F313" s="1"/>
      <c r="G313" s="1"/>
      <c r="H313" s="1"/>
      <c r="I313" s="1"/>
      <c r="J313" s="1"/>
      <c r="L313" s="85"/>
      <c r="M313" s="85"/>
      <c r="N313" s="85"/>
      <c r="O313" s="85"/>
      <c r="P313" s="85"/>
      <c r="Q313" s="85"/>
      <c r="R313" s="85"/>
      <c r="S313" s="85"/>
      <c r="T313" s="85"/>
      <c r="U313" s="1"/>
      <c r="V313" s="1"/>
    </row>
    <row r="314" spans="3:22" x14ac:dyDescent="0.3">
      <c r="C314" s="21"/>
      <c r="D314" s="1"/>
      <c r="E314" s="1"/>
      <c r="F314" s="1"/>
      <c r="G314" s="1"/>
      <c r="H314" s="1"/>
      <c r="I314" s="1"/>
      <c r="J314" s="1"/>
      <c r="L314" s="85"/>
      <c r="M314" s="85"/>
      <c r="N314" s="85"/>
      <c r="O314" s="85"/>
      <c r="P314" s="85"/>
      <c r="Q314" s="85"/>
      <c r="R314" s="85"/>
      <c r="S314" s="85"/>
      <c r="T314" s="85"/>
      <c r="U314" s="1"/>
      <c r="V314" s="1"/>
    </row>
    <row r="315" spans="3:22" x14ac:dyDescent="0.3">
      <c r="C315" s="21"/>
      <c r="D315" s="1"/>
      <c r="E315" s="1"/>
      <c r="F315" s="1"/>
      <c r="G315" s="1"/>
      <c r="H315" s="1"/>
      <c r="I315" s="1"/>
      <c r="J315" s="1"/>
      <c r="L315" s="85"/>
      <c r="M315" s="85"/>
      <c r="N315" s="85"/>
      <c r="O315" s="85"/>
      <c r="P315" s="85"/>
      <c r="Q315" s="85"/>
      <c r="R315" s="85"/>
      <c r="S315" s="85"/>
      <c r="T315" s="85"/>
      <c r="U315" s="1"/>
      <c r="V315" s="1"/>
    </row>
    <row r="316" spans="3:22" x14ac:dyDescent="0.3">
      <c r="C316" s="21"/>
      <c r="D316" s="1"/>
      <c r="E316" s="1"/>
      <c r="F316" s="1"/>
      <c r="G316" s="1"/>
      <c r="H316" s="1"/>
      <c r="I316" s="1"/>
      <c r="J316" s="1"/>
      <c r="L316" s="85"/>
      <c r="M316" s="85"/>
      <c r="N316" s="85"/>
      <c r="O316" s="85"/>
      <c r="P316" s="85"/>
      <c r="Q316" s="85"/>
      <c r="R316" s="85"/>
      <c r="S316" s="85"/>
      <c r="T316" s="85"/>
      <c r="U316" s="1"/>
      <c r="V316" s="1"/>
    </row>
    <row r="317" spans="3:22" x14ac:dyDescent="0.3">
      <c r="C317" s="21"/>
      <c r="D317" s="1"/>
      <c r="E317" s="1"/>
      <c r="F317" s="1"/>
      <c r="G317" s="1"/>
      <c r="H317" s="1"/>
      <c r="I317" s="1"/>
      <c r="J317" s="1"/>
      <c r="L317" s="85"/>
      <c r="M317" s="85"/>
      <c r="N317" s="85"/>
      <c r="O317" s="85"/>
      <c r="P317" s="85"/>
      <c r="Q317" s="85"/>
      <c r="R317" s="85"/>
      <c r="S317" s="85"/>
      <c r="T317" s="85"/>
      <c r="U317" s="1"/>
      <c r="V317" s="1"/>
    </row>
    <row r="318" spans="3:22" x14ac:dyDescent="0.3">
      <c r="C318" s="21"/>
      <c r="D318" s="1"/>
      <c r="E318" s="1"/>
      <c r="F318" s="1"/>
      <c r="G318" s="1"/>
      <c r="H318" s="1"/>
      <c r="I318" s="1"/>
      <c r="J318" s="1"/>
      <c r="L318" s="85"/>
      <c r="M318" s="85"/>
      <c r="N318" s="85"/>
      <c r="O318" s="85"/>
      <c r="P318" s="85"/>
      <c r="Q318" s="85"/>
      <c r="R318" s="85"/>
      <c r="S318" s="85"/>
      <c r="T318" s="85"/>
      <c r="U318" s="1"/>
      <c r="V318" s="1"/>
    </row>
    <row r="319" spans="3:22" x14ac:dyDescent="0.3">
      <c r="C319" s="21"/>
      <c r="D319" s="1"/>
      <c r="E319" s="1"/>
      <c r="F319" s="1"/>
      <c r="G319" s="1"/>
      <c r="H319" s="1"/>
      <c r="I319" s="1"/>
      <c r="J319" s="1"/>
      <c r="L319" s="85"/>
      <c r="M319" s="85"/>
      <c r="N319" s="85"/>
      <c r="O319" s="85"/>
      <c r="P319" s="85"/>
      <c r="Q319" s="85"/>
      <c r="R319" s="85"/>
      <c r="S319" s="85"/>
      <c r="T319" s="85"/>
      <c r="U319" s="1"/>
      <c r="V319" s="1"/>
    </row>
    <row r="320" spans="3:22" x14ac:dyDescent="0.3">
      <c r="C320" s="21"/>
      <c r="D320" s="1"/>
      <c r="E320" s="1"/>
      <c r="F320" s="1"/>
      <c r="G320" s="1"/>
      <c r="H320" s="1"/>
      <c r="I320" s="1"/>
      <c r="J320" s="1"/>
      <c r="L320" s="85"/>
      <c r="M320" s="85"/>
      <c r="N320" s="85"/>
      <c r="O320" s="85"/>
      <c r="P320" s="85"/>
      <c r="Q320" s="85"/>
      <c r="R320" s="85"/>
      <c r="S320" s="85"/>
      <c r="T320" s="85"/>
      <c r="U320" s="1"/>
      <c r="V320" s="1"/>
    </row>
    <row r="321" spans="3:22" ht="13.5" customHeight="1" x14ac:dyDescent="0.3">
      <c r="C321" s="21"/>
      <c r="D321" s="1"/>
      <c r="E321" s="1"/>
      <c r="F321" s="1"/>
      <c r="G321" s="1"/>
      <c r="H321" s="1"/>
      <c r="I321" s="1"/>
      <c r="J321" s="1"/>
      <c r="L321" s="85"/>
      <c r="M321" s="85"/>
      <c r="N321" s="85"/>
      <c r="O321" s="85"/>
      <c r="P321" s="85"/>
      <c r="Q321" s="85"/>
      <c r="R321" s="85"/>
      <c r="S321" s="85"/>
      <c r="T321" s="85"/>
      <c r="U321" s="1"/>
      <c r="V321" s="1"/>
    </row>
    <row r="322" spans="3:22" x14ac:dyDescent="0.3">
      <c r="C322" s="21"/>
      <c r="D322" s="1"/>
      <c r="E322" s="1"/>
      <c r="F322" s="1"/>
      <c r="G322" s="1"/>
      <c r="H322" s="1"/>
      <c r="I322" s="1"/>
      <c r="J322" s="1"/>
      <c r="L322" s="85"/>
      <c r="M322" s="85"/>
      <c r="N322" s="85"/>
      <c r="O322" s="85"/>
      <c r="P322" s="85"/>
      <c r="Q322" s="85"/>
      <c r="R322" s="85"/>
      <c r="S322" s="85"/>
      <c r="T322" s="85"/>
      <c r="U322" s="1"/>
      <c r="V322" s="1"/>
    </row>
    <row r="323" spans="3:22" x14ac:dyDescent="0.3">
      <c r="C323" s="21"/>
      <c r="D323" s="1"/>
      <c r="E323" s="1"/>
      <c r="F323" s="1"/>
      <c r="G323" s="1"/>
      <c r="H323" s="1"/>
      <c r="I323" s="1"/>
      <c r="J323" s="1"/>
      <c r="L323" s="85"/>
      <c r="M323" s="85"/>
      <c r="N323" s="85"/>
      <c r="O323" s="85"/>
      <c r="P323" s="85"/>
      <c r="Q323" s="85"/>
      <c r="R323" s="85"/>
      <c r="S323" s="85"/>
      <c r="T323" s="85"/>
      <c r="U323" s="1"/>
      <c r="V323" s="1"/>
    </row>
    <row r="324" spans="3:22" x14ac:dyDescent="0.3">
      <c r="C324" s="21"/>
      <c r="D324" s="1"/>
      <c r="E324" s="1"/>
      <c r="F324" s="1"/>
      <c r="G324" s="1"/>
      <c r="H324" s="1"/>
      <c r="I324" s="1"/>
      <c r="J324" s="1"/>
      <c r="L324" s="85"/>
      <c r="M324" s="85"/>
      <c r="N324" s="85"/>
      <c r="O324" s="85"/>
      <c r="P324" s="85"/>
      <c r="Q324" s="85"/>
      <c r="R324" s="85"/>
      <c r="S324" s="85"/>
      <c r="T324" s="85"/>
      <c r="U324" s="1"/>
      <c r="V324" s="1"/>
    </row>
    <row r="325" spans="3:22" x14ac:dyDescent="0.3">
      <c r="C325" s="21"/>
      <c r="D325" s="1"/>
      <c r="E325" s="1"/>
      <c r="F325" s="1"/>
      <c r="G325" s="1"/>
      <c r="H325" s="1"/>
      <c r="I325" s="1"/>
      <c r="J325" s="1"/>
      <c r="L325" s="85"/>
      <c r="M325" s="85"/>
      <c r="N325" s="85"/>
      <c r="O325" s="85"/>
      <c r="P325" s="85"/>
      <c r="Q325" s="85"/>
      <c r="R325" s="85"/>
      <c r="S325" s="85"/>
      <c r="T325" s="85"/>
      <c r="U325" s="1"/>
      <c r="V325" s="1"/>
    </row>
    <row r="326" spans="3:22" x14ac:dyDescent="0.3">
      <c r="C326" s="21"/>
      <c r="D326" s="1"/>
      <c r="E326" s="1"/>
      <c r="F326" s="1"/>
      <c r="G326" s="1"/>
      <c r="H326" s="1"/>
      <c r="I326" s="1"/>
      <c r="J326" s="1"/>
      <c r="L326" s="85"/>
      <c r="M326" s="85"/>
      <c r="N326" s="85"/>
      <c r="O326" s="85"/>
      <c r="P326" s="85"/>
      <c r="Q326" s="85"/>
      <c r="R326" s="85"/>
      <c r="S326" s="85"/>
      <c r="T326" s="85"/>
      <c r="U326" s="1"/>
      <c r="V326" s="1"/>
    </row>
    <row r="327" spans="3:22" x14ac:dyDescent="0.3">
      <c r="C327" s="21"/>
      <c r="D327" s="1"/>
      <c r="E327" s="1"/>
      <c r="F327" s="1"/>
      <c r="G327" s="1"/>
      <c r="H327" s="1"/>
      <c r="I327" s="1"/>
      <c r="J327" s="1"/>
      <c r="L327" s="85"/>
      <c r="M327" s="85"/>
      <c r="N327" s="85"/>
      <c r="O327" s="85"/>
      <c r="P327" s="85"/>
      <c r="Q327" s="85"/>
      <c r="R327" s="85"/>
      <c r="S327" s="85"/>
      <c r="T327" s="85"/>
      <c r="U327" s="1"/>
      <c r="V327" s="1"/>
    </row>
    <row r="328" spans="3:22" x14ac:dyDescent="0.3">
      <c r="C328" s="21"/>
      <c r="D328" s="1"/>
      <c r="E328" s="1"/>
      <c r="F328" s="1"/>
      <c r="G328" s="1"/>
      <c r="H328" s="1"/>
      <c r="I328" s="1"/>
      <c r="J328" s="1"/>
      <c r="L328" s="85"/>
      <c r="M328" s="85"/>
      <c r="N328" s="85"/>
      <c r="O328" s="85"/>
      <c r="P328" s="85"/>
      <c r="Q328" s="85"/>
      <c r="R328" s="85"/>
      <c r="S328" s="85"/>
      <c r="T328" s="85"/>
      <c r="U328" s="1"/>
      <c r="V328" s="1"/>
    </row>
    <row r="329" spans="3:22" x14ac:dyDescent="0.3">
      <c r="C329" s="21"/>
      <c r="D329" s="1"/>
      <c r="E329" s="1"/>
      <c r="F329" s="1"/>
      <c r="G329" s="1"/>
      <c r="H329" s="1"/>
      <c r="I329" s="1"/>
      <c r="J329" s="1"/>
      <c r="L329" s="85"/>
      <c r="M329" s="85"/>
      <c r="N329" s="85"/>
      <c r="O329" s="85"/>
      <c r="P329" s="85"/>
      <c r="Q329" s="85"/>
      <c r="R329" s="85"/>
      <c r="S329" s="85"/>
      <c r="T329" s="85"/>
      <c r="U329" s="1"/>
      <c r="V329" s="1"/>
    </row>
    <row r="330" spans="3:22" x14ac:dyDescent="0.3">
      <c r="C330" s="21"/>
      <c r="D330" s="1"/>
      <c r="E330" s="1"/>
      <c r="F330" s="1"/>
      <c r="G330" s="1"/>
      <c r="H330" s="1"/>
      <c r="I330" s="1"/>
      <c r="J330" s="1"/>
      <c r="L330" s="85"/>
      <c r="M330" s="85"/>
      <c r="N330" s="85"/>
      <c r="O330" s="85"/>
      <c r="P330" s="85"/>
      <c r="Q330" s="85"/>
      <c r="R330" s="85"/>
      <c r="S330" s="85"/>
      <c r="T330" s="85"/>
      <c r="U330" s="1"/>
      <c r="V330" s="1"/>
    </row>
    <row r="331" spans="3:22" x14ac:dyDescent="0.3">
      <c r="C331" s="21"/>
      <c r="D331" s="1"/>
      <c r="E331" s="1"/>
      <c r="F331" s="1"/>
      <c r="G331" s="1"/>
      <c r="H331" s="1"/>
      <c r="I331" s="1"/>
      <c r="J331" s="1"/>
      <c r="L331" s="85"/>
      <c r="M331" s="85"/>
      <c r="N331" s="85"/>
      <c r="O331" s="85"/>
      <c r="P331" s="85"/>
      <c r="Q331" s="85"/>
      <c r="R331" s="85"/>
      <c r="S331" s="85"/>
      <c r="T331" s="85"/>
      <c r="U331" s="1"/>
      <c r="V331" s="1"/>
    </row>
    <row r="332" spans="3:22" x14ac:dyDescent="0.3">
      <c r="C332" s="21"/>
      <c r="D332" s="1"/>
      <c r="E332" s="1"/>
      <c r="F332" s="1"/>
      <c r="G332" s="1"/>
      <c r="H332" s="1"/>
      <c r="I332" s="1"/>
      <c r="J332" s="1"/>
      <c r="L332" s="85"/>
      <c r="M332" s="85"/>
      <c r="N332" s="85"/>
      <c r="O332" s="85"/>
      <c r="P332" s="85"/>
      <c r="Q332" s="85"/>
      <c r="R332" s="85"/>
      <c r="S332" s="85"/>
      <c r="T332" s="85"/>
      <c r="U332" s="1"/>
      <c r="V332" s="1"/>
    </row>
    <row r="333" spans="3:22" x14ac:dyDescent="0.3">
      <c r="C333" s="21"/>
      <c r="D333" s="1"/>
      <c r="E333" s="1"/>
      <c r="F333" s="1"/>
      <c r="G333" s="1"/>
      <c r="H333" s="1"/>
      <c r="I333" s="1"/>
      <c r="J333" s="1"/>
      <c r="L333" s="85"/>
      <c r="M333" s="85"/>
      <c r="N333" s="85"/>
      <c r="O333" s="85"/>
      <c r="P333" s="85"/>
      <c r="Q333" s="85"/>
      <c r="R333" s="85"/>
      <c r="S333" s="85"/>
      <c r="T333" s="85"/>
      <c r="U333" s="1"/>
      <c r="V333" s="1"/>
    </row>
    <row r="334" spans="3:22" x14ac:dyDescent="0.3">
      <c r="C334" s="21"/>
      <c r="D334" s="1"/>
      <c r="E334" s="1"/>
      <c r="F334" s="1"/>
      <c r="G334" s="1"/>
      <c r="H334" s="1"/>
      <c r="I334" s="1"/>
      <c r="J334" s="1"/>
      <c r="L334" s="85"/>
      <c r="M334" s="85"/>
      <c r="N334" s="85"/>
      <c r="O334" s="85"/>
      <c r="P334" s="85"/>
      <c r="Q334" s="85"/>
      <c r="R334" s="85"/>
      <c r="S334" s="85"/>
      <c r="T334" s="85"/>
      <c r="U334" s="1"/>
      <c r="V334" s="1"/>
    </row>
    <row r="335" spans="3:22" x14ac:dyDescent="0.3">
      <c r="C335" s="21"/>
      <c r="D335" s="1"/>
      <c r="E335" s="1"/>
      <c r="F335" s="1"/>
      <c r="G335" s="1"/>
      <c r="H335" s="1"/>
      <c r="I335" s="1"/>
      <c r="J335" s="1"/>
      <c r="L335" s="85"/>
      <c r="M335" s="85"/>
      <c r="N335" s="85"/>
      <c r="O335" s="85"/>
      <c r="P335" s="85"/>
      <c r="Q335" s="85"/>
      <c r="R335" s="85"/>
      <c r="S335" s="85"/>
      <c r="T335" s="85"/>
      <c r="U335" s="1"/>
      <c r="V335" s="1"/>
    </row>
    <row r="336" spans="3:22" x14ac:dyDescent="0.3">
      <c r="C336" s="21"/>
      <c r="D336" s="1"/>
      <c r="E336" s="1"/>
      <c r="F336" s="1"/>
      <c r="G336" s="1"/>
      <c r="H336" s="1"/>
      <c r="I336" s="1"/>
      <c r="J336" s="1"/>
      <c r="L336" s="85"/>
      <c r="M336" s="85"/>
      <c r="N336" s="85"/>
      <c r="O336" s="85"/>
      <c r="P336" s="85"/>
      <c r="Q336" s="85"/>
      <c r="R336" s="85"/>
      <c r="S336" s="85"/>
      <c r="T336" s="85"/>
      <c r="U336" s="1"/>
      <c r="V336" s="1"/>
    </row>
    <row r="337" spans="3:22" x14ac:dyDescent="0.3">
      <c r="C337" s="21"/>
      <c r="D337" s="1"/>
      <c r="E337" s="1"/>
      <c r="F337" s="1"/>
      <c r="G337" s="1"/>
      <c r="H337" s="1"/>
      <c r="I337" s="1"/>
      <c r="J337" s="1"/>
      <c r="L337" s="85"/>
      <c r="M337" s="85"/>
      <c r="N337" s="85"/>
      <c r="O337" s="85"/>
      <c r="P337" s="85"/>
      <c r="Q337" s="85"/>
      <c r="R337" s="85"/>
      <c r="S337" s="85"/>
      <c r="T337" s="85"/>
      <c r="U337" s="1"/>
      <c r="V337" s="1"/>
    </row>
    <row r="338" spans="3:22" x14ac:dyDescent="0.3">
      <c r="C338" s="21"/>
      <c r="D338" s="1"/>
      <c r="E338" s="1"/>
      <c r="F338" s="1"/>
      <c r="G338" s="1"/>
      <c r="H338" s="1"/>
      <c r="I338" s="1"/>
      <c r="J338" s="1"/>
      <c r="L338" s="85"/>
      <c r="M338" s="85"/>
      <c r="N338" s="85"/>
      <c r="O338" s="85"/>
      <c r="P338" s="85"/>
      <c r="Q338" s="85"/>
      <c r="R338" s="85"/>
      <c r="S338" s="85"/>
      <c r="T338" s="85"/>
      <c r="U338" s="1"/>
      <c r="V338" s="1"/>
    </row>
    <row r="339" spans="3:22" x14ac:dyDescent="0.3">
      <c r="C339" s="21"/>
      <c r="D339" s="1"/>
      <c r="E339" s="1"/>
      <c r="F339" s="1"/>
      <c r="G339" s="1"/>
      <c r="H339" s="1"/>
      <c r="I339" s="1"/>
      <c r="J339" s="1"/>
      <c r="L339" s="85"/>
      <c r="M339" s="85"/>
      <c r="N339" s="85"/>
      <c r="O339" s="85"/>
      <c r="P339" s="85"/>
      <c r="Q339" s="85"/>
      <c r="R339" s="85"/>
      <c r="S339" s="85"/>
      <c r="T339" s="85"/>
      <c r="U339" s="1"/>
      <c r="V339" s="1"/>
    </row>
    <row r="340" spans="3:22" x14ac:dyDescent="0.3">
      <c r="C340" s="21"/>
      <c r="D340" s="1"/>
      <c r="E340" s="1"/>
      <c r="F340" s="1"/>
      <c r="G340" s="1"/>
      <c r="H340" s="1"/>
      <c r="I340" s="1"/>
      <c r="J340" s="25"/>
      <c r="K340" s="81"/>
      <c r="L340" s="85"/>
      <c r="M340" s="85"/>
      <c r="N340" s="85"/>
      <c r="O340" s="85"/>
      <c r="P340" s="85"/>
      <c r="Q340" s="85"/>
      <c r="R340" s="85"/>
      <c r="S340" s="85"/>
      <c r="T340" s="85"/>
      <c r="U340" s="1"/>
      <c r="V340" s="1"/>
    </row>
    <row r="341" spans="3:22" x14ac:dyDescent="0.3">
      <c r="C341" s="21"/>
      <c r="D341" s="1"/>
      <c r="E341" s="1"/>
      <c r="F341" s="1"/>
      <c r="G341" s="1"/>
      <c r="H341" s="1"/>
      <c r="I341" s="1"/>
      <c r="J341" s="25"/>
      <c r="K341" s="81"/>
      <c r="L341" s="85"/>
      <c r="M341" s="85"/>
      <c r="N341" s="85"/>
      <c r="O341" s="85"/>
      <c r="P341" s="85"/>
      <c r="Q341" s="85"/>
      <c r="R341" s="85"/>
      <c r="S341" s="85"/>
      <c r="T341" s="85"/>
      <c r="U341" s="1"/>
      <c r="V341" s="1"/>
    </row>
    <row r="342" spans="3:22" x14ac:dyDescent="0.3">
      <c r="C342" s="21"/>
      <c r="D342" s="1"/>
      <c r="E342" s="1"/>
      <c r="F342" s="1"/>
      <c r="G342" s="1"/>
      <c r="H342" s="1"/>
      <c r="I342" s="1"/>
      <c r="J342" s="25"/>
      <c r="K342" s="81"/>
      <c r="L342" s="85"/>
      <c r="M342" s="85"/>
      <c r="N342" s="85"/>
      <c r="O342" s="85"/>
      <c r="P342" s="85"/>
      <c r="Q342" s="85"/>
      <c r="R342" s="85"/>
      <c r="S342" s="85"/>
      <c r="T342" s="85"/>
      <c r="U342" s="1"/>
      <c r="V342" s="1"/>
    </row>
    <row r="343" spans="3:22" x14ac:dyDescent="0.3">
      <c r="C343" s="21"/>
      <c r="D343" s="1"/>
      <c r="E343" s="1"/>
      <c r="F343" s="1"/>
      <c r="G343" s="1"/>
      <c r="H343" s="1"/>
      <c r="I343" s="1"/>
      <c r="J343" s="25"/>
      <c r="K343" s="81"/>
      <c r="L343" s="85"/>
      <c r="M343" s="85"/>
      <c r="N343" s="85"/>
      <c r="O343" s="85"/>
      <c r="P343" s="85"/>
      <c r="Q343" s="85"/>
      <c r="R343" s="85"/>
      <c r="S343" s="85"/>
      <c r="T343" s="85"/>
      <c r="U343" s="1"/>
      <c r="V343" s="1"/>
    </row>
    <row r="344" spans="3:22" x14ac:dyDescent="0.3">
      <c r="C344" s="21"/>
      <c r="D344" s="1"/>
      <c r="E344" s="1"/>
      <c r="F344" s="1"/>
      <c r="G344" s="1"/>
      <c r="H344" s="1"/>
      <c r="I344" s="1"/>
      <c r="J344" s="1"/>
      <c r="L344" s="85"/>
      <c r="M344" s="85"/>
      <c r="N344" s="85"/>
      <c r="O344" s="85"/>
      <c r="P344" s="85"/>
      <c r="Q344" s="85"/>
      <c r="R344" s="85"/>
      <c r="S344" s="85"/>
      <c r="T344" s="85"/>
      <c r="U344" s="1"/>
      <c r="V344" s="1"/>
    </row>
    <row r="345" spans="3:22" x14ac:dyDescent="0.3">
      <c r="C345" s="21"/>
      <c r="D345" s="1"/>
      <c r="E345" s="1"/>
      <c r="F345" s="1"/>
      <c r="G345" s="1"/>
      <c r="H345" s="1"/>
      <c r="I345" s="1"/>
      <c r="J345" s="1"/>
      <c r="L345" s="85"/>
      <c r="M345" s="85"/>
      <c r="N345" s="85"/>
      <c r="O345" s="85"/>
      <c r="P345" s="85"/>
      <c r="Q345" s="85"/>
      <c r="R345" s="85"/>
      <c r="S345" s="85"/>
      <c r="T345" s="85"/>
      <c r="U345" s="1"/>
      <c r="V345" s="1"/>
    </row>
    <row r="346" spans="3:22" x14ac:dyDescent="0.3">
      <c r="C346" s="21"/>
      <c r="D346" s="1"/>
      <c r="E346" s="1"/>
      <c r="F346" s="1"/>
      <c r="G346" s="1"/>
      <c r="H346" s="1"/>
      <c r="I346" s="1"/>
      <c r="J346" s="1"/>
      <c r="L346" s="85"/>
      <c r="M346" s="85"/>
      <c r="N346" s="85"/>
      <c r="O346" s="85"/>
      <c r="P346" s="85"/>
      <c r="Q346" s="85"/>
      <c r="R346" s="85"/>
      <c r="S346" s="85"/>
      <c r="T346" s="85"/>
      <c r="U346" s="1"/>
      <c r="V346" s="1"/>
    </row>
    <row r="347" spans="3:22" x14ac:dyDescent="0.3">
      <c r="C347" s="21"/>
      <c r="D347" s="1"/>
      <c r="E347" s="1"/>
      <c r="F347" s="1"/>
      <c r="G347" s="1"/>
      <c r="H347" s="1"/>
      <c r="I347" s="1"/>
      <c r="J347" s="1"/>
      <c r="L347" s="85"/>
      <c r="M347" s="85"/>
      <c r="N347" s="85"/>
      <c r="O347" s="85"/>
      <c r="P347" s="85"/>
      <c r="Q347" s="85"/>
      <c r="R347" s="85"/>
      <c r="S347" s="85"/>
      <c r="T347" s="85"/>
      <c r="U347" s="1"/>
      <c r="V347" s="1"/>
    </row>
    <row r="348" spans="3:22" x14ac:dyDescent="0.3">
      <c r="C348" s="21"/>
      <c r="D348" s="1"/>
      <c r="E348" s="1"/>
      <c r="F348" s="1"/>
      <c r="G348" s="1"/>
      <c r="H348" s="1"/>
      <c r="I348" s="1"/>
      <c r="J348" s="1"/>
      <c r="L348" s="85"/>
      <c r="M348" s="85"/>
      <c r="N348" s="85"/>
      <c r="O348" s="85"/>
      <c r="P348" s="85"/>
      <c r="Q348" s="85"/>
      <c r="R348" s="85"/>
      <c r="S348" s="85"/>
      <c r="T348" s="85"/>
      <c r="U348" s="1"/>
      <c r="V348" s="1"/>
    </row>
    <row r="349" spans="3:22" x14ac:dyDescent="0.3">
      <c r="C349" s="21"/>
      <c r="D349" s="1"/>
      <c r="E349" s="1"/>
      <c r="F349" s="1"/>
      <c r="G349" s="1"/>
      <c r="H349" s="1"/>
      <c r="I349" s="1"/>
      <c r="J349" s="1"/>
      <c r="L349" s="85"/>
      <c r="M349" s="85"/>
      <c r="N349" s="85"/>
      <c r="O349" s="85"/>
      <c r="P349" s="85"/>
      <c r="Q349" s="85"/>
      <c r="R349" s="85"/>
      <c r="S349" s="85"/>
      <c r="T349" s="85"/>
      <c r="U349" s="1"/>
      <c r="V349" s="1"/>
    </row>
    <row r="350" spans="3:22" x14ac:dyDescent="0.3">
      <c r="C350" s="21"/>
      <c r="D350" s="1"/>
      <c r="E350" s="1"/>
      <c r="F350" s="1"/>
      <c r="G350" s="1"/>
      <c r="H350" s="1"/>
      <c r="I350" s="1"/>
      <c r="J350" s="1"/>
      <c r="L350" s="85"/>
      <c r="M350" s="85"/>
      <c r="N350" s="85"/>
      <c r="O350" s="85"/>
      <c r="P350" s="85"/>
      <c r="Q350" s="85"/>
      <c r="R350" s="85"/>
      <c r="S350" s="85"/>
      <c r="T350" s="85"/>
      <c r="U350" s="1"/>
      <c r="V350" s="1"/>
    </row>
    <row r="351" spans="3:22" x14ac:dyDescent="0.3">
      <c r="C351" s="21"/>
      <c r="D351" s="1"/>
      <c r="E351" s="1"/>
      <c r="F351" s="1"/>
      <c r="G351" s="1"/>
      <c r="H351" s="1"/>
      <c r="I351" s="1"/>
      <c r="J351" s="1"/>
      <c r="L351" s="85"/>
      <c r="M351" s="85"/>
      <c r="N351" s="85"/>
      <c r="O351" s="85"/>
      <c r="P351" s="85"/>
      <c r="Q351" s="85"/>
      <c r="R351" s="85"/>
      <c r="S351" s="85"/>
      <c r="T351" s="85"/>
      <c r="U351" s="1"/>
      <c r="V351" s="1"/>
    </row>
    <row r="352" spans="3:22" x14ac:dyDescent="0.3">
      <c r="C352" s="21"/>
      <c r="D352" s="1"/>
      <c r="E352" s="1"/>
      <c r="F352" s="1"/>
      <c r="G352" s="1"/>
      <c r="H352" s="1"/>
      <c r="I352" s="1"/>
      <c r="J352" s="1"/>
      <c r="L352" s="85"/>
      <c r="M352" s="85"/>
      <c r="N352" s="85"/>
      <c r="O352" s="85"/>
      <c r="P352" s="85"/>
      <c r="Q352" s="85"/>
      <c r="R352" s="85"/>
      <c r="S352" s="85"/>
      <c r="T352" s="85"/>
      <c r="U352" s="1"/>
      <c r="V352" s="1"/>
    </row>
    <row r="353" spans="3:22" x14ac:dyDescent="0.3">
      <c r="C353" s="21"/>
      <c r="D353" s="1"/>
      <c r="E353" s="1"/>
      <c r="F353" s="1"/>
      <c r="G353" s="1"/>
      <c r="H353" s="1"/>
      <c r="I353" s="1"/>
      <c r="J353" s="1"/>
      <c r="L353" s="85"/>
      <c r="M353" s="85"/>
      <c r="N353" s="85"/>
      <c r="O353" s="85"/>
      <c r="P353" s="85"/>
      <c r="Q353" s="85"/>
      <c r="R353" s="85"/>
      <c r="S353" s="85"/>
      <c r="T353" s="85"/>
      <c r="U353" s="1"/>
      <c r="V353" s="1"/>
    </row>
    <row r="354" spans="3:22" x14ac:dyDescent="0.3">
      <c r="C354" s="21"/>
      <c r="D354" s="1"/>
      <c r="E354" s="1"/>
      <c r="F354" s="1"/>
      <c r="G354" s="1"/>
      <c r="H354" s="1"/>
      <c r="I354" s="1"/>
      <c r="J354" s="1"/>
      <c r="L354" s="85"/>
      <c r="M354" s="85"/>
      <c r="N354" s="85"/>
      <c r="O354" s="85"/>
      <c r="P354" s="85"/>
      <c r="Q354" s="85"/>
      <c r="R354" s="85"/>
      <c r="S354" s="85"/>
      <c r="T354" s="85"/>
      <c r="U354" s="1"/>
      <c r="V354" s="1"/>
    </row>
    <row r="355" spans="3:22" x14ac:dyDescent="0.3">
      <c r="C355" s="21"/>
      <c r="D355" s="1"/>
      <c r="E355" s="1"/>
      <c r="F355" s="1"/>
      <c r="G355" s="1"/>
      <c r="H355" s="1"/>
      <c r="I355" s="1"/>
      <c r="J355" s="1"/>
      <c r="L355" s="85"/>
      <c r="M355" s="85"/>
      <c r="N355" s="85"/>
      <c r="O355" s="85"/>
      <c r="P355" s="85"/>
      <c r="Q355" s="85"/>
      <c r="R355" s="85"/>
      <c r="S355" s="85"/>
      <c r="T355" s="85"/>
      <c r="U355" s="1"/>
      <c r="V355" s="1"/>
    </row>
    <row r="356" spans="3:22" x14ac:dyDescent="0.3">
      <c r="C356" s="21"/>
      <c r="D356" s="1"/>
      <c r="E356" s="1"/>
      <c r="F356" s="1"/>
      <c r="G356" s="1"/>
      <c r="H356" s="1"/>
      <c r="I356" s="1"/>
      <c r="J356" s="1"/>
      <c r="L356" s="85"/>
      <c r="M356" s="85"/>
      <c r="N356" s="85"/>
      <c r="O356" s="85"/>
      <c r="P356" s="85"/>
      <c r="Q356" s="85"/>
      <c r="R356" s="85"/>
      <c r="S356" s="85"/>
      <c r="T356" s="85"/>
      <c r="U356" s="1"/>
      <c r="V356" s="1"/>
    </row>
    <row r="357" spans="3:22" x14ac:dyDescent="0.3">
      <c r="C357" s="21"/>
      <c r="D357" s="1"/>
      <c r="E357" s="1"/>
      <c r="F357" s="1"/>
      <c r="G357" s="1"/>
      <c r="H357" s="1"/>
      <c r="I357" s="1"/>
      <c r="J357" s="1"/>
      <c r="L357" s="85"/>
      <c r="M357" s="85"/>
      <c r="N357" s="85"/>
      <c r="O357" s="85"/>
      <c r="P357" s="85"/>
      <c r="Q357" s="85"/>
      <c r="R357" s="85"/>
      <c r="S357" s="85"/>
      <c r="T357" s="85"/>
      <c r="U357" s="1"/>
      <c r="V357" s="1"/>
    </row>
    <row r="358" spans="3:22" x14ac:dyDescent="0.3">
      <c r="C358" s="21"/>
      <c r="D358" s="1"/>
      <c r="E358" s="1"/>
      <c r="F358" s="1"/>
      <c r="G358" s="1"/>
      <c r="H358" s="1"/>
      <c r="I358" s="1"/>
      <c r="J358" s="1"/>
      <c r="L358" s="85"/>
      <c r="M358" s="85"/>
      <c r="N358" s="85"/>
      <c r="O358" s="85"/>
      <c r="P358" s="85"/>
      <c r="Q358" s="85"/>
      <c r="R358" s="85"/>
      <c r="S358" s="85"/>
      <c r="T358" s="85"/>
      <c r="U358" s="1"/>
      <c r="V358" s="1"/>
    </row>
    <row r="359" spans="3:22" x14ac:dyDescent="0.3">
      <c r="C359" s="21"/>
      <c r="D359" s="1"/>
      <c r="E359" s="1"/>
      <c r="F359" s="1"/>
      <c r="G359" s="1"/>
      <c r="H359" s="1"/>
      <c r="I359" s="1"/>
      <c r="J359" s="1"/>
      <c r="L359" s="85"/>
      <c r="M359" s="85"/>
      <c r="N359" s="85"/>
      <c r="O359" s="85"/>
      <c r="P359" s="85"/>
      <c r="Q359" s="85"/>
      <c r="R359" s="85"/>
      <c r="S359" s="85"/>
      <c r="T359" s="85"/>
      <c r="U359" s="1"/>
      <c r="V359" s="1"/>
    </row>
    <row r="360" spans="3:22" x14ac:dyDescent="0.3">
      <c r="C360" s="21"/>
      <c r="D360" s="1"/>
      <c r="E360" s="1"/>
      <c r="F360" s="1"/>
      <c r="G360" s="1"/>
      <c r="H360" s="1"/>
      <c r="I360" s="1"/>
      <c r="J360" s="1"/>
      <c r="L360" s="85"/>
      <c r="M360" s="85"/>
      <c r="N360" s="85"/>
      <c r="O360" s="85"/>
      <c r="P360" s="85"/>
      <c r="Q360" s="85"/>
      <c r="R360" s="85"/>
      <c r="S360" s="85"/>
      <c r="T360" s="85"/>
      <c r="U360" s="1"/>
      <c r="V360" s="1"/>
    </row>
    <row r="361" spans="3:22" x14ac:dyDescent="0.3">
      <c r="C361" s="21"/>
      <c r="D361" s="1"/>
      <c r="E361" s="1"/>
      <c r="F361" s="1"/>
      <c r="G361" s="1"/>
      <c r="H361" s="1"/>
      <c r="I361" s="1"/>
      <c r="J361" s="1"/>
      <c r="L361" s="85"/>
      <c r="M361" s="85"/>
      <c r="N361" s="85"/>
      <c r="O361" s="85"/>
      <c r="P361" s="85"/>
      <c r="Q361" s="85"/>
      <c r="R361" s="85"/>
      <c r="S361" s="85"/>
      <c r="T361" s="85"/>
      <c r="U361" s="1"/>
      <c r="V361" s="1"/>
    </row>
    <row r="362" spans="3:22" x14ac:dyDescent="0.3">
      <c r="C362" s="21"/>
      <c r="D362" s="1"/>
      <c r="E362" s="1"/>
      <c r="F362" s="1"/>
      <c r="G362" s="1"/>
      <c r="H362" s="1"/>
      <c r="I362" s="1"/>
      <c r="J362" s="1"/>
      <c r="L362" s="85"/>
      <c r="M362" s="85"/>
      <c r="N362" s="85"/>
      <c r="O362" s="85"/>
      <c r="P362" s="85"/>
      <c r="Q362" s="85"/>
      <c r="R362" s="85"/>
      <c r="S362" s="85"/>
      <c r="T362" s="85"/>
      <c r="U362" s="1"/>
      <c r="V362" s="1"/>
    </row>
    <row r="363" spans="3:22" x14ac:dyDescent="0.3">
      <c r="C363" s="21"/>
      <c r="D363" s="1"/>
      <c r="E363" s="1"/>
      <c r="F363" s="1"/>
      <c r="G363" s="1"/>
      <c r="H363" s="1"/>
      <c r="I363" s="1"/>
      <c r="J363" s="1"/>
      <c r="L363" s="85"/>
      <c r="M363" s="85"/>
      <c r="N363" s="85"/>
      <c r="O363" s="85"/>
      <c r="P363" s="85"/>
      <c r="Q363" s="85"/>
      <c r="R363" s="85"/>
      <c r="S363" s="85"/>
      <c r="T363" s="85"/>
      <c r="U363" s="1"/>
      <c r="V363" s="1"/>
    </row>
    <row r="364" spans="3:22" x14ac:dyDescent="0.3">
      <c r="C364" s="21"/>
      <c r="D364" s="1"/>
      <c r="E364" s="1"/>
      <c r="F364" s="1"/>
      <c r="G364" s="1"/>
      <c r="H364" s="1"/>
      <c r="I364" s="1"/>
      <c r="J364" s="1"/>
      <c r="L364" s="85"/>
      <c r="M364" s="85"/>
      <c r="N364" s="85"/>
      <c r="O364" s="85"/>
      <c r="P364" s="85"/>
      <c r="Q364" s="85"/>
      <c r="R364" s="85"/>
      <c r="S364" s="85"/>
      <c r="T364" s="85"/>
      <c r="U364" s="1"/>
      <c r="V364" s="1"/>
    </row>
    <row r="365" spans="3:22" x14ac:dyDescent="0.3">
      <c r="C365" s="21"/>
      <c r="D365" s="1"/>
      <c r="E365" s="1"/>
      <c r="F365" s="1"/>
      <c r="G365" s="1"/>
      <c r="H365" s="1"/>
      <c r="I365" s="1"/>
      <c r="J365" s="1"/>
      <c r="L365" s="85"/>
      <c r="M365" s="85"/>
      <c r="N365" s="85"/>
      <c r="O365" s="85"/>
      <c r="P365" s="85"/>
      <c r="Q365" s="85"/>
      <c r="R365" s="85"/>
      <c r="S365" s="85"/>
      <c r="T365" s="85"/>
      <c r="U365" s="1"/>
      <c r="V365" s="1"/>
    </row>
    <row r="366" spans="3:22" x14ac:dyDescent="0.3">
      <c r="C366" s="21"/>
      <c r="D366" s="1"/>
      <c r="E366" s="1"/>
      <c r="F366" s="1"/>
      <c r="G366" s="1"/>
      <c r="H366" s="1"/>
      <c r="I366" s="1"/>
      <c r="J366" s="1"/>
      <c r="L366" s="85"/>
      <c r="M366" s="85"/>
      <c r="N366" s="85"/>
      <c r="O366" s="85"/>
      <c r="P366" s="85"/>
      <c r="Q366" s="85"/>
      <c r="R366" s="85"/>
      <c r="S366" s="85"/>
      <c r="T366" s="85"/>
      <c r="U366" s="1"/>
      <c r="V366" s="1"/>
    </row>
    <row r="367" spans="3:22" x14ac:dyDescent="0.3">
      <c r="C367" s="21"/>
      <c r="D367" s="1"/>
      <c r="E367" s="1"/>
      <c r="F367" s="1"/>
      <c r="G367" s="1"/>
      <c r="H367" s="1"/>
      <c r="I367" s="1"/>
      <c r="J367" s="1"/>
      <c r="L367" s="85"/>
      <c r="M367" s="85"/>
      <c r="N367" s="85"/>
      <c r="O367" s="85"/>
      <c r="P367" s="85"/>
      <c r="Q367" s="85"/>
      <c r="R367" s="85"/>
      <c r="S367" s="85"/>
      <c r="T367" s="85"/>
      <c r="U367" s="1"/>
      <c r="V367" s="1"/>
    </row>
    <row r="368" spans="3:22" x14ac:dyDescent="0.3">
      <c r="C368" s="21"/>
      <c r="D368" s="1"/>
      <c r="E368" s="1"/>
      <c r="F368" s="1"/>
      <c r="G368" s="1"/>
      <c r="H368" s="1"/>
      <c r="I368" s="1"/>
      <c r="J368" s="1"/>
      <c r="L368" s="85"/>
      <c r="M368" s="85"/>
      <c r="N368" s="85"/>
      <c r="O368" s="85"/>
      <c r="P368" s="85"/>
      <c r="Q368" s="85"/>
      <c r="R368" s="85"/>
      <c r="S368" s="85"/>
      <c r="T368" s="85"/>
      <c r="U368" s="1"/>
      <c r="V368" s="1"/>
    </row>
    <row r="369" spans="3:22" x14ac:dyDescent="0.3">
      <c r="C369" s="21"/>
      <c r="D369" s="1"/>
      <c r="E369" s="1"/>
      <c r="F369" s="1"/>
      <c r="G369" s="1"/>
      <c r="H369" s="1"/>
      <c r="I369" s="1"/>
      <c r="J369" s="1"/>
      <c r="L369" s="85"/>
      <c r="M369" s="85"/>
      <c r="N369" s="85"/>
      <c r="O369" s="85"/>
      <c r="P369" s="85"/>
      <c r="Q369" s="85"/>
      <c r="R369" s="85"/>
      <c r="S369" s="85"/>
      <c r="T369" s="85"/>
      <c r="U369" s="1"/>
      <c r="V369" s="1"/>
    </row>
    <row r="370" spans="3:22" x14ac:dyDescent="0.3">
      <c r="C370" s="21"/>
      <c r="D370" s="1"/>
      <c r="E370" s="1"/>
      <c r="F370" s="1"/>
      <c r="G370" s="1"/>
      <c r="H370" s="1"/>
      <c r="I370" s="1"/>
      <c r="J370" s="1"/>
      <c r="L370" s="85"/>
      <c r="M370" s="85"/>
      <c r="N370" s="85"/>
      <c r="O370" s="85"/>
      <c r="P370" s="85"/>
      <c r="Q370" s="85"/>
      <c r="R370" s="85"/>
      <c r="S370" s="85"/>
      <c r="T370" s="85"/>
      <c r="U370" s="1"/>
      <c r="V370" s="1"/>
    </row>
    <row r="371" spans="3:22" x14ac:dyDescent="0.3">
      <c r="C371" s="21"/>
      <c r="D371" s="1"/>
      <c r="E371" s="1"/>
      <c r="F371" s="1"/>
      <c r="G371" s="1"/>
      <c r="H371" s="1"/>
      <c r="I371" s="1"/>
      <c r="J371" s="1"/>
      <c r="L371" s="85"/>
      <c r="M371" s="85"/>
      <c r="N371" s="85"/>
      <c r="O371" s="85"/>
      <c r="P371" s="85"/>
      <c r="Q371" s="85"/>
      <c r="R371" s="85"/>
      <c r="S371" s="85"/>
      <c r="T371" s="85"/>
      <c r="U371" s="1"/>
      <c r="V371" s="1"/>
    </row>
    <row r="372" spans="3:22" x14ac:dyDescent="0.3">
      <c r="C372" s="21"/>
      <c r="D372" s="1"/>
      <c r="E372" s="1"/>
      <c r="F372" s="1"/>
      <c r="G372" s="1"/>
      <c r="H372" s="1"/>
      <c r="I372" s="1"/>
      <c r="J372" s="1"/>
      <c r="L372" s="85"/>
      <c r="M372" s="85"/>
      <c r="N372" s="85"/>
      <c r="O372" s="85"/>
      <c r="P372" s="85"/>
      <c r="Q372" s="85"/>
      <c r="R372" s="85"/>
      <c r="S372" s="85"/>
      <c r="T372" s="85"/>
      <c r="U372" s="1"/>
      <c r="V372" s="1"/>
    </row>
    <row r="373" spans="3:22" x14ac:dyDescent="0.3">
      <c r="C373" s="21"/>
      <c r="D373" s="1"/>
      <c r="E373" s="1"/>
      <c r="F373" s="1"/>
      <c r="G373" s="1"/>
      <c r="H373" s="1"/>
      <c r="I373" s="1"/>
      <c r="J373" s="1"/>
      <c r="L373" s="85"/>
      <c r="M373" s="85"/>
      <c r="N373" s="85"/>
      <c r="O373" s="85"/>
      <c r="P373" s="85"/>
      <c r="Q373" s="85"/>
      <c r="R373" s="85"/>
      <c r="S373" s="85"/>
      <c r="T373" s="85"/>
      <c r="U373" s="1"/>
      <c r="V373" s="1"/>
    </row>
    <row r="374" spans="3:22" x14ac:dyDescent="0.3">
      <c r="C374" s="21"/>
      <c r="D374" s="1"/>
      <c r="E374" s="1"/>
      <c r="F374" s="1"/>
      <c r="G374" s="1"/>
      <c r="H374" s="1"/>
      <c r="I374" s="1"/>
      <c r="J374" s="1"/>
      <c r="L374" s="85"/>
      <c r="M374" s="85"/>
      <c r="N374" s="85"/>
      <c r="O374" s="85"/>
      <c r="P374" s="85"/>
      <c r="Q374" s="85"/>
      <c r="R374" s="85"/>
      <c r="S374" s="85"/>
      <c r="T374" s="85"/>
      <c r="U374" s="1"/>
      <c r="V374" s="1"/>
    </row>
    <row r="375" spans="3:22" x14ac:dyDescent="0.3">
      <c r="C375" s="21"/>
      <c r="D375" s="1"/>
      <c r="E375" s="1"/>
      <c r="F375" s="1"/>
      <c r="G375" s="1"/>
      <c r="H375" s="1"/>
      <c r="I375" s="1"/>
      <c r="J375" s="1"/>
      <c r="L375" s="85"/>
      <c r="M375" s="85"/>
      <c r="N375" s="85"/>
      <c r="O375" s="85"/>
      <c r="P375" s="85"/>
      <c r="Q375" s="85"/>
      <c r="R375" s="85"/>
      <c r="S375" s="85"/>
      <c r="T375" s="85"/>
      <c r="U375" s="1"/>
      <c r="V375" s="1"/>
    </row>
    <row r="376" spans="3:22" x14ac:dyDescent="0.3">
      <c r="C376" s="21"/>
      <c r="D376" s="1"/>
      <c r="E376" s="1"/>
      <c r="F376" s="1"/>
      <c r="G376" s="1"/>
      <c r="H376" s="1"/>
      <c r="I376" s="1"/>
      <c r="J376" s="1"/>
      <c r="L376" s="85"/>
      <c r="M376" s="85"/>
      <c r="N376" s="85"/>
      <c r="O376" s="85"/>
      <c r="P376" s="85"/>
      <c r="Q376" s="85"/>
      <c r="R376" s="85"/>
      <c r="S376" s="85"/>
      <c r="T376" s="85"/>
      <c r="U376" s="1"/>
      <c r="V376" s="1"/>
    </row>
    <row r="377" spans="3:22" x14ac:dyDescent="0.3">
      <c r="C377" s="21"/>
      <c r="D377" s="1"/>
      <c r="E377" s="1"/>
      <c r="F377" s="1"/>
      <c r="G377" s="1"/>
      <c r="H377" s="1"/>
      <c r="I377" s="1"/>
      <c r="J377" s="1"/>
      <c r="L377" s="85"/>
      <c r="M377" s="85"/>
      <c r="N377" s="85"/>
      <c r="O377" s="85"/>
      <c r="P377" s="85"/>
      <c r="Q377" s="85"/>
      <c r="R377" s="85"/>
      <c r="S377" s="85"/>
      <c r="T377" s="85"/>
      <c r="U377" s="1"/>
      <c r="V377" s="1"/>
    </row>
    <row r="378" spans="3:22" x14ac:dyDescent="0.3">
      <c r="C378" s="21"/>
      <c r="D378" s="1"/>
      <c r="E378" s="1"/>
      <c r="F378" s="1"/>
      <c r="G378" s="1"/>
      <c r="H378" s="1"/>
      <c r="I378" s="1"/>
      <c r="J378" s="1"/>
      <c r="L378" s="85"/>
      <c r="M378" s="85"/>
      <c r="N378" s="85"/>
      <c r="O378" s="85"/>
      <c r="P378" s="85"/>
      <c r="Q378" s="85"/>
      <c r="R378" s="85"/>
      <c r="S378" s="85"/>
      <c r="T378" s="85"/>
      <c r="U378" s="1"/>
      <c r="V378" s="1"/>
    </row>
    <row r="379" spans="3:22" x14ac:dyDescent="0.3">
      <c r="C379" s="21"/>
      <c r="D379" s="1"/>
      <c r="E379" s="1"/>
      <c r="F379" s="1"/>
      <c r="G379" s="1"/>
      <c r="H379" s="1"/>
      <c r="I379" s="1"/>
      <c r="J379" s="1"/>
      <c r="L379" s="85"/>
      <c r="M379" s="85"/>
      <c r="N379" s="85"/>
      <c r="O379" s="85"/>
      <c r="P379" s="85"/>
      <c r="Q379" s="85"/>
      <c r="R379" s="85"/>
      <c r="S379" s="85"/>
      <c r="T379" s="85"/>
      <c r="U379" s="1"/>
      <c r="V379" s="1"/>
    </row>
    <row r="380" spans="3:22" x14ac:dyDescent="0.3">
      <c r="C380" s="21"/>
      <c r="D380" s="1"/>
      <c r="E380" s="1"/>
      <c r="F380" s="1"/>
      <c r="G380" s="1"/>
      <c r="H380" s="1"/>
      <c r="I380" s="1"/>
      <c r="J380" s="1"/>
      <c r="L380" s="85"/>
      <c r="M380" s="85"/>
      <c r="N380" s="85"/>
      <c r="O380" s="85"/>
      <c r="P380" s="85"/>
      <c r="Q380" s="85"/>
      <c r="R380" s="85"/>
      <c r="S380" s="85"/>
      <c r="T380" s="85"/>
      <c r="U380" s="1"/>
      <c r="V380" s="1"/>
    </row>
    <row r="381" spans="3:22" x14ac:dyDescent="0.3">
      <c r="C381" s="21"/>
      <c r="D381" s="1"/>
      <c r="E381" s="1"/>
      <c r="F381" s="1"/>
      <c r="G381" s="1"/>
      <c r="H381" s="1"/>
      <c r="I381" s="1"/>
      <c r="J381" s="1"/>
      <c r="L381" s="85"/>
      <c r="M381" s="85"/>
      <c r="N381" s="85"/>
      <c r="O381" s="85"/>
      <c r="P381" s="85"/>
      <c r="Q381" s="85"/>
      <c r="R381" s="85"/>
      <c r="S381" s="85"/>
      <c r="T381" s="85"/>
      <c r="U381" s="1"/>
      <c r="V381" s="1"/>
    </row>
    <row r="382" spans="3:22" x14ac:dyDescent="0.3">
      <c r="C382" s="21"/>
      <c r="D382" s="1"/>
      <c r="E382" s="1"/>
      <c r="F382" s="1"/>
      <c r="G382" s="1"/>
      <c r="H382" s="1"/>
      <c r="I382" s="1"/>
      <c r="J382" s="1"/>
      <c r="L382" s="85"/>
      <c r="M382" s="85"/>
      <c r="N382" s="85"/>
      <c r="O382" s="85"/>
      <c r="P382" s="85"/>
      <c r="Q382" s="85"/>
      <c r="R382" s="85"/>
      <c r="S382" s="85"/>
      <c r="T382" s="85"/>
      <c r="U382" s="1"/>
      <c r="V382" s="1"/>
    </row>
    <row r="383" spans="3:22" x14ac:dyDescent="0.3">
      <c r="C383" s="21"/>
      <c r="D383" s="1"/>
      <c r="E383" s="1"/>
      <c r="F383" s="1"/>
      <c r="G383" s="1"/>
      <c r="H383" s="1"/>
      <c r="I383" s="1"/>
      <c r="J383" s="1"/>
      <c r="L383" s="85"/>
      <c r="M383" s="85"/>
      <c r="N383" s="85"/>
      <c r="O383" s="85"/>
      <c r="P383" s="85"/>
      <c r="Q383" s="85"/>
      <c r="R383" s="85"/>
      <c r="S383" s="85"/>
      <c r="T383" s="85"/>
      <c r="U383" s="1"/>
      <c r="V383" s="1"/>
    </row>
    <row r="384" spans="3:22" x14ac:dyDescent="0.3">
      <c r="C384" s="21"/>
      <c r="D384" s="1"/>
      <c r="E384" s="1"/>
      <c r="F384" s="1"/>
      <c r="G384" s="1"/>
      <c r="H384" s="1"/>
      <c r="I384" s="1"/>
      <c r="J384" s="1"/>
      <c r="L384" s="85"/>
      <c r="M384" s="85"/>
      <c r="N384" s="85"/>
      <c r="O384" s="85"/>
      <c r="P384" s="85"/>
      <c r="Q384" s="85"/>
      <c r="R384" s="85"/>
      <c r="S384" s="85"/>
      <c r="T384" s="85"/>
      <c r="U384" s="1"/>
      <c r="V384" s="1"/>
    </row>
    <row r="385" spans="3:22" x14ac:dyDescent="0.3">
      <c r="C385" s="21"/>
      <c r="D385" s="1"/>
      <c r="E385" s="1"/>
      <c r="F385" s="1"/>
      <c r="G385" s="1"/>
      <c r="H385" s="1"/>
      <c r="I385" s="1"/>
      <c r="J385" s="1"/>
      <c r="L385" s="85"/>
      <c r="M385" s="85"/>
      <c r="N385" s="85"/>
      <c r="O385" s="85"/>
      <c r="P385" s="85"/>
      <c r="Q385" s="85"/>
      <c r="R385" s="85"/>
      <c r="S385" s="85"/>
      <c r="T385" s="85"/>
      <c r="U385" s="1"/>
      <c r="V385" s="1"/>
    </row>
    <row r="386" spans="3:22" x14ac:dyDescent="0.3">
      <c r="C386" s="21"/>
      <c r="D386" s="1"/>
      <c r="E386" s="1"/>
      <c r="F386" s="1"/>
      <c r="G386" s="1"/>
      <c r="H386" s="1"/>
      <c r="I386" s="1"/>
      <c r="J386" s="1"/>
      <c r="L386" s="85"/>
      <c r="M386" s="85"/>
      <c r="N386" s="85"/>
      <c r="O386" s="85"/>
      <c r="P386" s="85"/>
      <c r="Q386" s="85"/>
      <c r="R386" s="85"/>
      <c r="S386" s="85"/>
      <c r="T386" s="85"/>
      <c r="U386" s="1"/>
      <c r="V386" s="1"/>
    </row>
    <row r="387" spans="3:22" x14ac:dyDescent="0.3">
      <c r="C387" s="21"/>
      <c r="D387" s="1"/>
      <c r="E387" s="1"/>
      <c r="F387" s="1"/>
      <c r="G387" s="1"/>
      <c r="H387" s="1"/>
      <c r="I387" s="1"/>
      <c r="J387" s="1"/>
      <c r="L387" s="85"/>
      <c r="M387" s="85"/>
      <c r="N387" s="85"/>
      <c r="O387" s="85"/>
      <c r="P387" s="85"/>
      <c r="Q387" s="85"/>
      <c r="R387" s="85"/>
      <c r="S387" s="85"/>
      <c r="T387" s="85"/>
      <c r="U387" s="1"/>
      <c r="V387" s="1"/>
    </row>
    <row r="388" spans="3:22" x14ac:dyDescent="0.3">
      <c r="C388" s="21"/>
      <c r="D388" s="1"/>
      <c r="E388" s="1"/>
      <c r="F388" s="1"/>
      <c r="G388" s="1"/>
      <c r="H388" s="1"/>
      <c r="I388" s="1"/>
      <c r="J388" s="1"/>
      <c r="L388" s="85"/>
      <c r="M388" s="85"/>
      <c r="N388" s="85"/>
      <c r="O388" s="85"/>
      <c r="P388" s="85"/>
      <c r="Q388" s="85"/>
      <c r="R388" s="85"/>
      <c r="S388" s="85"/>
      <c r="T388" s="85"/>
      <c r="U388" s="1"/>
      <c r="V388" s="1"/>
    </row>
    <row r="389" spans="3:22" x14ac:dyDescent="0.3">
      <c r="C389" s="21"/>
      <c r="D389" s="1"/>
      <c r="E389" s="1"/>
      <c r="F389" s="1"/>
      <c r="G389" s="1"/>
      <c r="H389" s="1"/>
      <c r="I389" s="1"/>
      <c r="J389" s="1"/>
      <c r="L389" s="85"/>
      <c r="M389" s="85"/>
      <c r="N389" s="85"/>
      <c r="O389" s="85"/>
      <c r="P389" s="85"/>
      <c r="Q389" s="85"/>
      <c r="R389" s="85"/>
      <c r="S389" s="85"/>
      <c r="T389" s="85"/>
      <c r="U389" s="1"/>
      <c r="V389" s="1"/>
    </row>
    <row r="390" spans="3:22" x14ac:dyDescent="0.3">
      <c r="C390" s="21"/>
      <c r="D390" s="1"/>
      <c r="E390" s="1"/>
      <c r="F390" s="1"/>
      <c r="G390" s="1"/>
      <c r="H390" s="1"/>
      <c r="I390" s="1"/>
      <c r="J390" s="1"/>
      <c r="L390" s="85"/>
      <c r="M390" s="85"/>
      <c r="N390" s="85"/>
      <c r="O390" s="85"/>
      <c r="P390" s="85"/>
      <c r="Q390" s="85"/>
      <c r="R390" s="85"/>
      <c r="S390" s="85"/>
      <c r="T390" s="85"/>
      <c r="U390" s="1"/>
      <c r="V390" s="1"/>
    </row>
    <row r="391" spans="3:22" x14ac:dyDescent="0.3">
      <c r="C391" s="21"/>
      <c r="D391" s="1"/>
      <c r="E391" s="1"/>
      <c r="F391" s="1"/>
      <c r="G391" s="1"/>
      <c r="H391" s="1"/>
      <c r="I391" s="1"/>
      <c r="J391" s="1"/>
      <c r="L391" s="85"/>
      <c r="M391" s="85"/>
      <c r="N391" s="85"/>
      <c r="O391" s="85"/>
      <c r="P391" s="85"/>
      <c r="Q391" s="85"/>
      <c r="R391" s="85"/>
      <c r="S391" s="85"/>
      <c r="T391" s="85"/>
      <c r="U391" s="1"/>
      <c r="V391" s="1"/>
    </row>
    <row r="392" spans="3:22" x14ac:dyDescent="0.3">
      <c r="C392" s="21"/>
      <c r="D392" s="1"/>
      <c r="E392" s="1"/>
      <c r="F392" s="1"/>
      <c r="G392" s="1"/>
      <c r="H392" s="1"/>
      <c r="I392" s="1"/>
      <c r="J392" s="1"/>
      <c r="L392" s="85"/>
      <c r="M392" s="85"/>
      <c r="N392" s="85"/>
      <c r="O392" s="85"/>
      <c r="P392" s="85"/>
      <c r="Q392" s="85"/>
      <c r="R392" s="85"/>
      <c r="S392" s="85"/>
      <c r="T392" s="85"/>
      <c r="U392" s="1"/>
      <c r="V392" s="1"/>
    </row>
    <row r="393" spans="3:22" x14ac:dyDescent="0.3">
      <c r="C393" s="21"/>
      <c r="D393" s="1"/>
      <c r="E393" s="1"/>
      <c r="F393" s="1"/>
      <c r="G393" s="1"/>
      <c r="H393" s="1"/>
      <c r="I393" s="1"/>
      <c r="J393" s="1"/>
      <c r="L393" s="85"/>
      <c r="M393" s="85"/>
      <c r="N393" s="85"/>
      <c r="O393" s="85"/>
      <c r="P393" s="85"/>
      <c r="Q393" s="85"/>
      <c r="R393" s="85"/>
      <c r="S393" s="85"/>
      <c r="T393" s="85"/>
      <c r="U393" s="1"/>
      <c r="V393" s="1"/>
    </row>
    <row r="394" spans="3:22" x14ac:dyDescent="0.3">
      <c r="C394" s="21"/>
      <c r="D394" s="1"/>
      <c r="E394" s="1"/>
      <c r="F394" s="1"/>
      <c r="G394" s="1"/>
      <c r="H394" s="1"/>
      <c r="I394" s="1"/>
      <c r="J394" s="1"/>
      <c r="L394" s="85"/>
      <c r="M394" s="85"/>
      <c r="N394" s="85"/>
      <c r="O394" s="85"/>
      <c r="P394" s="85"/>
      <c r="Q394" s="85"/>
      <c r="R394" s="85"/>
      <c r="S394" s="85"/>
      <c r="T394" s="85"/>
      <c r="U394" s="1"/>
      <c r="V394" s="1"/>
    </row>
    <row r="395" spans="3:22" x14ac:dyDescent="0.3">
      <c r="C395" s="21"/>
      <c r="D395" s="1"/>
      <c r="E395" s="1"/>
      <c r="F395" s="1"/>
      <c r="G395" s="1"/>
      <c r="H395" s="1"/>
      <c r="I395" s="1"/>
      <c r="J395" s="1"/>
      <c r="L395" s="85"/>
      <c r="M395" s="85"/>
      <c r="N395" s="85"/>
      <c r="O395" s="85"/>
      <c r="P395" s="85"/>
      <c r="Q395" s="85"/>
      <c r="R395" s="85"/>
      <c r="S395" s="85"/>
      <c r="T395" s="85"/>
      <c r="U395" s="1"/>
      <c r="V395" s="1"/>
    </row>
    <row r="396" spans="3:22" x14ac:dyDescent="0.3">
      <c r="C396" s="21"/>
      <c r="D396" s="1"/>
      <c r="E396" s="1"/>
      <c r="F396" s="1"/>
      <c r="G396" s="1"/>
      <c r="H396" s="1"/>
      <c r="I396" s="1"/>
      <c r="J396" s="1"/>
      <c r="L396" s="85"/>
      <c r="M396" s="85"/>
      <c r="N396" s="85"/>
      <c r="O396" s="85"/>
      <c r="P396" s="85"/>
      <c r="Q396" s="85"/>
      <c r="R396" s="85"/>
      <c r="S396" s="85"/>
      <c r="T396" s="85"/>
      <c r="U396" s="1"/>
      <c r="V396" s="1"/>
    </row>
    <row r="397" spans="3:22" x14ac:dyDescent="0.3">
      <c r="C397" s="21"/>
      <c r="D397" s="1"/>
      <c r="E397" s="1"/>
      <c r="F397" s="1"/>
      <c r="G397" s="1"/>
      <c r="H397" s="1"/>
      <c r="I397" s="1"/>
      <c r="J397" s="1"/>
      <c r="L397" s="85"/>
      <c r="M397" s="85"/>
      <c r="N397" s="85"/>
      <c r="O397" s="85"/>
      <c r="P397" s="85"/>
      <c r="Q397" s="85"/>
      <c r="R397" s="85"/>
      <c r="S397" s="85"/>
      <c r="T397" s="85"/>
      <c r="U397" s="1"/>
      <c r="V397" s="1"/>
    </row>
    <row r="398" spans="3:22" x14ac:dyDescent="0.3">
      <c r="C398" s="21"/>
      <c r="D398" s="1"/>
      <c r="E398" s="1"/>
      <c r="F398" s="1"/>
      <c r="G398" s="1"/>
      <c r="H398" s="1"/>
      <c r="I398" s="1"/>
      <c r="J398" s="1"/>
      <c r="L398" s="85"/>
      <c r="M398" s="85"/>
      <c r="N398" s="85"/>
      <c r="O398" s="85"/>
      <c r="P398" s="85"/>
      <c r="Q398" s="85"/>
      <c r="R398" s="85"/>
      <c r="S398" s="85"/>
      <c r="T398" s="85"/>
      <c r="U398" s="1"/>
      <c r="V398" s="1"/>
    </row>
    <row r="399" spans="3:22" x14ac:dyDescent="0.3">
      <c r="C399" s="21"/>
      <c r="D399" s="1"/>
      <c r="E399" s="1"/>
      <c r="F399" s="1"/>
      <c r="G399" s="1"/>
      <c r="H399" s="1"/>
      <c r="I399" s="1"/>
      <c r="J399" s="1"/>
      <c r="L399" s="85"/>
      <c r="M399" s="85"/>
      <c r="N399" s="85"/>
      <c r="O399" s="85"/>
      <c r="P399" s="85"/>
      <c r="Q399" s="85"/>
      <c r="R399" s="85"/>
      <c r="S399" s="85"/>
      <c r="T399" s="85"/>
      <c r="U399" s="1"/>
      <c r="V399" s="1"/>
    </row>
    <row r="400" spans="3:22" x14ac:dyDescent="0.3">
      <c r="C400" s="21"/>
      <c r="D400" s="1"/>
      <c r="E400" s="1"/>
      <c r="F400" s="1"/>
      <c r="G400" s="1"/>
      <c r="H400" s="1"/>
      <c r="I400" s="1"/>
      <c r="J400" s="1"/>
      <c r="L400" s="85"/>
      <c r="M400" s="85"/>
      <c r="N400" s="85"/>
      <c r="O400" s="85"/>
      <c r="P400" s="85"/>
      <c r="Q400" s="85"/>
      <c r="R400" s="85"/>
      <c r="S400" s="85"/>
      <c r="T400" s="85"/>
      <c r="U400" s="1"/>
      <c r="V400" s="1"/>
    </row>
    <row r="401" spans="3:22" x14ac:dyDescent="0.3">
      <c r="C401" s="21"/>
      <c r="D401" s="1"/>
      <c r="E401" s="1"/>
      <c r="F401" s="1"/>
      <c r="G401" s="1"/>
      <c r="H401" s="1"/>
      <c r="I401" s="1"/>
      <c r="J401" s="1"/>
      <c r="L401" s="85"/>
      <c r="M401" s="85"/>
      <c r="N401" s="85"/>
      <c r="O401" s="85"/>
      <c r="P401" s="85"/>
      <c r="Q401" s="85"/>
      <c r="R401" s="85"/>
      <c r="S401" s="85"/>
      <c r="T401" s="85"/>
      <c r="U401" s="1"/>
      <c r="V401" s="1"/>
    </row>
    <row r="402" spans="3:22" x14ac:dyDescent="0.3">
      <c r="C402" s="21"/>
      <c r="D402" s="1"/>
      <c r="E402" s="1"/>
      <c r="F402" s="1"/>
      <c r="G402" s="1"/>
      <c r="H402" s="1"/>
      <c r="I402" s="1"/>
      <c r="J402" s="1"/>
      <c r="L402" s="85"/>
      <c r="M402" s="85"/>
      <c r="N402" s="85"/>
      <c r="O402" s="85"/>
      <c r="P402" s="85"/>
      <c r="Q402" s="85"/>
      <c r="R402" s="85"/>
      <c r="S402" s="85"/>
      <c r="T402" s="85"/>
      <c r="U402" s="1"/>
      <c r="V402" s="1"/>
    </row>
    <row r="403" spans="3:22" x14ac:dyDescent="0.3">
      <c r="C403" s="21"/>
      <c r="D403" s="1"/>
      <c r="E403" s="1"/>
      <c r="F403" s="1"/>
      <c r="G403" s="1"/>
      <c r="H403" s="1"/>
      <c r="I403" s="1"/>
      <c r="J403" s="1"/>
      <c r="L403" s="85"/>
      <c r="M403" s="85"/>
      <c r="N403" s="85"/>
      <c r="O403" s="85"/>
      <c r="P403" s="85"/>
      <c r="Q403" s="85"/>
      <c r="R403" s="85"/>
      <c r="S403" s="85"/>
      <c r="T403" s="85"/>
      <c r="U403" s="1"/>
      <c r="V403" s="1"/>
    </row>
    <row r="404" spans="3:22" x14ac:dyDescent="0.3">
      <c r="C404" s="21"/>
      <c r="D404" s="1"/>
      <c r="E404" s="1"/>
      <c r="F404" s="1"/>
      <c r="G404" s="1"/>
      <c r="H404" s="1"/>
      <c r="I404" s="1"/>
      <c r="J404" s="1"/>
      <c r="L404" s="85"/>
      <c r="M404" s="85"/>
      <c r="N404" s="85"/>
      <c r="O404" s="85"/>
      <c r="P404" s="85"/>
      <c r="Q404" s="85"/>
      <c r="R404" s="85"/>
      <c r="S404" s="85"/>
      <c r="T404" s="85"/>
      <c r="U404" s="1"/>
      <c r="V404" s="1"/>
    </row>
    <row r="405" spans="3:22" x14ac:dyDescent="0.3">
      <c r="C405" s="21"/>
      <c r="D405" s="1"/>
      <c r="E405" s="1"/>
      <c r="F405" s="1"/>
      <c r="G405" s="1"/>
      <c r="H405" s="1"/>
      <c r="I405" s="1"/>
      <c r="J405" s="1"/>
      <c r="L405" s="85"/>
      <c r="M405" s="85"/>
      <c r="N405" s="85"/>
      <c r="O405" s="85"/>
      <c r="P405" s="85"/>
      <c r="Q405" s="85"/>
      <c r="R405" s="85"/>
      <c r="S405" s="85"/>
      <c r="T405" s="85"/>
      <c r="U405" s="1"/>
      <c r="V405" s="1"/>
    </row>
    <row r="406" spans="3:22" x14ac:dyDescent="0.3">
      <c r="C406" s="21"/>
      <c r="D406" s="1"/>
      <c r="E406" s="1"/>
      <c r="F406" s="1"/>
      <c r="G406" s="1"/>
      <c r="H406" s="1"/>
      <c r="I406" s="1"/>
      <c r="J406" s="1"/>
      <c r="L406" s="85"/>
      <c r="M406" s="85"/>
      <c r="N406" s="85"/>
      <c r="O406" s="85"/>
      <c r="P406" s="85"/>
      <c r="Q406" s="85"/>
      <c r="R406" s="85"/>
      <c r="S406" s="85"/>
      <c r="T406" s="85"/>
      <c r="U406" s="1"/>
      <c r="V406" s="1"/>
    </row>
    <row r="407" spans="3:22" x14ac:dyDescent="0.3">
      <c r="C407" s="21"/>
      <c r="D407" s="1"/>
      <c r="E407" s="1"/>
      <c r="F407" s="1"/>
      <c r="G407" s="1"/>
      <c r="H407" s="1"/>
      <c r="I407" s="1"/>
      <c r="J407" s="1"/>
      <c r="L407" s="85"/>
      <c r="M407" s="85"/>
      <c r="N407" s="85"/>
      <c r="O407" s="85"/>
      <c r="P407" s="85"/>
      <c r="Q407" s="85"/>
      <c r="R407" s="85"/>
      <c r="S407" s="85"/>
      <c r="T407" s="85"/>
      <c r="U407" s="1"/>
      <c r="V407" s="1"/>
    </row>
    <row r="408" spans="3:22" x14ac:dyDescent="0.3">
      <c r="C408" s="21"/>
      <c r="D408" s="1"/>
      <c r="E408" s="1"/>
      <c r="F408" s="1"/>
      <c r="G408" s="1"/>
      <c r="H408" s="1"/>
      <c r="I408" s="1"/>
      <c r="J408" s="1"/>
      <c r="L408" s="85"/>
      <c r="M408" s="85"/>
      <c r="N408" s="85"/>
      <c r="O408" s="85"/>
      <c r="P408" s="85"/>
      <c r="Q408" s="85"/>
      <c r="R408" s="85"/>
      <c r="S408" s="85"/>
      <c r="T408" s="85"/>
      <c r="U408" s="1"/>
      <c r="V408" s="1"/>
    </row>
    <row r="409" spans="3:22" x14ac:dyDescent="0.3">
      <c r="C409" s="21"/>
      <c r="D409" s="1"/>
      <c r="E409" s="1"/>
      <c r="F409" s="1"/>
      <c r="G409" s="1"/>
      <c r="H409" s="1"/>
      <c r="I409" s="1"/>
      <c r="J409" s="1"/>
      <c r="L409" s="85"/>
      <c r="M409" s="85"/>
      <c r="N409" s="85"/>
      <c r="O409" s="85"/>
      <c r="P409" s="85"/>
      <c r="Q409" s="85"/>
      <c r="R409" s="85"/>
      <c r="S409" s="85"/>
      <c r="T409" s="85"/>
      <c r="U409" s="1"/>
      <c r="V409" s="1"/>
    </row>
    <row r="410" spans="3:22" x14ac:dyDescent="0.3">
      <c r="C410" s="21"/>
      <c r="D410" s="1"/>
      <c r="E410" s="1"/>
      <c r="F410" s="1"/>
      <c r="G410" s="1"/>
      <c r="H410" s="1"/>
      <c r="I410" s="1"/>
      <c r="J410" s="1"/>
      <c r="L410" s="85"/>
      <c r="M410" s="85"/>
      <c r="N410" s="85"/>
      <c r="O410" s="85"/>
      <c r="P410" s="85"/>
      <c r="Q410" s="85"/>
      <c r="R410" s="85"/>
      <c r="S410" s="85"/>
      <c r="T410" s="85"/>
      <c r="U410" s="1"/>
      <c r="V410" s="1"/>
    </row>
    <row r="411" spans="3:22" x14ac:dyDescent="0.3">
      <c r="C411" s="21"/>
      <c r="D411" s="1"/>
      <c r="E411" s="1"/>
      <c r="F411" s="1"/>
      <c r="G411" s="1"/>
      <c r="H411" s="1"/>
      <c r="I411" s="1"/>
      <c r="J411" s="1"/>
      <c r="L411" s="85"/>
      <c r="M411" s="85"/>
      <c r="N411" s="85"/>
      <c r="O411" s="85"/>
      <c r="P411" s="85"/>
      <c r="Q411" s="85"/>
      <c r="R411" s="85"/>
      <c r="S411" s="85"/>
      <c r="T411" s="85"/>
      <c r="U411" s="1"/>
      <c r="V411" s="1"/>
    </row>
    <row r="412" spans="3:22" x14ac:dyDescent="0.3">
      <c r="C412" s="21"/>
      <c r="D412" s="1"/>
      <c r="E412" s="1"/>
      <c r="F412" s="1"/>
      <c r="G412" s="1"/>
      <c r="H412" s="1"/>
      <c r="I412" s="1"/>
      <c r="J412" s="1"/>
      <c r="L412" s="85"/>
      <c r="M412" s="85"/>
      <c r="N412" s="85"/>
      <c r="O412" s="85"/>
      <c r="P412" s="85"/>
      <c r="Q412" s="85"/>
      <c r="R412" s="85"/>
      <c r="S412" s="85"/>
      <c r="T412" s="85"/>
      <c r="U412" s="1"/>
      <c r="V412" s="1"/>
    </row>
    <row r="413" spans="3:22" x14ac:dyDescent="0.3">
      <c r="C413" s="21"/>
      <c r="D413" s="1"/>
      <c r="E413" s="1"/>
      <c r="F413" s="1"/>
      <c r="G413" s="1"/>
      <c r="H413" s="1"/>
      <c r="I413" s="1"/>
      <c r="J413" s="1"/>
      <c r="L413" s="85"/>
      <c r="M413" s="85"/>
      <c r="N413" s="85"/>
      <c r="O413" s="85"/>
      <c r="P413" s="85"/>
      <c r="Q413" s="85"/>
      <c r="R413" s="85"/>
      <c r="S413" s="85"/>
      <c r="T413" s="85"/>
      <c r="U413" s="1"/>
      <c r="V413" s="1"/>
    </row>
    <row r="414" spans="3:22" x14ac:dyDescent="0.3">
      <c r="C414" s="21"/>
      <c r="D414" s="1"/>
      <c r="E414" s="1"/>
      <c r="F414" s="1"/>
      <c r="G414" s="1"/>
      <c r="H414" s="1"/>
      <c r="I414" s="1"/>
      <c r="J414" s="1"/>
      <c r="L414" s="85"/>
      <c r="M414" s="85"/>
      <c r="N414" s="85"/>
      <c r="O414" s="85"/>
      <c r="P414" s="85"/>
      <c r="Q414" s="85"/>
      <c r="R414" s="85"/>
      <c r="S414" s="85"/>
      <c r="T414" s="85"/>
      <c r="U414" s="1"/>
      <c r="V414" s="1"/>
    </row>
    <row r="415" spans="3:22" x14ac:dyDescent="0.3">
      <c r="C415" s="21"/>
      <c r="D415" s="1"/>
      <c r="E415" s="1"/>
      <c r="F415" s="1"/>
      <c r="G415" s="1"/>
      <c r="H415" s="1"/>
      <c r="I415" s="1"/>
      <c r="J415" s="1"/>
      <c r="L415" s="85"/>
      <c r="M415" s="85"/>
      <c r="N415" s="85"/>
      <c r="O415" s="85"/>
      <c r="P415" s="85"/>
      <c r="Q415" s="85"/>
      <c r="R415" s="85"/>
      <c r="S415" s="85"/>
      <c r="T415" s="85"/>
      <c r="U415" s="1"/>
      <c r="V415" s="1"/>
    </row>
    <row r="416" spans="3:22" x14ac:dyDescent="0.3">
      <c r="C416" s="21"/>
      <c r="D416" s="1"/>
      <c r="E416" s="1"/>
      <c r="F416" s="1"/>
      <c r="G416" s="1"/>
      <c r="H416" s="1"/>
      <c r="I416" s="1"/>
      <c r="J416" s="1"/>
      <c r="L416" s="85"/>
      <c r="M416" s="85"/>
      <c r="N416" s="85"/>
      <c r="O416" s="85"/>
      <c r="P416" s="85"/>
      <c r="Q416" s="85"/>
      <c r="R416" s="85"/>
      <c r="S416" s="85"/>
      <c r="T416" s="85"/>
      <c r="U416" s="1"/>
      <c r="V416" s="1"/>
    </row>
    <row r="417" spans="3:22" x14ac:dyDescent="0.3">
      <c r="C417" s="21"/>
      <c r="D417" s="1"/>
      <c r="E417" s="1"/>
      <c r="F417" s="1"/>
      <c r="G417" s="1"/>
      <c r="H417" s="1"/>
      <c r="I417" s="1"/>
      <c r="J417" s="1"/>
      <c r="L417" s="85"/>
      <c r="M417" s="85"/>
      <c r="N417" s="85"/>
      <c r="O417" s="85"/>
      <c r="P417" s="85"/>
      <c r="Q417" s="85"/>
      <c r="R417" s="85"/>
      <c r="S417" s="85"/>
      <c r="T417" s="85"/>
      <c r="U417" s="1"/>
      <c r="V417" s="1"/>
    </row>
    <row r="418" spans="3:22" x14ac:dyDescent="0.3">
      <c r="C418" s="21"/>
      <c r="D418" s="1"/>
      <c r="E418" s="1"/>
      <c r="F418" s="1"/>
      <c r="G418" s="1"/>
      <c r="H418" s="1"/>
      <c r="I418" s="1"/>
      <c r="J418" s="1"/>
      <c r="L418" s="85"/>
      <c r="M418" s="85"/>
      <c r="N418" s="85"/>
      <c r="O418" s="85"/>
      <c r="P418" s="85"/>
      <c r="Q418" s="85"/>
      <c r="R418" s="85"/>
      <c r="S418" s="85"/>
      <c r="T418" s="85"/>
      <c r="U418" s="1"/>
      <c r="V418" s="1"/>
    </row>
    <row r="419" spans="3:22" x14ac:dyDescent="0.3">
      <c r="C419" s="21"/>
      <c r="D419" s="1"/>
      <c r="E419" s="1"/>
      <c r="F419" s="1"/>
      <c r="G419" s="1"/>
      <c r="H419" s="1"/>
      <c r="I419" s="1"/>
      <c r="J419" s="1"/>
      <c r="L419" s="85"/>
      <c r="M419" s="85"/>
      <c r="N419" s="85"/>
      <c r="O419" s="85"/>
      <c r="P419" s="85"/>
      <c r="Q419" s="85"/>
      <c r="R419" s="85"/>
      <c r="S419" s="85"/>
      <c r="T419" s="85"/>
      <c r="U419" s="1"/>
      <c r="V419" s="1"/>
    </row>
    <row r="420" spans="3:22" x14ac:dyDescent="0.3">
      <c r="C420" s="21"/>
      <c r="D420" s="1"/>
      <c r="E420" s="1"/>
      <c r="F420" s="1"/>
      <c r="G420" s="1"/>
      <c r="H420" s="1"/>
      <c r="I420" s="1"/>
      <c r="J420" s="1"/>
      <c r="L420" s="85"/>
      <c r="M420" s="85"/>
      <c r="N420" s="85"/>
      <c r="O420" s="85"/>
      <c r="P420" s="85"/>
      <c r="Q420" s="85"/>
      <c r="R420" s="85"/>
      <c r="S420" s="85"/>
      <c r="T420" s="85"/>
      <c r="U420" s="1"/>
      <c r="V420" s="1"/>
    </row>
    <row r="421" spans="3:22" x14ac:dyDescent="0.3">
      <c r="C421" s="21"/>
      <c r="D421" s="1"/>
      <c r="E421" s="1"/>
      <c r="F421" s="1"/>
      <c r="G421" s="1"/>
      <c r="H421" s="1"/>
      <c r="I421" s="1"/>
      <c r="J421" s="1"/>
      <c r="L421" s="85"/>
      <c r="M421" s="85"/>
      <c r="N421" s="85"/>
      <c r="O421" s="85"/>
      <c r="P421" s="85"/>
      <c r="Q421" s="85"/>
      <c r="R421" s="85"/>
      <c r="S421" s="85"/>
      <c r="T421" s="85"/>
      <c r="U421" s="1"/>
      <c r="V421" s="1"/>
    </row>
    <row r="422" spans="3:22" x14ac:dyDescent="0.3">
      <c r="C422" s="21"/>
      <c r="D422" s="1"/>
      <c r="E422" s="1"/>
      <c r="F422" s="1"/>
      <c r="G422" s="1"/>
      <c r="H422" s="1"/>
      <c r="I422" s="1"/>
      <c r="J422" s="1"/>
      <c r="L422" s="85"/>
      <c r="M422" s="85"/>
      <c r="N422" s="85"/>
      <c r="O422" s="85"/>
      <c r="P422" s="85"/>
      <c r="Q422" s="85"/>
      <c r="R422" s="85"/>
      <c r="S422" s="85"/>
      <c r="T422" s="85"/>
      <c r="U422" s="1"/>
      <c r="V422" s="1"/>
    </row>
    <row r="423" spans="3:22" x14ac:dyDescent="0.3">
      <c r="C423" s="21"/>
      <c r="D423" s="1"/>
      <c r="E423" s="1"/>
      <c r="F423" s="1"/>
      <c r="G423" s="1"/>
      <c r="H423" s="1"/>
      <c r="I423" s="1"/>
      <c r="J423" s="1"/>
      <c r="L423" s="85"/>
      <c r="M423" s="85"/>
      <c r="N423" s="85"/>
      <c r="O423" s="85"/>
      <c r="P423" s="85"/>
      <c r="Q423" s="85"/>
      <c r="R423" s="85"/>
      <c r="S423" s="85"/>
      <c r="T423" s="85"/>
      <c r="U423" s="1"/>
      <c r="V423" s="1"/>
    </row>
    <row r="424" spans="3:22" x14ac:dyDescent="0.3">
      <c r="C424" s="21"/>
      <c r="D424" s="1"/>
      <c r="E424" s="1"/>
      <c r="F424" s="1"/>
      <c r="G424" s="1"/>
      <c r="H424" s="1"/>
      <c r="I424" s="1"/>
      <c r="J424" s="1"/>
      <c r="L424" s="85"/>
      <c r="M424" s="85"/>
      <c r="N424" s="85"/>
      <c r="O424" s="85"/>
      <c r="P424" s="85"/>
      <c r="Q424" s="85"/>
      <c r="R424" s="85"/>
      <c r="S424" s="85"/>
      <c r="T424" s="85"/>
      <c r="U424" s="1"/>
      <c r="V424" s="1"/>
    </row>
    <row r="425" spans="3:22" x14ac:dyDescent="0.3">
      <c r="C425" s="21"/>
      <c r="D425" s="1"/>
      <c r="E425" s="1"/>
      <c r="F425" s="1"/>
      <c r="G425" s="1"/>
      <c r="H425" s="1"/>
      <c r="I425" s="1"/>
      <c r="J425" s="1"/>
      <c r="L425" s="85"/>
      <c r="M425" s="85"/>
      <c r="N425" s="85"/>
      <c r="O425" s="85"/>
      <c r="P425" s="85"/>
      <c r="Q425" s="85"/>
      <c r="R425" s="85"/>
      <c r="S425" s="85"/>
      <c r="T425" s="85"/>
      <c r="U425" s="1"/>
      <c r="V425" s="1"/>
    </row>
    <row r="426" spans="3:22" x14ac:dyDescent="0.3">
      <c r="C426" s="21"/>
      <c r="D426" s="1"/>
      <c r="E426" s="1"/>
      <c r="F426" s="1"/>
      <c r="G426" s="1"/>
      <c r="H426" s="1"/>
      <c r="I426" s="1"/>
      <c r="J426" s="1"/>
      <c r="L426" s="85"/>
      <c r="M426" s="85"/>
      <c r="N426" s="85"/>
      <c r="O426" s="85"/>
      <c r="P426" s="85"/>
      <c r="Q426" s="85"/>
      <c r="R426" s="85"/>
      <c r="S426" s="85"/>
      <c r="T426" s="85"/>
      <c r="U426" s="1"/>
      <c r="V426" s="1"/>
    </row>
    <row r="427" spans="3:22" x14ac:dyDescent="0.3">
      <c r="C427" s="21"/>
      <c r="D427" s="1"/>
      <c r="E427" s="1"/>
      <c r="F427" s="1"/>
      <c r="G427" s="1"/>
      <c r="H427" s="1"/>
      <c r="I427" s="1"/>
      <c r="J427" s="1"/>
      <c r="L427" s="85"/>
      <c r="M427" s="85"/>
      <c r="N427" s="85"/>
      <c r="O427" s="85"/>
      <c r="P427" s="85"/>
      <c r="Q427" s="85"/>
      <c r="R427" s="85"/>
      <c r="S427" s="85"/>
      <c r="T427" s="85"/>
      <c r="U427" s="1"/>
      <c r="V427" s="1"/>
    </row>
    <row r="428" spans="3:22" x14ac:dyDescent="0.3">
      <c r="C428" s="21"/>
      <c r="D428" s="1"/>
      <c r="E428" s="1"/>
      <c r="F428" s="1"/>
      <c r="G428" s="1"/>
      <c r="H428" s="1"/>
      <c r="I428" s="1"/>
      <c r="J428" s="1"/>
      <c r="L428" s="85"/>
      <c r="M428" s="85"/>
      <c r="N428" s="85"/>
      <c r="O428" s="85"/>
      <c r="P428" s="85"/>
      <c r="Q428" s="85"/>
      <c r="R428" s="85"/>
      <c r="S428" s="85"/>
      <c r="T428" s="85"/>
      <c r="U428" s="1"/>
      <c r="V428" s="1"/>
    </row>
    <row r="429" spans="3:22" x14ac:dyDescent="0.3">
      <c r="C429" s="21"/>
      <c r="D429" s="1"/>
      <c r="E429" s="1"/>
      <c r="F429" s="1"/>
      <c r="G429" s="1"/>
      <c r="H429" s="1"/>
      <c r="I429" s="1"/>
      <c r="J429" s="1"/>
      <c r="L429" s="85"/>
      <c r="M429" s="85"/>
      <c r="N429" s="85"/>
      <c r="O429" s="85"/>
      <c r="P429" s="85"/>
      <c r="Q429" s="85"/>
      <c r="R429" s="85"/>
      <c r="S429" s="85"/>
      <c r="T429" s="85"/>
      <c r="U429" s="1"/>
      <c r="V429" s="1"/>
    </row>
    <row r="430" spans="3:22" x14ac:dyDescent="0.3">
      <c r="C430" s="21"/>
      <c r="D430" s="1"/>
      <c r="E430" s="1"/>
      <c r="F430" s="1"/>
      <c r="G430" s="1"/>
      <c r="H430" s="1"/>
      <c r="I430" s="1"/>
      <c r="J430" s="1"/>
      <c r="L430" s="85"/>
      <c r="M430" s="85"/>
      <c r="N430" s="85"/>
      <c r="O430" s="85"/>
      <c r="P430" s="85"/>
      <c r="Q430" s="85"/>
      <c r="R430" s="85"/>
      <c r="S430" s="85"/>
      <c r="T430" s="85"/>
      <c r="U430" s="1"/>
      <c r="V430" s="1"/>
    </row>
    <row r="431" spans="3:22" x14ac:dyDescent="0.3">
      <c r="C431" s="21"/>
      <c r="D431" s="1"/>
      <c r="E431" s="1"/>
      <c r="F431" s="1"/>
      <c r="G431" s="1"/>
      <c r="H431" s="1"/>
      <c r="I431" s="1"/>
      <c r="J431" s="1"/>
      <c r="L431" s="85"/>
      <c r="M431" s="85"/>
      <c r="N431" s="85"/>
      <c r="O431" s="85"/>
      <c r="P431" s="85"/>
      <c r="Q431" s="85"/>
      <c r="R431" s="85"/>
      <c r="S431" s="85"/>
      <c r="T431" s="85"/>
      <c r="U431" s="1"/>
      <c r="V431" s="1"/>
    </row>
    <row r="432" spans="3:22" x14ac:dyDescent="0.3">
      <c r="C432" s="21"/>
      <c r="D432" s="1"/>
      <c r="E432" s="1"/>
      <c r="F432" s="1"/>
      <c r="G432" s="1"/>
      <c r="H432" s="1"/>
      <c r="I432" s="1"/>
      <c r="J432" s="1"/>
      <c r="L432" s="85"/>
      <c r="M432" s="85"/>
      <c r="N432" s="85"/>
      <c r="O432" s="85"/>
      <c r="P432" s="85"/>
      <c r="Q432" s="85"/>
      <c r="R432" s="85"/>
      <c r="S432" s="85"/>
      <c r="T432" s="85"/>
      <c r="U432" s="1"/>
      <c r="V432" s="1"/>
    </row>
    <row r="433" spans="3:22" x14ac:dyDescent="0.3">
      <c r="C433" s="21"/>
      <c r="D433" s="1"/>
      <c r="E433" s="1"/>
      <c r="F433" s="1"/>
      <c r="G433" s="1"/>
      <c r="H433" s="1"/>
      <c r="I433" s="1"/>
      <c r="J433" s="1"/>
      <c r="L433" s="85"/>
      <c r="M433" s="85"/>
      <c r="N433" s="85"/>
      <c r="O433" s="85"/>
      <c r="P433" s="85"/>
      <c r="Q433" s="85"/>
      <c r="R433" s="85"/>
      <c r="S433" s="85"/>
      <c r="T433" s="85"/>
      <c r="U433" s="1"/>
      <c r="V433" s="1"/>
    </row>
    <row r="434" spans="3:22" x14ac:dyDescent="0.3">
      <c r="C434" s="21"/>
      <c r="D434" s="1"/>
      <c r="E434" s="1"/>
      <c r="F434" s="1"/>
      <c r="G434" s="1"/>
      <c r="H434" s="1"/>
      <c r="I434" s="1"/>
      <c r="J434" s="1"/>
      <c r="L434" s="85"/>
      <c r="M434" s="85"/>
      <c r="N434" s="85"/>
      <c r="O434" s="85"/>
      <c r="P434" s="85"/>
      <c r="Q434" s="85"/>
      <c r="R434" s="85"/>
      <c r="S434" s="85"/>
      <c r="T434" s="85"/>
      <c r="U434" s="1"/>
      <c r="V434" s="1"/>
    </row>
    <row r="435" spans="3:22" x14ac:dyDescent="0.3">
      <c r="C435" s="21"/>
      <c r="D435" s="1"/>
      <c r="E435" s="1"/>
      <c r="F435" s="1"/>
      <c r="G435" s="1"/>
      <c r="H435" s="1"/>
      <c r="I435" s="1"/>
      <c r="J435" s="1"/>
      <c r="L435" s="85"/>
      <c r="M435" s="85"/>
      <c r="N435" s="85"/>
      <c r="O435" s="85"/>
      <c r="P435" s="85"/>
      <c r="Q435" s="85"/>
      <c r="R435" s="85"/>
      <c r="S435" s="85"/>
      <c r="T435" s="85"/>
      <c r="U435" s="1"/>
      <c r="V435" s="1"/>
    </row>
    <row r="436" spans="3:22" x14ac:dyDescent="0.3">
      <c r="C436" s="21"/>
      <c r="D436" s="1"/>
      <c r="E436" s="1"/>
      <c r="F436" s="1"/>
      <c r="G436" s="1"/>
      <c r="H436" s="1"/>
      <c r="I436" s="1"/>
      <c r="J436" s="1"/>
      <c r="L436" s="85"/>
      <c r="M436" s="85"/>
      <c r="N436" s="85"/>
      <c r="O436" s="85"/>
      <c r="P436" s="85"/>
      <c r="Q436" s="85"/>
      <c r="R436" s="85"/>
      <c r="S436" s="85"/>
      <c r="T436" s="85"/>
      <c r="U436" s="1"/>
      <c r="V436" s="1"/>
    </row>
    <row r="437" spans="3:22" x14ac:dyDescent="0.3">
      <c r="C437" s="21"/>
      <c r="D437" s="1"/>
      <c r="E437" s="1"/>
      <c r="F437" s="1"/>
      <c r="G437" s="1"/>
      <c r="H437" s="1"/>
      <c r="I437" s="1"/>
      <c r="J437" s="1"/>
      <c r="L437" s="85"/>
      <c r="M437" s="85"/>
      <c r="N437" s="85"/>
      <c r="O437" s="85"/>
      <c r="P437" s="85"/>
      <c r="Q437" s="85"/>
      <c r="R437" s="85"/>
      <c r="S437" s="85"/>
      <c r="T437" s="85"/>
      <c r="U437" s="1"/>
      <c r="V437" s="1"/>
    </row>
    <row r="438" spans="3:22" x14ac:dyDescent="0.3">
      <c r="C438" s="21"/>
      <c r="D438" s="1"/>
      <c r="E438" s="1"/>
      <c r="F438" s="1"/>
      <c r="G438" s="1"/>
      <c r="H438" s="1"/>
      <c r="I438" s="1"/>
      <c r="J438" s="1"/>
      <c r="L438" s="85"/>
      <c r="M438" s="85"/>
      <c r="N438" s="85"/>
      <c r="O438" s="85"/>
      <c r="P438" s="85"/>
      <c r="Q438" s="85"/>
      <c r="R438" s="85"/>
      <c r="S438" s="85"/>
      <c r="T438" s="85"/>
      <c r="U438" s="1"/>
      <c r="V438" s="1"/>
    </row>
    <row r="439" spans="3:22" x14ac:dyDescent="0.3">
      <c r="C439" s="21"/>
      <c r="D439" s="1"/>
      <c r="E439" s="1"/>
      <c r="F439" s="1"/>
      <c r="G439" s="1"/>
      <c r="H439" s="1"/>
      <c r="I439" s="1"/>
      <c r="J439" s="1"/>
      <c r="L439" s="85"/>
      <c r="M439" s="85"/>
      <c r="N439" s="85"/>
      <c r="O439" s="85"/>
      <c r="P439" s="85"/>
      <c r="Q439" s="85"/>
      <c r="R439" s="85"/>
      <c r="S439" s="85"/>
      <c r="T439" s="85"/>
      <c r="U439" s="1"/>
      <c r="V439" s="1"/>
    </row>
    <row r="440" spans="3:22" x14ac:dyDescent="0.3">
      <c r="C440" s="21"/>
      <c r="D440" s="1"/>
      <c r="E440" s="1"/>
      <c r="F440" s="1"/>
      <c r="G440" s="1"/>
      <c r="H440" s="1"/>
      <c r="I440" s="1"/>
      <c r="J440" s="1"/>
      <c r="L440" s="85"/>
      <c r="M440" s="85"/>
      <c r="N440" s="85"/>
      <c r="O440" s="85"/>
      <c r="P440" s="85"/>
      <c r="Q440" s="85"/>
      <c r="R440" s="85"/>
      <c r="S440" s="85"/>
      <c r="T440" s="85"/>
      <c r="U440" s="1"/>
      <c r="V440" s="1"/>
    </row>
    <row r="441" spans="3:22" x14ac:dyDescent="0.3">
      <c r="C441" s="21"/>
      <c r="D441" s="1"/>
      <c r="E441" s="1"/>
      <c r="F441" s="1"/>
      <c r="G441" s="1"/>
      <c r="H441" s="1"/>
      <c r="I441" s="1"/>
      <c r="J441" s="1"/>
      <c r="L441" s="85"/>
      <c r="M441" s="85"/>
      <c r="N441" s="85"/>
      <c r="O441" s="85"/>
      <c r="P441" s="85"/>
      <c r="Q441" s="85"/>
      <c r="R441" s="85"/>
      <c r="S441" s="85"/>
      <c r="T441" s="85"/>
      <c r="U441" s="1"/>
      <c r="V441" s="1"/>
    </row>
    <row r="442" spans="3:22" x14ac:dyDescent="0.3">
      <c r="C442" s="21"/>
      <c r="D442" s="1"/>
      <c r="E442" s="1"/>
      <c r="F442" s="1"/>
      <c r="G442" s="1"/>
      <c r="H442" s="1"/>
      <c r="I442" s="1"/>
      <c r="J442" s="1"/>
      <c r="L442" s="85"/>
      <c r="M442" s="85"/>
      <c r="N442" s="85"/>
      <c r="O442" s="85"/>
      <c r="P442" s="85"/>
      <c r="Q442" s="85"/>
      <c r="R442" s="85"/>
      <c r="S442" s="85"/>
      <c r="T442" s="85"/>
      <c r="U442" s="1"/>
      <c r="V442" s="1"/>
    </row>
    <row r="443" spans="3:22" x14ac:dyDescent="0.3">
      <c r="C443" s="21"/>
      <c r="D443" s="1"/>
      <c r="E443" s="1"/>
      <c r="F443" s="1"/>
      <c r="G443" s="1"/>
      <c r="H443" s="1"/>
      <c r="I443" s="1"/>
      <c r="J443" s="1"/>
      <c r="L443" s="85"/>
      <c r="M443" s="85"/>
      <c r="N443" s="85"/>
      <c r="O443" s="85"/>
      <c r="P443" s="85"/>
      <c r="Q443" s="85"/>
      <c r="R443" s="85"/>
      <c r="S443" s="85"/>
      <c r="T443" s="85"/>
      <c r="U443" s="1"/>
      <c r="V443" s="1"/>
    </row>
    <row r="444" spans="3:22" x14ac:dyDescent="0.3">
      <c r="C444" s="21"/>
      <c r="D444" s="1"/>
      <c r="E444" s="1"/>
      <c r="F444" s="1"/>
      <c r="G444" s="1"/>
      <c r="H444" s="1"/>
      <c r="I444" s="1"/>
      <c r="J444" s="1"/>
      <c r="L444" s="85"/>
      <c r="M444" s="85"/>
      <c r="N444" s="85"/>
      <c r="O444" s="85"/>
      <c r="P444" s="85"/>
      <c r="Q444" s="85"/>
      <c r="R444" s="85"/>
      <c r="S444" s="85"/>
      <c r="T444" s="85"/>
      <c r="U444" s="1"/>
      <c r="V444" s="1"/>
    </row>
    <row r="445" spans="3:22" x14ac:dyDescent="0.3">
      <c r="C445" s="21"/>
      <c r="D445" s="1"/>
      <c r="E445" s="1"/>
      <c r="F445" s="1"/>
      <c r="G445" s="1"/>
      <c r="H445" s="1"/>
      <c r="I445" s="1"/>
      <c r="J445" s="1"/>
      <c r="L445" s="85"/>
      <c r="M445" s="85"/>
      <c r="N445" s="85"/>
      <c r="O445" s="85"/>
      <c r="P445" s="85"/>
      <c r="Q445" s="85"/>
      <c r="R445" s="85"/>
      <c r="S445" s="85"/>
      <c r="T445" s="85"/>
      <c r="U445" s="1"/>
      <c r="V445" s="1"/>
    </row>
    <row r="446" spans="3:22" x14ac:dyDescent="0.3">
      <c r="C446" s="21"/>
      <c r="D446" s="1"/>
      <c r="E446" s="1"/>
      <c r="F446" s="1"/>
      <c r="G446" s="1"/>
      <c r="H446" s="1"/>
      <c r="I446" s="1"/>
      <c r="J446" s="1"/>
      <c r="L446" s="85"/>
      <c r="M446" s="85"/>
      <c r="N446" s="85"/>
      <c r="O446" s="85"/>
      <c r="P446" s="85"/>
      <c r="Q446" s="85"/>
      <c r="R446" s="85"/>
      <c r="S446" s="85"/>
      <c r="T446" s="85"/>
      <c r="U446" s="1"/>
      <c r="V446" s="1"/>
    </row>
    <row r="447" spans="3:22" x14ac:dyDescent="0.3">
      <c r="C447" s="21"/>
      <c r="D447" s="1"/>
      <c r="E447" s="1"/>
      <c r="F447" s="1"/>
      <c r="G447" s="1"/>
      <c r="H447" s="1"/>
      <c r="I447" s="1"/>
      <c r="J447" s="1"/>
      <c r="L447" s="85"/>
      <c r="M447" s="85"/>
      <c r="N447" s="85"/>
      <c r="O447" s="85"/>
      <c r="P447" s="85"/>
      <c r="Q447" s="85"/>
      <c r="R447" s="85"/>
      <c r="S447" s="85"/>
      <c r="T447" s="85"/>
      <c r="U447" s="1"/>
      <c r="V447" s="1"/>
    </row>
    <row r="448" spans="3:22" x14ac:dyDescent="0.3">
      <c r="C448" s="21"/>
      <c r="D448" s="1"/>
      <c r="E448" s="1"/>
      <c r="F448" s="1"/>
      <c r="G448" s="1"/>
      <c r="H448" s="1"/>
      <c r="I448" s="1"/>
      <c r="J448" s="1"/>
      <c r="L448" s="85"/>
      <c r="M448" s="85"/>
      <c r="N448" s="85"/>
      <c r="O448" s="85"/>
      <c r="P448" s="85"/>
      <c r="Q448" s="85"/>
      <c r="R448" s="85"/>
      <c r="S448" s="85"/>
      <c r="T448" s="85"/>
      <c r="U448" s="1"/>
      <c r="V448" s="1"/>
    </row>
    <row r="449" spans="3:22" x14ac:dyDescent="0.3">
      <c r="C449" s="21"/>
      <c r="D449" s="1"/>
      <c r="E449" s="1"/>
      <c r="F449" s="1"/>
      <c r="G449" s="1"/>
      <c r="H449" s="1"/>
      <c r="I449" s="1"/>
      <c r="J449" s="1"/>
      <c r="L449" s="85"/>
      <c r="M449" s="85"/>
      <c r="N449" s="85"/>
      <c r="O449" s="85"/>
      <c r="P449" s="85"/>
      <c r="Q449" s="85"/>
      <c r="R449" s="85"/>
      <c r="S449" s="85"/>
      <c r="T449" s="85"/>
      <c r="U449" s="1"/>
      <c r="V449" s="1"/>
    </row>
    <row r="450" spans="3:22" x14ac:dyDescent="0.3">
      <c r="C450" s="21"/>
      <c r="D450" s="1"/>
      <c r="E450" s="1"/>
      <c r="F450" s="1"/>
      <c r="G450" s="1"/>
      <c r="H450" s="1"/>
      <c r="I450" s="1"/>
      <c r="J450" s="1"/>
      <c r="L450" s="85"/>
      <c r="M450" s="85"/>
      <c r="N450" s="85"/>
      <c r="O450" s="85"/>
      <c r="P450" s="85"/>
      <c r="Q450" s="85"/>
      <c r="R450" s="85"/>
      <c r="S450" s="85"/>
      <c r="T450" s="85"/>
      <c r="U450" s="1"/>
      <c r="V450" s="1"/>
    </row>
    <row r="451" spans="3:22" x14ac:dyDescent="0.3">
      <c r="C451" s="21"/>
      <c r="D451" s="1"/>
      <c r="E451" s="1"/>
      <c r="F451" s="1"/>
      <c r="G451" s="1"/>
      <c r="H451" s="1"/>
      <c r="I451" s="1"/>
      <c r="J451" s="1"/>
      <c r="L451" s="85"/>
      <c r="M451" s="85"/>
      <c r="N451" s="85"/>
      <c r="O451" s="85"/>
      <c r="P451" s="85"/>
      <c r="Q451" s="85"/>
      <c r="R451" s="85"/>
      <c r="S451" s="85"/>
      <c r="T451" s="85"/>
      <c r="U451" s="1"/>
      <c r="V451" s="1"/>
    </row>
    <row r="452" spans="3:22" x14ac:dyDescent="0.3">
      <c r="C452" s="21"/>
      <c r="D452" s="1"/>
      <c r="E452" s="1"/>
      <c r="F452" s="1"/>
      <c r="G452" s="1"/>
      <c r="H452" s="1"/>
      <c r="I452" s="1"/>
      <c r="J452" s="1"/>
      <c r="L452" s="85"/>
      <c r="M452" s="85"/>
      <c r="N452" s="85"/>
      <c r="O452" s="85"/>
      <c r="P452" s="85"/>
      <c r="Q452" s="85"/>
      <c r="R452" s="85"/>
      <c r="S452" s="85"/>
      <c r="T452" s="85"/>
      <c r="U452" s="1"/>
      <c r="V452" s="1"/>
    </row>
    <row r="453" spans="3:22" x14ac:dyDescent="0.3">
      <c r="C453" s="21"/>
      <c r="D453" s="1"/>
      <c r="E453" s="1"/>
      <c r="F453" s="1"/>
      <c r="G453" s="1"/>
      <c r="H453" s="1"/>
      <c r="I453" s="1"/>
      <c r="J453" s="1"/>
      <c r="L453" s="85"/>
      <c r="M453" s="85"/>
      <c r="N453" s="85"/>
      <c r="O453" s="85"/>
      <c r="P453" s="85"/>
      <c r="Q453" s="85"/>
      <c r="R453" s="85"/>
      <c r="S453" s="85"/>
      <c r="T453" s="85"/>
      <c r="U453" s="1"/>
      <c r="V453" s="1"/>
    </row>
    <row r="454" spans="3:22" x14ac:dyDescent="0.3">
      <c r="C454" s="21"/>
      <c r="D454" s="1"/>
      <c r="E454" s="1"/>
      <c r="F454" s="1"/>
      <c r="G454" s="1"/>
      <c r="H454" s="1"/>
      <c r="I454" s="1"/>
      <c r="J454" s="1"/>
      <c r="L454" s="85"/>
      <c r="M454" s="85"/>
      <c r="N454" s="85"/>
      <c r="O454" s="85"/>
      <c r="P454" s="85"/>
      <c r="Q454" s="85"/>
      <c r="R454" s="85"/>
      <c r="S454" s="85"/>
      <c r="T454" s="85"/>
      <c r="U454" s="1"/>
      <c r="V454" s="1"/>
    </row>
    <row r="455" spans="3:22" x14ac:dyDescent="0.3">
      <c r="C455" s="21"/>
      <c r="D455" s="1"/>
      <c r="E455" s="1"/>
      <c r="F455" s="1"/>
      <c r="G455" s="1"/>
      <c r="H455" s="1"/>
      <c r="I455" s="1"/>
      <c r="J455" s="1"/>
      <c r="L455" s="93"/>
      <c r="M455" s="85"/>
      <c r="N455" s="85"/>
      <c r="O455" s="85"/>
      <c r="P455" s="85"/>
      <c r="Q455" s="85"/>
      <c r="R455" s="85"/>
      <c r="S455" s="85"/>
      <c r="T455" s="85"/>
      <c r="U455" s="1"/>
      <c r="V455" s="1"/>
    </row>
    <row r="456" spans="3:22" x14ac:dyDescent="0.3">
      <c r="C456" s="21"/>
      <c r="D456" s="1"/>
      <c r="E456" s="1"/>
      <c r="F456" s="1"/>
      <c r="G456" s="1"/>
      <c r="H456" s="1"/>
      <c r="I456" s="1"/>
      <c r="J456" s="1"/>
      <c r="L456" s="85"/>
      <c r="M456" s="85"/>
      <c r="N456" s="85"/>
      <c r="O456" s="85"/>
      <c r="P456" s="85"/>
      <c r="Q456" s="85"/>
      <c r="R456" s="85"/>
      <c r="S456" s="85"/>
      <c r="T456" s="85"/>
      <c r="U456" s="1"/>
      <c r="V456" s="1"/>
    </row>
    <row r="457" spans="3:22" x14ac:dyDescent="0.3">
      <c r="C457" s="21"/>
      <c r="D457" s="1"/>
      <c r="E457" s="1"/>
      <c r="F457" s="1"/>
      <c r="G457" s="1"/>
      <c r="H457" s="1"/>
      <c r="I457" s="1"/>
      <c r="J457" s="1"/>
      <c r="L457" s="85"/>
      <c r="M457" s="85"/>
      <c r="N457" s="85"/>
      <c r="O457" s="85"/>
      <c r="P457" s="85"/>
      <c r="Q457" s="85"/>
      <c r="R457" s="85"/>
      <c r="S457" s="85"/>
      <c r="T457" s="85"/>
      <c r="U457" s="1"/>
      <c r="V457" s="1"/>
    </row>
    <row r="458" spans="3:22" x14ac:dyDescent="0.3">
      <c r="C458" s="21"/>
      <c r="D458" s="1"/>
      <c r="E458" s="1"/>
      <c r="F458" s="1"/>
      <c r="G458" s="1"/>
      <c r="H458" s="1"/>
      <c r="I458" s="1"/>
      <c r="J458" s="1"/>
      <c r="L458" s="85"/>
      <c r="M458" s="85"/>
      <c r="N458" s="85"/>
      <c r="O458" s="85"/>
      <c r="P458" s="85"/>
      <c r="Q458" s="85"/>
      <c r="R458" s="85"/>
      <c r="S458" s="85"/>
      <c r="T458" s="85"/>
      <c r="U458" s="1"/>
      <c r="V458" s="1"/>
    </row>
    <row r="459" spans="3:22" x14ac:dyDescent="0.3">
      <c r="C459" s="21"/>
      <c r="D459" s="1"/>
      <c r="E459" s="1"/>
      <c r="F459" s="1"/>
      <c r="G459" s="1"/>
      <c r="H459" s="1"/>
      <c r="I459" s="1"/>
      <c r="J459" s="1"/>
      <c r="L459" s="85"/>
      <c r="M459" s="85"/>
      <c r="N459" s="85"/>
      <c r="O459" s="85"/>
      <c r="P459" s="85"/>
      <c r="Q459" s="85"/>
      <c r="R459" s="85"/>
      <c r="S459" s="85"/>
      <c r="T459" s="85"/>
      <c r="U459" s="1"/>
      <c r="V459" s="1"/>
    </row>
    <row r="460" spans="3:22" x14ac:dyDescent="0.3">
      <c r="C460" s="21"/>
      <c r="D460" s="1"/>
      <c r="E460" s="1"/>
      <c r="F460" s="1"/>
      <c r="G460" s="1"/>
      <c r="H460" s="1"/>
      <c r="I460" s="1"/>
      <c r="J460" s="1"/>
      <c r="L460" s="85"/>
      <c r="M460" s="85"/>
      <c r="N460" s="85"/>
      <c r="O460" s="85"/>
      <c r="P460" s="85"/>
      <c r="Q460" s="85"/>
      <c r="R460" s="85"/>
      <c r="S460" s="85"/>
      <c r="T460" s="85"/>
      <c r="U460" s="1"/>
      <c r="V460" s="1"/>
    </row>
    <row r="461" spans="3:22" x14ac:dyDescent="0.3">
      <c r="C461" s="21"/>
      <c r="D461" s="1"/>
      <c r="E461" s="1"/>
      <c r="F461" s="1"/>
      <c r="G461" s="1"/>
      <c r="H461" s="1"/>
      <c r="I461" s="1"/>
      <c r="J461" s="1"/>
      <c r="L461" s="85"/>
      <c r="M461" s="85"/>
      <c r="N461" s="85"/>
      <c r="O461" s="85"/>
      <c r="P461" s="85"/>
      <c r="Q461" s="85"/>
      <c r="R461" s="85"/>
      <c r="S461" s="85"/>
      <c r="T461" s="85"/>
      <c r="U461" s="1"/>
      <c r="V461" s="1"/>
    </row>
    <row r="462" spans="3:22" x14ac:dyDescent="0.3">
      <c r="C462" s="21"/>
      <c r="D462" s="1"/>
      <c r="E462" s="1"/>
      <c r="F462" s="1"/>
      <c r="G462" s="1"/>
      <c r="H462" s="1"/>
      <c r="I462" s="1"/>
      <c r="J462" s="1"/>
      <c r="L462" s="85"/>
      <c r="M462" s="85"/>
      <c r="N462" s="85"/>
      <c r="O462" s="85"/>
      <c r="P462" s="85"/>
      <c r="Q462" s="85"/>
      <c r="R462" s="85"/>
      <c r="S462" s="85"/>
      <c r="T462" s="85"/>
      <c r="U462" s="1"/>
      <c r="V462" s="1"/>
    </row>
    <row r="463" spans="3:22" x14ac:dyDescent="0.3">
      <c r="C463" s="21"/>
      <c r="D463" s="1"/>
      <c r="E463" s="1"/>
      <c r="F463" s="1"/>
      <c r="G463" s="1"/>
      <c r="H463" s="1"/>
      <c r="I463" s="1"/>
      <c r="J463" s="1"/>
      <c r="L463" s="85"/>
      <c r="M463" s="85"/>
      <c r="N463" s="85"/>
      <c r="O463" s="85"/>
      <c r="P463" s="85"/>
      <c r="Q463" s="85"/>
      <c r="R463" s="85"/>
      <c r="S463" s="85"/>
      <c r="T463" s="85"/>
      <c r="U463" s="1"/>
      <c r="V463" s="1"/>
    </row>
    <row r="464" spans="3:22" x14ac:dyDescent="0.3">
      <c r="C464" s="21"/>
      <c r="D464" s="1"/>
      <c r="E464" s="1"/>
      <c r="F464" s="1"/>
      <c r="G464" s="1"/>
      <c r="H464" s="1"/>
      <c r="I464" s="1"/>
      <c r="J464" s="1"/>
      <c r="L464" s="85"/>
      <c r="M464" s="85"/>
      <c r="N464" s="85"/>
      <c r="O464" s="85"/>
      <c r="P464" s="85"/>
      <c r="Q464" s="85"/>
      <c r="R464" s="85"/>
      <c r="S464" s="85"/>
      <c r="T464" s="85"/>
      <c r="U464" s="1"/>
      <c r="V464" s="1"/>
    </row>
    <row r="465" spans="3:22" x14ac:dyDescent="0.3">
      <c r="C465" s="21"/>
      <c r="D465" s="1"/>
      <c r="E465" s="1"/>
      <c r="F465" s="1"/>
      <c r="G465" s="1"/>
      <c r="H465" s="1"/>
      <c r="I465" s="1"/>
      <c r="J465" s="1"/>
      <c r="L465" s="85"/>
      <c r="M465" s="85"/>
      <c r="N465" s="85"/>
      <c r="O465" s="85"/>
      <c r="P465" s="85"/>
      <c r="Q465" s="85"/>
      <c r="R465" s="85"/>
      <c r="S465" s="85"/>
      <c r="T465" s="85"/>
      <c r="U465" s="1"/>
      <c r="V465" s="1"/>
    </row>
    <row r="466" spans="3:22" x14ac:dyDescent="0.3">
      <c r="C466" s="21"/>
      <c r="D466" s="1"/>
      <c r="E466" s="1"/>
      <c r="F466" s="1"/>
      <c r="G466" s="1"/>
      <c r="H466" s="1"/>
      <c r="I466" s="1"/>
      <c r="J466" s="1"/>
      <c r="L466" s="85"/>
      <c r="M466" s="85"/>
      <c r="N466" s="85"/>
      <c r="O466" s="85"/>
      <c r="P466" s="85"/>
      <c r="Q466" s="85"/>
      <c r="R466" s="85"/>
      <c r="S466" s="85"/>
      <c r="T466" s="85"/>
      <c r="U466" s="1"/>
      <c r="V466" s="1"/>
    </row>
    <row r="467" spans="3:22" x14ac:dyDescent="0.3">
      <c r="C467" s="21"/>
      <c r="D467" s="1"/>
      <c r="E467" s="1"/>
      <c r="F467" s="1"/>
      <c r="G467" s="1"/>
      <c r="H467" s="1"/>
      <c r="I467" s="1"/>
      <c r="J467" s="1"/>
      <c r="L467" s="85"/>
      <c r="M467" s="85"/>
      <c r="N467" s="85"/>
      <c r="O467" s="85"/>
      <c r="P467" s="85"/>
      <c r="Q467" s="85"/>
      <c r="R467" s="85"/>
      <c r="S467" s="85"/>
      <c r="T467" s="85"/>
      <c r="U467" s="1"/>
      <c r="V467" s="1"/>
    </row>
    <row r="468" spans="3:22" x14ac:dyDescent="0.3">
      <c r="C468" s="21"/>
      <c r="D468" s="1"/>
      <c r="E468" s="1"/>
      <c r="F468" s="1"/>
      <c r="G468" s="1"/>
      <c r="H468" s="1"/>
      <c r="I468" s="1"/>
      <c r="J468" s="1"/>
      <c r="L468" s="85"/>
      <c r="M468" s="85"/>
      <c r="N468" s="85"/>
      <c r="O468" s="85"/>
      <c r="P468" s="85"/>
      <c r="Q468" s="85"/>
      <c r="R468" s="85"/>
      <c r="S468" s="85"/>
      <c r="T468" s="85"/>
      <c r="U468" s="1"/>
      <c r="V468" s="1"/>
    </row>
    <row r="469" spans="3:22" x14ac:dyDescent="0.3">
      <c r="C469" s="21"/>
      <c r="D469" s="1"/>
      <c r="E469" s="1"/>
      <c r="F469" s="1"/>
      <c r="G469" s="1"/>
      <c r="H469" s="1"/>
      <c r="I469" s="1"/>
      <c r="J469" s="1"/>
      <c r="L469" s="85"/>
      <c r="M469" s="85"/>
      <c r="N469" s="85"/>
      <c r="O469" s="85"/>
      <c r="P469" s="85"/>
      <c r="Q469" s="85"/>
      <c r="R469" s="85"/>
      <c r="S469" s="85"/>
      <c r="T469" s="85"/>
      <c r="U469" s="1"/>
      <c r="V469" s="1"/>
    </row>
    <row r="470" spans="3:22" x14ac:dyDescent="0.3">
      <c r="C470" s="21"/>
      <c r="D470" s="1"/>
      <c r="E470" s="1"/>
      <c r="F470" s="1"/>
      <c r="G470" s="1"/>
      <c r="H470" s="1"/>
      <c r="I470" s="1"/>
      <c r="J470" s="1"/>
      <c r="L470" s="85"/>
      <c r="M470" s="85"/>
      <c r="N470" s="85"/>
      <c r="O470" s="85"/>
      <c r="P470" s="85"/>
      <c r="Q470" s="85"/>
      <c r="R470" s="85"/>
      <c r="S470" s="85"/>
      <c r="T470" s="85"/>
      <c r="U470" s="1"/>
      <c r="V470" s="1"/>
    </row>
    <row r="471" spans="3:22" x14ac:dyDescent="0.3">
      <c r="C471" s="21"/>
      <c r="D471" s="1"/>
      <c r="E471" s="1"/>
      <c r="F471" s="1"/>
      <c r="G471" s="1"/>
      <c r="H471" s="1"/>
      <c r="I471" s="1"/>
      <c r="J471" s="1"/>
      <c r="L471" s="85"/>
      <c r="M471" s="85"/>
      <c r="N471" s="85"/>
      <c r="O471" s="85"/>
      <c r="P471" s="85"/>
      <c r="Q471" s="85"/>
      <c r="R471" s="85"/>
      <c r="S471" s="85"/>
      <c r="T471" s="85"/>
      <c r="U471" s="1"/>
      <c r="V471" s="1"/>
    </row>
    <row r="472" spans="3:22" x14ac:dyDescent="0.3">
      <c r="C472" s="21"/>
      <c r="D472" s="1"/>
      <c r="E472" s="1"/>
      <c r="F472" s="1"/>
      <c r="G472" s="1"/>
      <c r="H472" s="1"/>
      <c r="I472" s="1"/>
      <c r="J472" s="1"/>
      <c r="L472" s="85"/>
      <c r="M472" s="85"/>
      <c r="N472" s="85"/>
      <c r="O472" s="85"/>
      <c r="P472" s="85"/>
      <c r="Q472" s="85"/>
      <c r="R472" s="85"/>
      <c r="S472" s="85"/>
      <c r="T472" s="85"/>
      <c r="U472" s="1"/>
      <c r="V472" s="1"/>
    </row>
    <row r="473" spans="3:22" x14ac:dyDescent="0.3">
      <c r="C473" s="21"/>
      <c r="D473" s="1"/>
      <c r="E473" s="1"/>
      <c r="F473" s="1"/>
      <c r="G473" s="1"/>
      <c r="H473" s="1"/>
      <c r="I473" s="1"/>
      <c r="J473" s="1"/>
      <c r="L473" s="85"/>
      <c r="M473" s="85"/>
      <c r="N473" s="85"/>
      <c r="O473" s="85"/>
      <c r="P473" s="85"/>
      <c r="Q473" s="85"/>
      <c r="R473" s="85"/>
      <c r="S473" s="85"/>
      <c r="T473" s="85"/>
      <c r="U473" s="1"/>
      <c r="V473" s="1"/>
    </row>
    <row r="474" spans="3:22" x14ac:dyDescent="0.3">
      <c r="C474" s="21"/>
      <c r="D474" s="1"/>
      <c r="E474" s="1"/>
      <c r="F474" s="1"/>
      <c r="G474" s="1"/>
      <c r="H474" s="1"/>
      <c r="I474" s="1"/>
      <c r="J474" s="1"/>
      <c r="L474" s="85"/>
      <c r="M474" s="85"/>
      <c r="N474" s="85"/>
      <c r="O474" s="85"/>
      <c r="P474" s="85"/>
      <c r="Q474" s="85"/>
      <c r="R474" s="85"/>
      <c r="S474" s="85"/>
      <c r="T474" s="85"/>
      <c r="U474" s="1"/>
      <c r="V474" s="1"/>
    </row>
    <row r="475" spans="3:22" x14ac:dyDescent="0.3">
      <c r="C475" s="21"/>
      <c r="D475" s="1"/>
      <c r="E475" s="1"/>
      <c r="F475" s="1"/>
      <c r="G475" s="1"/>
      <c r="H475" s="1"/>
      <c r="I475" s="1"/>
      <c r="J475" s="1"/>
      <c r="L475" s="85"/>
      <c r="M475" s="85"/>
      <c r="N475" s="85"/>
      <c r="O475" s="85"/>
      <c r="P475" s="85"/>
      <c r="Q475" s="85"/>
      <c r="R475" s="85"/>
      <c r="S475" s="85"/>
      <c r="T475" s="85"/>
      <c r="U475" s="1"/>
      <c r="V475" s="1"/>
    </row>
    <row r="476" spans="3:22" x14ac:dyDescent="0.3">
      <c r="C476" s="21"/>
      <c r="D476" s="1"/>
      <c r="E476" s="1"/>
      <c r="F476" s="1"/>
      <c r="G476" s="1"/>
      <c r="H476" s="1"/>
      <c r="I476" s="1"/>
      <c r="J476" s="1"/>
      <c r="L476" s="85"/>
      <c r="M476" s="85"/>
      <c r="N476" s="85"/>
      <c r="O476" s="85"/>
      <c r="P476" s="85"/>
      <c r="Q476" s="85"/>
      <c r="R476" s="85"/>
      <c r="S476" s="85"/>
      <c r="T476" s="85"/>
      <c r="U476" s="1"/>
      <c r="V476" s="1"/>
    </row>
    <row r="477" spans="3:22" x14ac:dyDescent="0.3">
      <c r="C477" s="21"/>
      <c r="D477" s="1"/>
      <c r="E477" s="1"/>
      <c r="F477" s="1"/>
      <c r="G477" s="1"/>
      <c r="H477" s="1"/>
      <c r="I477" s="1"/>
      <c r="J477" s="1"/>
      <c r="L477" s="85"/>
      <c r="M477" s="85"/>
      <c r="N477" s="85"/>
      <c r="O477" s="85"/>
      <c r="P477" s="85"/>
      <c r="Q477" s="85"/>
      <c r="R477" s="85"/>
      <c r="S477" s="85"/>
      <c r="T477" s="85"/>
      <c r="U477" s="1"/>
      <c r="V477" s="1"/>
    </row>
    <row r="478" spans="3:22" x14ac:dyDescent="0.3">
      <c r="C478" s="21"/>
      <c r="D478" s="1"/>
      <c r="E478" s="1"/>
      <c r="F478" s="1"/>
      <c r="G478" s="1"/>
      <c r="H478" s="1"/>
      <c r="I478" s="1"/>
      <c r="J478" s="1"/>
      <c r="L478" s="85"/>
      <c r="M478" s="85"/>
      <c r="N478" s="85"/>
      <c r="O478" s="85"/>
      <c r="P478" s="85"/>
      <c r="Q478" s="85"/>
      <c r="R478" s="85"/>
      <c r="S478" s="85"/>
      <c r="T478" s="85"/>
      <c r="U478" s="1"/>
      <c r="V478" s="1"/>
    </row>
    <row r="479" spans="3:22" x14ac:dyDescent="0.3">
      <c r="C479" s="21"/>
      <c r="D479" s="1"/>
      <c r="E479" s="1"/>
      <c r="F479" s="1"/>
      <c r="G479" s="1"/>
      <c r="H479" s="1"/>
      <c r="I479" s="1"/>
      <c r="J479" s="1"/>
      <c r="L479" s="85"/>
      <c r="M479" s="85"/>
      <c r="N479" s="85"/>
      <c r="O479" s="85"/>
      <c r="P479" s="85"/>
      <c r="Q479" s="85"/>
      <c r="R479" s="85"/>
      <c r="S479" s="85"/>
      <c r="T479" s="85"/>
      <c r="U479" s="1"/>
      <c r="V479" s="1"/>
    </row>
    <row r="480" spans="3:22" x14ac:dyDescent="0.3">
      <c r="C480" s="21"/>
      <c r="D480" s="1"/>
      <c r="E480" s="1"/>
      <c r="F480" s="1"/>
      <c r="G480" s="1"/>
      <c r="H480" s="1"/>
      <c r="I480" s="1"/>
      <c r="J480" s="1"/>
      <c r="L480" s="85"/>
      <c r="M480" s="85"/>
      <c r="N480" s="85"/>
      <c r="O480" s="85"/>
      <c r="P480" s="85"/>
      <c r="Q480" s="85"/>
      <c r="R480" s="85"/>
      <c r="S480" s="85"/>
      <c r="T480" s="85"/>
      <c r="U480" s="1"/>
      <c r="V480" s="1"/>
    </row>
    <row r="481" spans="3:22" x14ac:dyDescent="0.3">
      <c r="C481" s="21"/>
      <c r="D481" s="1"/>
      <c r="E481" s="1"/>
      <c r="F481" s="1"/>
      <c r="G481" s="1"/>
      <c r="H481" s="1"/>
      <c r="I481" s="1"/>
      <c r="J481" s="1"/>
      <c r="L481" s="85"/>
      <c r="M481" s="85"/>
      <c r="N481" s="85"/>
      <c r="O481" s="85"/>
      <c r="P481" s="85"/>
      <c r="Q481" s="85"/>
      <c r="R481" s="85"/>
      <c r="S481" s="85"/>
      <c r="T481" s="85"/>
      <c r="U481" s="1"/>
      <c r="V481" s="1"/>
    </row>
    <row r="482" spans="3:22" x14ac:dyDescent="0.3">
      <c r="C482" s="21"/>
      <c r="D482" s="1"/>
      <c r="E482" s="1"/>
      <c r="F482" s="1"/>
      <c r="G482" s="1"/>
      <c r="H482" s="1"/>
      <c r="I482" s="1"/>
      <c r="J482" s="1"/>
      <c r="L482" s="85"/>
      <c r="M482" s="85"/>
      <c r="N482" s="85"/>
      <c r="O482" s="85"/>
      <c r="P482" s="85"/>
      <c r="Q482" s="85"/>
      <c r="R482" s="85"/>
      <c r="S482" s="85"/>
      <c r="T482" s="85"/>
      <c r="U482" s="1"/>
      <c r="V482" s="1"/>
    </row>
    <row r="483" spans="3:22" x14ac:dyDescent="0.3">
      <c r="C483" s="21"/>
      <c r="D483" s="1"/>
      <c r="E483" s="1"/>
      <c r="F483" s="1"/>
      <c r="G483" s="1"/>
      <c r="H483" s="1"/>
      <c r="I483" s="1"/>
      <c r="J483" s="1"/>
      <c r="L483" s="85"/>
      <c r="M483" s="85"/>
      <c r="N483" s="85"/>
      <c r="O483" s="85"/>
      <c r="P483" s="85"/>
      <c r="Q483" s="85"/>
      <c r="R483" s="85"/>
      <c r="S483" s="85"/>
      <c r="T483" s="85"/>
      <c r="U483" s="1"/>
      <c r="V483" s="1"/>
    </row>
    <row r="484" spans="3:22" x14ac:dyDescent="0.3">
      <c r="C484" s="21"/>
      <c r="D484" s="1"/>
      <c r="E484" s="1"/>
      <c r="F484" s="1"/>
      <c r="G484" s="1"/>
      <c r="H484" s="1"/>
      <c r="I484" s="1"/>
      <c r="J484" s="1"/>
      <c r="L484" s="85"/>
      <c r="M484" s="85"/>
      <c r="N484" s="85"/>
      <c r="O484" s="85"/>
      <c r="P484" s="85"/>
      <c r="Q484" s="85"/>
      <c r="R484" s="85"/>
      <c r="S484" s="85"/>
      <c r="T484" s="85"/>
      <c r="U484" s="1"/>
      <c r="V484" s="1"/>
    </row>
    <row r="485" spans="3:22" x14ac:dyDescent="0.3">
      <c r="C485" s="21"/>
      <c r="D485" s="1"/>
      <c r="E485" s="1"/>
      <c r="F485" s="1"/>
      <c r="G485" s="1"/>
      <c r="H485" s="1"/>
      <c r="I485" s="1"/>
      <c r="J485" s="1"/>
      <c r="L485" s="85"/>
      <c r="M485" s="85"/>
      <c r="N485" s="85"/>
      <c r="O485" s="85"/>
      <c r="P485" s="85"/>
      <c r="Q485" s="85"/>
      <c r="R485" s="85"/>
      <c r="S485" s="85"/>
      <c r="T485" s="85"/>
      <c r="U485" s="1"/>
      <c r="V485" s="1"/>
    </row>
    <row r="486" spans="3:22" x14ac:dyDescent="0.3">
      <c r="C486" s="21"/>
      <c r="D486" s="1"/>
      <c r="E486" s="1"/>
      <c r="F486" s="1"/>
      <c r="G486" s="1"/>
      <c r="H486" s="1"/>
      <c r="I486" s="1"/>
      <c r="J486" s="1"/>
      <c r="L486" s="85"/>
      <c r="M486" s="85"/>
      <c r="N486" s="85"/>
      <c r="O486" s="85"/>
      <c r="P486" s="85"/>
      <c r="Q486" s="85"/>
      <c r="R486" s="85"/>
      <c r="S486" s="85"/>
      <c r="T486" s="85"/>
      <c r="U486" s="1"/>
      <c r="V486" s="1"/>
    </row>
    <row r="487" spans="3:22" x14ac:dyDescent="0.3">
      <c r="C487" s="21"/>
      <c r="D487" s="1"/>
      <c r="E487" s="1"/>
      <c r="F487" s="1"/>
      <c r="G487" s="1"/>
      <c r="H487" s="1"/>
      <c r="I487" s="1"/>
      <c r="J487" s="1"/>
      <c r="L487" s="85"/>
      <c r="M487" s="85"/>
      <c r="N487" s="85"/>
      <c r="O487" s="85"/>
      <c r="P487" s="85"/>
      <c r="Q487" s="85"/>
      <c r="R487" s="85"/>
      <c r="S487" s="85"/>
      <c r="T487" s="85"/>
      <c r="U487" s="1"/>
      <c r="V487" s="1"/>
    </row>
    <row r="488" spans="3:22" x14ac:dyDescent="0.3">
      <c r="C488" s="21"/>
      <c r="D488" s="1"/>
      <c r="E488" s="1"/>
      <c r="F488" s="1"/>
      <c r="G488" s="1"/>
      <c r="H488" s="1"/>
      <c r="I488" s="1"/>
      <c r="J488" s="1"/>
      <c r="L488" s="85"/>
      <c r="M488" s="85"/>
      <c r="N488" s="85"/>
      <c r="O488" s="85"/>
      <c r="P488" s="85"/>
      <c r="Q488" s="85"/>
      <c r="R488" s="85"/>
      <c r="S488" s="85"/>
      <c r="T488" s="85"/>
      <c r="U488" s="1"/>
      <c r="V488" s="1"/>
    </row>
    <row r="489" spans="3:22" x14ac:dyDescent="0.3">
      <c r="C489" s="21"/>
      <c r="D489" s="1"/>
      <c r="E489" s="1"/>
      <c r="F489" s="1"/>
      <c r="G489" s="1"/>
      <c r="H489" s="1"/>
      <c r="I489" s="1"/>
      <c r="J489" s="1"/>
      <c r="L489" s="85"/>
      <c r="M489" s="85"/>
      <c r="N489" s="85"/>
      <c r="O489" s="85"/>
      <c r="P489" s="85"/>
      <c r="Q489" s="85"/>
      <c r="R489" s="85"/>
      <c r="S489" s="85"/>
      <c r="T489" s="85"/>
      <c r="U489" s="1"/>
      <c r="V489" s="1"/>
    </row>
    <row r="490" spans="3:22" x14ac:dyDescent="0.3">
      <c r="C490" s="21"/>
      <c r="D490" s="1"/>
      <c r="E490" s="1"/>
      <c r="F490" s="1"/>
      <c r="G490" s="1"/>
      <c r="H490" s="1"/>
      <c r="I490" s="1"/>
      <c r="J490" s="1"/>
      <c r="L490" s="85"/>
      <c r="M490" s="85"/>
      <c r="N490" s="85"/>
      <c r="O490" s="85"/>
      <c r="P490" s="85"/>
      <c r="Q490" s="85"/>
      <c r="R490" s="85"/>
      <c r="S490" s="85"/>
      <c r="T490" s="85"/>
      <c r="U490" s="1"/>
      <c r="V490" s="1"/>
    </row>
    <row r="491" spans="3:22" x14ac:dyDescent="0.3">
      <c r="C491" s="21"/>
      <c r="D491" s="1"/>
      <c r="E491" s="1"/>
      <c r="F491" s="1"/>
      <c r="G491" s="1"/>
      <c r="H491" s="1"/>
      <c r="I491" s="1"/>
      <c r="J491" s="1"/>
      <c r="L491" s="85"/>
      <c r="M491" s="85"/>
      <c r="N491" s="85"/>
      <c r="O491" s="85"/>
      <c r="P491" s="85"/>
      <c r="Q491" s="85"/>
      <c r="R491" s="85"/>
      <c r="S491" s="85"/>
      <c r="T491" s="85"/>
      <c r="U491" s="1"/>
      <c r="V491" s="1"/>
    </row>
    <row r="492" spans="3:22" x14ac:dyDescent="0.3">
      <c r="C492" s="21"/>
      <c r="D492" s="1"/>
      <c r="E492" s="1"/>
      <c r="F492" s="1"/>
      <c r="G492" s="1"/>
      <c r="H492" s="1"/>
      <c r="I492" s="1"/>
      <c r="J492" s="1"/>
      <c r="L492" s="85"/>
      <c r="M492" s="85"/>
      <c r="N492" s="85"/>
      <c r="O492" s="85"/>
      <c r="P492" s="85"/>
      <c r="Q492" s="85"/>
      <c r="R492" s="85"/>
      <c r="S492" s="85"/>
      <c r="T492" s="85"/>
      <c r="U492" s="1"/>
      <c r="V492" s="1"/>
    </row>
    <row r="493" spans="3:22" x14ac:dyDescent="0.3">
      <c r="C493" s="21"/>
      <c r="D493" s="1"/>
      <c r="E493" s="1"/>
      <c r="F493" s="1"/>
      <c r="G493" s="1"/>
      <c r="H493" s="1"/>
      <c r="I493" s="1"/>
      <c r="J493" s="1"/>
      <c r="L493" s="85"/>
      <c r="M493" s="85"/>
      <c r="N493" s="85"/>
      <c r="O493" s="85"/>
      <c r="P493" s="85"/>
      <c r="Q493" s="85"/>
      <c r="R493" s="85"/>
      <c r="S493" s="85"/>
      <c r="T493" s="85"/>
      <c r="U493" s="1"/>
      <c r="V493" s="1"/>
    </row>
    <row r="494" spans="3:22" x14ac:dyDescent="0.3">
      <c r="C494" s="21"/>
      <c r="D494" s="1"/>
      <c r="E494" s="1"/>
      <c r="F494" s="1"/>
      <c r="G494" s="1"/>
      <c r="H494" s="1"/>
      <c r="I494" s="1"/>
      <c r="J494" s="1"/>
      <c r="L494" s="85"/>
      <c r="M494" s="85"/>
      <c r="N494" s="85"/>
      <c r="O494" s="85"/>
      <c r="P494" s="85"/>
      <c r="Q494" s="85"/>
      <c r="R494" s="85"/>
      <c r="S494" s="85"/>
      <c r="T494" s="85"/>
      <c r="U494" s="1"/>
      <c r="V494" s="1"/>
    </row>
    <row r="495" spans="3:22" x14ac:dyDescent="0.3">
      <c r="C495" s="21"/>
      <c r="D495" s="1"/>
      <c r="E495" s="1"/>
      <c r="F495" s="1"/>
      <c r="G495" s="1"/>
      <c r="H495" s="1"/>
      <c r="I495" s="1"/>
      <c r="J495" s="1"/>
      <c r="L495" s="85"/>
      <c r="M495" s="85"/>
      <c r="N495" s="85"/>
      <c r="O495" s="85"/>
      <c r="P495" s="85"/>
      <c r="Q495" s="85"/>
      <c r="R495" s="85"/>
      <c r="S495" s="85"/>
      <c r="T495" s="85"/>
      <c r="U495" s="1"/>
      <c r="V495" s="1"/>
    </row>
    <row r="496" spans="3:22" x14ac:dyDescent="0.3">
      <c r="C496" s="21"/>
      <c r="D496" s="1"/>
      <c r="E496" s="1"/>
      <c r="F496" s="1"/>
      <c r="G496" s="1"/>
      <c r="H496" s="1"/>
      <c r="I496" s="1"/>
      <c r="J496" s="1"/>
      <c r="L496" s="85"/>
      <c r="M496" s="85"/>
      <c r="N496" s="85"/>
      <c r="O496" s="85"/>
      <c r="P496" s="85"/>
      <c r="Q496" s="85"/>
      <c r="R496" s="85"/>
      <c r="S496" s="85"/>
      <c r="T496" s="85"/>
      <c r="U496" s="1"/>
      <c r="V496" s="1"/>
    </row>
    <row r="497" spans="3:22" x14ac:dyDescent="0.3">
      <c r="C497" s="21"/>
      <c r="D497" s="1"/>
      <c r="E497" s="1"/>
      <c r="F497" s="1"/>
      <c r="G497" s="1"/>
      <c r="H497" s="1"/>
      <c r="I497" s="1"/>
      <c r="J497" s="1"/>
      <c r="L497" s="85"/>
      <c r="M497" s="85"/>
      <c r="N497" s="85"/>
      <c r="O497" s="85"/>
      <c r="P497" s="85"/>
      <c r="Q497" s="85"/>
      <c r="R497" s="85"/>
      <c r="S497" s="85"/>
      <c r="T497" s="85"/>
      <c r="U497" s="1"/>
      <c r="V497" s="1"/>
    </row>
    <row r="498" spans="3:22" x14ac:dyDescent="0.3">
      <c r="C498" s="21"/>
      <c r="D498" s="1"/>
      <c r="E498" s="1"/>
      <c r="F498" s="1"/>
      <c r="G498" s="1"/>
      <c r="H498" s="1"/>
      <c r="I498" s="1"/>
      <c r="J498" s="1"/>
      <c r="L498" s="85"/>
      <c r="M498" s="85"/>
      <c r="N498" s="85"/>
      <c r="O498" s="85"/>
      <c r="P498" s="85"/>
      <c r="Q498" s="85"/>
      <c r="R498" s="85"/>
      <c r="S498" s="85"/>
      <c r="T498" s="85"/>
      <c r="U498" s="1"/>
      <c r="V498" s="1"/>
    </row>
    <row r="499" spans="3:22" x14ac:dyDescent="0.3">
      <c r="C499" s="21"/>
      <c r="D499" s="1"/>
      <c r="E499" s="1"/>
      <c r="F499" s="1"/>
      <c r="G499" s="1"/>
      <c r="H499" s="1"/>
      <c r="I499" s="1"/>
      <c r="J499" s="1"/>
      <c r="L499" s="85"/>
      <c r="M499" s="85"/>
      <c r="N499" s="85"/>
      <c r="O499" s="85"/>
      <c r="P499" s="85"/>
      <c r="Q499" s="85"/>
      <c r="R499" s="85"/>
      <c r="S499" s="85"/>
      <c r="T499" s="85"/>
      <c r="U499" s="1"/>
      <c r="V499" s="1"/>
    </row>
    <row r="500" spans="3:22" x14ac:dyDescent="0.3">
      <c r="C500" s="21"/>
      <c r="D500" s="1"/>
      <c r="E500" s="1"/>
      <c r="F500" s="1"/>
      <c r="G500" s="1"/>
      <c r="H500" s="1"/>
      <c r="I500" s="1"/>
      <c r="J500" s="1"/>
      <c r="L500" s="85"/>
      <c r="M500" s="85"/>
      <c r="N500" s="85"/>
      <c r="O500" s="85"/>
      <c r="P500" s="85"/>
      <c r="Q500" s="85"/>
      <c r="R500" s="85"/>
      <c r="S500" s="85"/>
      <c r="T500" s="85"/>
      <c r="U500" s="1"/>
      <c r="V500" s="1"/>
    </row>
    <row r="501" spans="3:22" x14ac:dyDescent="0.3">
      <c r="C501" s="21"/>
      <c r="D501" s="1"/>
      <c r="E501" s="1"/>
      <c r="F501" s="1"/>
      <c r="G501" s="1"/>
      <c r="H501" s="1"/>
      <c r="I501" s="1"/>
      <c r="J501" s="1"/>
      <c r="L501" s="85"/>
      <c r="M501" s="85"/>
      <c r="N501" s="85"/>
      <c r="O501" s="85"/>
      <c r="P501" s="85"/>
      <c r="Q501" s="85"/>
      <c r="R501" s="85"/>
      <c r="S501" s="85"/>
      <c r="T501" s="85"/>
      <c r="U501" s="1"/>
      <c r="V501" s="1"/>
    </row>
    <row r="502" spans="3:22" x14ac:dyDescent="0.3">
      <c r="C502" s="21"/>
      <c r="D502" s="1"/>
      <c r="E502" s="1"/>
      <c r="F502" s="1"/>
      <c r="G502" s="1"/>
      <c r="H502" s="1"/>
      <c r="I502" s="1"/>
      <c r="J502" s="1"/>
      <c r="L502" s="85"/>
      <c r="M502" s="85"/>
      <c r="N502" s="85"/>
      <c r="O502" s="85"/>
      <c r="P502" s="85"/>
      <c r="Q502" s="85"/>
      <c r="R502" s="85"/>
      <c r="S502" s="85"/>
      <c r="T502" s="85"/>
      <c r="U502" s="1"/>
      <c r="V502" s="1"/>
    </row>
    <row r="503" spans="3:22" x14ac:dyDescent="0.3">
      <c r="C503" s="21"/>
      <c r="D503" s="1"/>
      <c r="E503" s="1"/>
      <c r="F503" s="1"/>
      <c r="G503" s="1"/>
      <c r="H503" s="1"/>
      <c r="I503" s="1"/>
      <c r="J503" s="1"/>
      <c r="L503" s="85"/>
      <c r="M503" s="85"/>
      <c r="N503" s="85"/>
      <c r="O503" s="85"/>
      <c r="P503" s="85"/>
      <c r="Q503" s="85"/>
      <c r="R503" s="85"/>
      <c r="S503" s="85"/>
      <c r="T503" s="85"/>
      <c r="U503" s="1"/>
      <c r="V503" s="1"/>
    </row>
    <row r="504" spans="3:22" x14ac:dyDescent="0.3">
      <c r="C504" s="21"/>
      <c r="D504" s="1"/>
      <c r="E504" s="1"/>
      <c r="F504" s="1"/>
      <c r="G504" s="1"/>
      <c r="H504" s="1"/>
      <c r="I504" s="1"/>
      <c r="J504" s="1"/>
      <c r="L504" s="85"/>
      <c r="M504" s="85"/>
      <c r="N504" s="85"/>
      <c r="O504" s="85"/>
      <c r="P504" s="85"/>
      <c r="Q504" s="85"/>
      <c r="R504" s="85"/>
      <c r="S504" s="85"/>
      <c r="T504" s="85"/>
      <c r="U504" s="1"/>
      <c r="V504" s="1"/>
    </row>
    <row r="505" spans="3:22" x14ac:dyDescent="0.3">
      <c r="C505" s="21"/>
      <c r="D505" s="1"/>
      <c r="E505" s="1"/>
      <c r="F505" s="1"/>
      <c r="G505" s="1"/>
      <c r="H505" s="1"/>
      <c r="I505" s="1"/>
      <c r="J505" s="1"/>
      <c r="L505" s="85"/>
      <c r="M505" s="85"/>
      <c r="N505" s="85"/>
      <c r="O505" s="85"/>
      <c r="P505" s="85"/>
      <c r="Q505" s="85"/>
      <c r="R505" s="85"/>
      <c r="S505" s="85"/>
      <c r="T505" s="85"/>
      <c r="U505" s="1"/>
      <c r="V505" s="1"/>
    </row>
    <row r="506" spans="3:22" x14ac:dyDescent="0.3">
      <c r="C506" s="21"/>
      <c r="D506" s="1"/>
      <c r="E506" s="1"/>
      <c r="F506" s="1"/>
      <c r="G506" s="1"/>
      <c r="H506" s="1"/>
      <c r="I506" s="1"/>
      <c r="J506" s="1"/>
      <c r="L506" s="85"/>
      <c r="M506" s="85"/>
      <c r="N506" s="85"/>
      <c r="O506" s="85"/>
      <c r="P506" s="85"/>
      <c r="Q506" s="85"/>
      <c r="R506" s="85"/>
      <c r="S506" s="85"/>
      <c r="T506" s="85"/>
      <c r="U506" s="1"/>
      <c r="V506" s="1"/>
    </row>
    <row r="507" spans="3:22" x14ac:dyDescent="0.3">
      <c r="C507" s="21"/>
      <c r="D507" s="1"/>
      <c r="E507" s="1"/>
      <c r="F507" s="1"/>
      <c r="G507" s="1"/>
      <c r="H507" s="1"/>
      <c r="I507" s="1"/>
      <c r="J507" s="1"/>
      <c r="L507" s="85"/>
      <c r="M507" s="85"/>
      <c r="N507" s="85"/>
      <c r="O507" s="85"/>
      <c r="P507" s="85"/>
      <c r="Q507" s="85"/>
      <c r="R507" s="85"/>
      <c r="S507" s="85"/>
      <c r="T507" s="85"/>
      <c r="U507" s="1"/>
      <c r="V507" s="1"/>
    </row>
    <row r="508" spans="3:22" x14ac:dyDescent="0.3">
      <c r="C508" s="21"/>
      <c r="D508" s="1"/>
      <c r="E508" s="1"/>
      <c r="F508" s="1"/>
      <c r="G508" s="1"/>
      <c r="H508" s="1"/>
      <c r="I508" s="1"/>
      <c r="J508" s="1"/>
      <c r="L508" s="85"/>
      <c r="M508" s="85"/>
      <c r="N508" s="85"/>
      <c r="O508" s="85"/>
      <c r="P508" s="85"/>
      <c r="Q508" s="85"/>
      <c r="R508" s="85"/>
      <c r="S508" s="85"/>
      <c r="T508" s="85"/>
      <c r="U508" s="1"/>
      <c r="V508" s="1"/>
    </row>
    <row r="509" spans="3:22" x14ac:dyDescent="0.3">
      <c r="C509" s="21"/>
      <c r="D509" s="1"/>
      <c r="E509" s="1"/>
      <c r="F509" s="1"/>
      <c r="G509" s="1"/>
      <c r="H509" s="1"/>
      <c r="I509" s="1"/>
      <c r="J509" s="1"/>
      <c r="L509" s="85"/>
      <c r="M509" s="85"/>
      <c r="N509" s="85"/>
      <c r="O509" s="85"/>
      <c r="P509" s="85"/>
      <c r="Q509" s="85"/>
      <c r="R509" s="85"/>
      <c r="S509" s="85"/>
      <c r="T509" s="85"/>
      <c r="U509" s="1"/>
      <c r="V509" s="1"/>
    </row>
    <row r="510" spans="3:22" x14ac:dyDescent="0.3">
      <c r="C510" s="21"/>
      <c r="D510" s="1"/>
      <c r="E510" s="1"/>
      <c r="F510" s="1"/>
      <c r="G510" s="1"/>
      <c r="H510" s="1"/>
      <c r="I510" s="1"/>
      <c r="J510" s="1"/>
      <c r="L510" s="85"/>
      <c r="M510" s="85"/>
      <c r="N510" s="85"/>
      <c r="O510" s="85"/>
      <c r="P510" s="85"/>
      <c r="Q510" s="85"/>
      <c r="R510" s="85"/>
      <c r="S510" s="85"/>
      <c r="T510" s="85"/>
      <c r="U510" s="1"/>
      <c r="V510" s="1"/>
    </row>
    <row r="511" spans="3:22" x14ac:dyDescent="0.3">
      <c r="C511" s="21"/>
      <c r="D511" s="1"/>
      <c r="E511" s="1"/>
      <c r="F511" s="1"/>
      <c r="G511" s="1"/>
      <c r="H511" s="1"/>
      <c r="I511" s="1"/>
      <c r="J511" s="1"/>
      <c r="L511" s="85"/>
      <c r="M511" s="85"/>
      <c r="N511" s="85"/>
      <c r="O511" s="85"/>
      <c r="P511" s="85"/>
      <c r="Q511" s="85"/>
      <c r="R511" s="85"/>
      <c r="S511" s="85"/>
      <c r="T511" s="85"/>
      <c r="U511" s="1"/>
      <c r="V511" s="1"/>
    </row>
    <row r="512" spans="3:22" x14ac:dyDescent="0.3">
      <c r="C512" s="21"/>
      <c r="D512" s="1"/>
      <c r="E512" s="1"/>
      <c r="F512" s="1"/>
      <c r="G512" s="1"/>
      <c r="H512" s="1"/>
      <c r="I512" s="1"/>
      <c r="J512" s="1"/>
      <c r="L512" s="85"/>
      <c r="M512" s="85"/>
      <c r="N512" s="85"/>
      <c r="O512" s="85"/>
      <c r="P512" s="85"/>
      <c r="Q512" s="85"/>
      <c r="R512" s="85"/>
      <c r="S512" s="85"/>
      <c r="T512" s="85"/>
      <c r="U512" s="1"/>
      <c r="V512" s="1"/>
    </row>
    <row r="513" spans="3:22" x14ac:dyDescent="0.3">
      <c r="C513" s="21"/>
      <c r="D513" s="1"/>
      <c r="E513" s="1"/>
      <c r="F513" s="1"/>
      <c r="G513" s="1"/>
      <c r="H513" s="1"/>
      <c r="I513" s="1"/>
      <c r="J513" s="1"/>
      <c r="L513" s="85"/>
      <c r="M513" s="85"/>
      <c r="N513" s="85"/>
      <c r="O513" s="85"/>
      <c r="P513" s="85"/>
      <c r="Q513" s="85"/>
      <c r="R513" s="85"/>
      <c r="S513" s="85"/>
      <c r="T513" s="85"/>
      <c r="U513" s="1"/>
      <c r="V513" s="1"/>
    </row>
    <row r="514" spans="3:22" x14ac:dyDescent="0.3">
      <c r="C514" s="21"/>
      <c r="D514" s="1"/>
      <c r="E514" s="1"/>
      <c r="F514" s="1"/>
      <c r="G514" s="1"/>
      <c r="H514" s="1"/>
      <c r="I514" s="1"/>
      <c r="J514" s="1"/>
      <c r="L514" s="85"/>
      <c r="M514" s="85"/>
      <c r="N514" s="85"/>
      <c r="O514" s="85"/>
      <c r="P514" s="85"/>
      <c r="Q514" s="85"/>
      <c r="R514" s="85"/>
      <c r="S514" s="85"/>
      <c r="T514" s="85"/>
      <c r="U514" s="1"/>
      <c r="V514" s="1"/>
    </row>
    <row r="515" spans="3:22" x14ac:dyDescent="0.3">
      <c r="C515" s="21"/>
      <c r="D515" s="1"/>
      <c r="E515" s="1"/>
      <c r="F515" s="1"/>
      <c r="G515" s="1"/>
      <c r="H515" s="1"/>
      <c r="I515" s="1"/>
      <c r="J515" s="1"/>
      <c r="L515" s="85"/>
      <c r="M515" s="85"/>
      <c r="N515" s="85"/>
      <c r="O515" s="85"/>
      <c r="P515" s="85"/>
      <c r="Q515" s="85"/>
      <c r="R515" s="85"/>
      <c r="S515" s="85"/>
      <c r="T515" s="85"/>
      <c r="U515" s="1"/>
      <c r="V515" s="1"/>
    </row>
    <row r="516" spans="3:22" x14ac:dyDescent="0.3">
      <c r="C516" s="21"/>
      <c r="D516" s="1"/>
      <c r="E516" s="1"/>
      <c r="F516" s="1"/>
      <c r="G516" s="1"/>
      <c r="H516" s="1"/>
      <c r="I516" s="1"/>
      <c r="J516" s="1"/>
      <c r="L516" s="85"/>
      <c r="M516" s="85"/>
      <c r="N516" s="85"/>
      <c r="O516" s="85"/>
      <c r="P516" s="85"/>
      <c r="Q516" s="85"/>
      <c r="R516" s="85"/>
      <c r="S516" s="85"/>
      <c r="T516" s="85"/>
      <c r="U516" s="1"/>
      <c r="V516" s="1"/>
    </row>
    <row r="517" spans="3:22" x14ac:dyDescent="0.3">
      <c r="C517" s="21"/>
      <c r="D517" s="1"/>
      <c r="E517" s="1"/>
      <c r="F517" s="1"/>
      <c r="G517" s="1"/>
      <c r="H517" s="1"/>
      <c r="I517" s="1"/>
      <c r="J517" s="1"/>
      <c r="L517" s="85"/>
      <c r="M517" s="85"/>
      <c r="N517" s="85"/>
      <c r="O517" s="85"/>
      <c r="P517" s="85"/>
      <c r="Q517" s="85"/>
      <c r="R517" s="85"/>
      <c r="S517" s="85"/>
      <c r="T517" s="85"/>
      <c r="U517" s="1"/>
      <c r="V517" s="1"/>
    </row>
    <row r="518" spans="3:22" x14ac:dyDescent="0.3">
      <c r="C518" s="21"/>
      <c r="D518" s="1"/>
      <c r="E518" s="1"/>
      <c r="F518" s="1"/>
      <c r="G518" s="1"/>
      <c r="H518" s="1"/>
      <c r="I518" s="1"/>
      <c r="J518" s="1"/>
      <c r="L518" s="85"/>
      <c r="M518" s="85"/>
      <c r="N518" s="85"/>
      <c r="O518" s="85"/>
      <c r="P518" s="85"/>
      <c r="Q518" s="85"/>
      <c r="R518" s="85"/>
      <c r="S518" s="85"/>
      <c r="T518" s="85"/>
      <c r="U518" s="1"/>
      <c r="V518" s="1"/>
    </row>
    <row r="519" spans="3:22" x14ac:dyDescent="0.3">
      <c r="C519" s="21"/>
      <c r="D519" s="1"/>
      <c r="E519" s="1"/>
      <c r="F519" s="1"/>
      <c r="G519" s="1"/>
      <c r="H519" s="1"/>
      <c r="I519" s="1"/>
      <c r="J519" s="1"/>
      <c r="L519" s="85"/>
      <c r="M519" s="85"/>
      <c r="N519" s="85"/>
      <c r="O519" s="85"/>
      <c r="P519" s="85"/>
      <c r="Q519" s="85"/>
      <c r="R519" s="85"/>
      <c r="S519" s="85"/>
      <c r="T519" s="85"/>
      <c r="U519" s="1"/>
      <c r="V519" s="1"/>
    </row>
    <row r="520" spans="3:22" x14ac:dyDescent="0.3">
      <c r="C520" s="21"/>
      <c r="D520" s="1"/>
      <c r="E520" s="1"/>
      <c r="F520" s="1"/>
      <c r="G520" s="1"/>
      <c r="H520" s="1"/>
      <c r="I520" s="1"/>
      <c r="J520" s="1"/>
      <c r="L520" s="85"/>
      <c r="M520" s="85"/>
      <c r="N520" s="85"/>
      <c r="O520" s="85"/>
      <c r="P520" s="85"/>
      <c r="Q520" s="85"/>
      <c r="R520" s="85"/>
      <c r="S520" s="85"/>
      <c r="T520" s="85"/>
      <c r="U520" s="1"/>
      <c r="V520" s="1"/>
    </row>
    <row r="521" spans="3:22" x14ac:dyDescent="0.3">
      <c r="C521" s="21"/>
      <c r="D521" s="1"/>
      <c r="E521" s="1"/>
      <c r="F521" s="1"/>
      <c r="G521" s="1"/>
      <c r="H521" s="1"/>
      <c r="I521" s="1"/>
      <c r="J521" s="1"/>
      <c r="L521" s="85"/>
      <c r="M521" s="85"/>
      <c r="N521" s="85"/>
      <c r="O521" s="85"/>
      <c r="P521" s="85"/>
      <c r="Q521" s="85"/>
      <c r="R521" s="85"/>
      <c r="S521" s="85"/>
      <c r="T521" s="85"/>
      <c r="U521" s="1"/>
      <c r="V521" s="1"/>
    </row>
    <row r="522" spans="3:22" x14ac:dyDescent="0.3">
      <c r="C522" s="21"/>
      <c r="D522" s="1"/>
      <c r="E522" s="1"/>
      <c r="F522" s="1"/>
      <c r="G522" s="1"/>
      <c r="H522" s="1"/>
      <c r="I522" s="1"/>
      <c r="J522" s="1"/>
      <c r="L522" s="85"/>
      <c r="M522" s="85"/>
      <c r="N522" s="85"/>
      <c r="O522" s="85"/>
      <c r="P522" s="85"/>
      <c r="Q522" s="85"/>
      <c r="R522" s="85"/>
      <c r="S522" s="85"/>
      <c r="T522" s="85"/>
      <c r="U522" s="1"/>
      <c r="V522" s="1"/>
    </row>
    <row r="523" spans="3:22" x14ac:dyDescent="0.3">
      <c r="C523" s="21"/>
      <c r="D523" s="1"/>
      <c r="E523" s="1"/>
      <c r="F523" s="1"/>
      <c r="G523" s="1"/>
      <c r="H523" s="1"/>
      <c r="I523" s="1"/>
      <c r="J523" s="1"/>
      <c r="L523" s="85"/>
      <c r="M523" s="85"/>
      <c r="N523" s="85"/>
      <c r="O523" s="85"/>
      <c r="P523" s="85"/>
      <c r="Q523" s="85"/>
      <c r="R523" s="85"/>
      <c r="S523" s="85"/>
      <c r="T523" s="85"/>
      <c r="U523" s="1"/>
      <c r="V523" s="1"/>
    </row>
    <row r="524" spans="3:22" x14ac:dyDescent="0.3">
      <c r="C524" s="21"/>
      <c r="D524" s="1"/>
      <c r="E524" s="1"/>
      <c r="F524" s="1"/>
      <c r="G524" s="1"/>
      <c r="H524" s="1"/>
      <c r="I524" s="1"/>
      <c r="J524" s="1"/>
      <c r="L524" s="85"/>
      <c r="M524" s="85"/>
      <c r="N524" s="85"/>
      <c r="O524" s="85"/>
      <c r="P524" s="85"/>
      <c r="Q524" s="85"/>
      <c r="R524" s="85"/>
      <c r="S524" s="85"/>
      <c r="T524" s="85"/>
      <c r="U524" s="1"/>
      <c r="V524" s="1"/>
    </row>
    <row r="525" spans="3:22" x14ac:dyDescent="0.3">
      <c r="C525" s="21"/>
      <c r="D525" s="1"/>
      <c r="E525" s="1"/>
      <c r="F525" s="1"/>
      <c r="G525" s="1"/>
      <c r="H525" s="1"/>
      <c r="I525" s="1"/>
      <c r="J525" s="1"/>
      <c r="L525" s="85"/>
      <c r="M525" s="85"/>
      <c r="N525" s="85"/>
      <c r="O525" s="85"/>
      <c r="P525" s="85"/>
      <c r="Q525" s="85"/>
      <c r="R525" s="85"/>
      <c r="S525" s="85"/>
      <c r="T525" s="85"/>
      <c r="U525" s="1"/>
      <c r="V525" s="1"/>
    </row>
    <row r="526" spans="3:22" x14ac:dyDescent="0.3">
      <c r="C526" s="21"/>
      <c r="D526" s="1"/>
      <c r="E526" s="1"/>
      <c r="F526" s="1"/>
      <c r="G526" s="1"/>
      <c r="H526" s="1"/>
      <c r="I526" s="1"/>
      <c r="J526" s="1"/>
      <c r="L526" s="85"/>
      <c r="M526" s="85"/>
      <c r="N526" s="85"/>
      <c r="O526" s="85"/>
      <c r="P526" s="85"/>
      <c r="Q526" s="85"/>
      <c r="R526" s="85"/>
      <c r="S526" s="85"/>
      <c r="T526" s="85"/>
      <c r="U526" s="1"/>
      <c r="V526" s="1"/>
    </row>
    <row r="527" spans="3:22" x14ac:dyDescent="0.3">
      <c r="C527" s="21"/>
      <c r="D527" s="1"/>
      <c r="E527" s="1"/>
      <c r="F527" s="1"/>
      <c r="G527" s="1"/>
      <c r="H527" s="1"/>
      <c r="I527" s="1"/>
      <c r="J527" s="1"/>
      <c r="L527" s="85"/>
      <c r="M527" s="85"/>
      <c r="N527" s="85"/>
      <c r="O527" s="85"/>
      <c r="P527" s="85"/>
      <c r="Q527" s="85"/>
      <c r="R527" s="85"/>
      <c r="S527" s="85"/>
      <c r="T527" s="85"/>
      <c r="U527" s="1"/>
      <c r="V527" s="1"/>
    </row>
    <row r="528" spans="3:22" x14ac:dyDescent="0.3">
      <c r="C528" s="21"/>
      <c r="D528" s="1"/>
      <c r="E528" s="1"/>
      <c r="F528" s="1"/>
      <c r="G528" s="1"/>
      <c r="H528" s="1"/>
      <c r="I528" s="1"/>
      <c r="J528" s="1"/>
      <c r="L528" s="85"/>
      <c r="M528" s="85"/>
      <c r="N528" s="85"/>
      <c r="O528" s="85"/>
      <c r="P528" s="85"/>
      <c r="Q528" s="85"/>
      <c r="R528" s="85"/>
      <c r="S528" s="85"/>
      <c r="T528" s="85"/>
      <c r="U528" s="1"/>
      <c r="V528" s="1"/>
    </row>
    <row r="529" spans="3:22" x14ac:dyDescent="0.3">
      <c r="C529" s="21"/>
      <c r="D529" s="1"/>
      <c r="E529" s="1"/>
      <c r="F529" s="1"/>
      <c r="G529" s="1"/>
      <c r="H529" s="1"/>
      <c r="I529" s="1"/>
      <c r="J529" s="1"/>
      <c r="L529" s="85"/>
      <c r="M529" s="85"/>
      <c r="N529" s="85"/>
      <c r="O529" s="85"/>
      <c r="P529" s="85"/>
      <c r="Q529" s="85"/>
      <c r="R529" s="85"/>
      <c r="S529" s="85"/>
      <c r="T529" s="85"/>
      <c r="U529" s="1"/>
      <c r="V529" s="1"/>
    </row>
    <row r="530" spans="3:22" x14ac:dyDescent="0.3">
      <c r="C530" s="21"/>
      <c r="D530" s="1"/>
      <c r="E530" s="1"/>
      <c r="F530" s="1"/>
      <c r="G530" s="1"/>
      <c r="H530" s="1"/>
      <c r="I530" s="1"/>
      <c r="J530" s="1"/>
      <c r="L530" s="85"/>
      <c r="M530" s="85"/>
      <c r="N530" s="85"/>
      <c r="O530" s="85"/>
      <c r="P530" s="85"/>
      <c r="Q530" s="85"/>
      <c r="R530" s="85"/>
      <c r="S530" s="85"/>
      <c r="T530" s="85"/>
      <c r="U530" s="1"/>
      <c r="V530" s="1"/>
    </row>
    <row r="531" spans="3:22" x14ac:dyDescent="0.3">
      <c r="C531" s="21"/>
      <c r="D531" s="1"/>
      <c r="E531" s="1"/>
      <c r="F531" s="1"/>
      <c r="G531" s="1"/>
      <c r="H531" s="1"/>
      <c r="I531" s="1"/>
      <c r="J531" s="1"/>
      <c r="L531" s="85"/>
      <c r="M531" s="85"/>
      <c r="N531" s="85"/>
      <c r="O531" s="85"/>
      <c r="P531" s="85"/>
      <c r="Q531" s="85"/>
      <c r="R531" s="85"/>
      <c r="S531" s="85"/>
      <c r="T531" s="85"/>
      <c r="U531" s="1"/>
      <c r="V531" s="1"/>
    </row>
    <row r="532" spans="3:22" x14ac:dyDescent="0.3">
      <c r="C532" s="21"/>
      <c r="D532" s="1"/>
      <c r="E532" s="1"/>
      <c r="F532" s="1"/>
      <c r="G532" s="1"/>
      <c r="H532" s="1"/>
      <c r="I532" s="1"/>
      <c r="J532" s="1"/>
      <c r="L532" s="85"/>
      <c r="M532" s="85"/>
      <c r="N532" s="85"/>
      <c r="O532" s="85"/>
      <c r="P532" s="85"/>
      <c r="Q532" s="85"/>
      <c r="R532" s="85"/>
      <c r="S532" s="85"/>
      <c r="T532" s="85"/>
      <c r="U532" s="1"/>
      <c r="V532" s="1"/>
    </row>
    <row r="533" spans="3:22" x14ac:dyDescent="0.3">
      <c r="C533" s="21"/>
      <c r="D533" s="1"/>
      <c r="E533" s="1"/>
      <c r="F533" s="1"/>
      <c r="G533" s="1"/>
      <c r="H533" s="1"/>
      <c r="I533" s="1"/>
      <c r="J533" s="1"/>
      <c r="L533" s="85"/>
      <c r="M533" s="85"/>
      <c r="N533" s="85"/>
      <c r="O533" s="85"/>
      <c r="P533" s="85"/>
      <c r="Q533" s="85"/>
      <c r="R533" s="85"/>
      <c r="S533" s="85"/>
      <c r="T533" s="85"/>
      <c r="U533" s="1"/>
      <c r="V533" s="1"/>
    </row>
    <row r="534" spans="3:22" x14ac:dyDescent="0.3">
      <c r="C534" s="21"/>
      <c r="D534" s="1"/>
      <c r="E534" s="1"/>
      <c r="F534" s="1"/>
      <c r="G534" s="1"/>
      <c r="H534" s="1"/>
      <c r="I534" s="1"/>
      <c r="J534" s="1"/>
      <c r="L534" s="85"/>
      <c r="M534" s="85"/>
      <c r="N534" s="85"/>
      <c r="O534" s="85"/>
      <c r="P534" s="85"/>
      <c r="Q534" s="85"/>
      <c r="R534" s="85"/>
      <c r="S534" s="85"/>
      <c r="T534" s="85"/>
      <c r="U534" s="1"/>
      <c r="V534" s="1"/>
    </row>
    <row r="535" spans="3:22" x14ac:dyDescent="0.3">
      <c r="C535" s="21"/>
      <c r="D535" s="1"/>
      <c r="E535" s="1"/>
      <c r="F535" s="1"/>
      <c r="G535" s="1"/>
      <c r="H535" s="1"/>
      <c r="I535" s="1"/>
      <c r="J535" s="1"/>
      <c r="L535" s="85"/>
      <c r="M535" s="85"/>
      <c r="N535" s="85"/>
      <c r="O535" s="85"/>
      <c r="P535" s="85"/>
      <c r="Q535" s="85"/>
      <c r="R535" s="85"/>
      <c r="S535" s="85"/>
      <c r="T535" s="85"/>
      <c r="U535" s="1"/>
      <c r="V535" s="1"/>
    </row>
    <row r="536" spans="3:22" x14ac:dyDescent="0.3">
      <c r="C536" s="21"/>
      <c r="D536" s="1"/>
      <c r="E536" s="1"/>
      <c r="F536" s="1"/>
      <c r="G536" s="1"/>
      <c r="H536" s="1"/>
      <c r="I536" s="1"/>
      <c r="J536" s="1"/>
      <c r="L536" s="85"/>
      <c r="M536" s="85"/>
      <c r="N536" s="85"/>
      <c r="O536" s="85"/>
      <c r="P536" s="85"/>
      <c r="Q536" s="85"/>
      <c r="R536" s="85"/>
      <c r="S536" s="85"/>
      <c r="T536" s="85"/>
      <c r="U536" s="1"/>
      <c r="V536" s="1"/>
    </row>
    <row r="537" spans="3:22" x14ac:dyDescent="0.3">
      <c r="C537" s="21"/>
      <c r="D537" s="1"/>
      <c r="E537" s="1"/>
      <c r="F537" s="1"/>
      <c r="G537" s="1"/>
      <c r="H537" s="1"/>
      <c r="I537" s="1"/>
      <c r="J537" s="1"/>
      <c r="L537" s="85"/>
      <c r="M537" s="85"/>
      <c r="N537" s="85"/>
      <c r="O537" s="85"/>
      <c r="P537" s="85"/>
      <c r="Q537" s="85"/>
      <c r="R537" s="85"/>
      <c r="S537" s="85"/>
      <c r="T537" s="85"/>
      <c r="U537" s="1"/>
      <c r="V537" s="1"/>
    </row>
    <row r="538" spans="3:22" x14ac:dyDescent="0.3">
      <c r="C538" s="21"/>
      <c r="D538" s="1"/>
      <c r="E538" s="1"/>
      <c r="F538" s="1"/>
      <c r="G538" s="1"/>
      <c r="H538" s="1"/>
      <c r="I538" s="1"/>
      <c r="J538" s="1"/>
      <c r="L538" s="85"/>
      <c r="M538" s="85"/>
      <c r="N538" s="85"/>
      <c r="O538" s="85"/>
      <c r="P538" s="85"/>
      <c r="Q538" s="85"/>
      <c r="R538" s="85"/>
      <c r="S538" s="85"/>
      <c r="T538" s="85"/>
      <c r="U538" s="1"/>
      <c r="V538" s="1"/>
    </row>
    <row r="539" spans="3:22" x14ac:dyDescent="0.3">
      <c r="C539" s="21"/>
      <c r="D539" s="1"/>
      <c r="E539" s="1"/>
      <c r="F539" s="1"/>
      <c r="G539" s="1"/>
      <c r="H539" s="1"/>
      <c r="I539" s="1"/>
      <c r="J539" s="1"/>
      <c r="L539" s="85"/>
      <c r="M539" s="85"/>
      <c r="N539" s="85"/>
      <c r="O539" s="85"/>
      <c r="P539" s="85"/>
      <c r="Q539" s="85"/>
      <c r="R539" s="85"/>
      <c r="S539" s="85"/>
      <c r="T539" s="85"/>
      <c r="U539" s="1"/>
      <c r="V539" s="1"/>
    </row>
    <row r="540" spans="3:22" x14ac:dyDescent="0.3">
      <c r="C540" s="21"/>
      <c r="D540" s="1"/>
      <c r="E540" s="1"/>
      <c r="F540" s="1"/>
      <c r="G540" s="1"/>
      <c r="H540" s="1"/>
      <c r="I540" s="1"/>
      <c r="J540" s="1"/>
      <c r="L540" s="85"/>
      <c r="M540" s="85"/>
      <c r="N540" s="85"/>
      <c r="O540" s="85"/>
      <c r="P540" s="85"/>
      <c r="Q540" s="85"/>
      <c r="R540" s="85"/>
      <c r="S540" s="85"/>
      <c r="T540" s="85"/>
      <c r="U540" s="1"/>
      <c r="V540" s="1"/>
    </row>
    <row r="541" spans="3:22" x14ac:dyDescent="0.3">
      <c r="C541" s="21"/>
      <c r="D541" s="1"/>
      <c r="E541" s="1"/>
      <c r="F541" s="1"/>
      <c r="G541" s="1"/>
      <c r="H541" s="1"/>
      <c r="I541" s="1"/>
      <c r="J541" s="1"/>
      <c r="L541" s="85"/>
      <c r="M541" s="85"/>
      <c r="N541" s="85"/>
      <c r="O541" s="85"/>
      <c r="P541" s="85"/>
      <c r="Q541" s="85"/>
      <c r="R541" s="85"/>
      <c r="S541" s="85"/>
      <c r="T541" s="85"/>
      <c r="U541" s="1"/>
      <c r="V541" s="1"/>
    </row>
    <row r="542" spans="3:22" x14ac:dyDescent="0.3">
      <c r="C542" s="21"/>
      <c r="D542" s="1"/>
      <c r="E542" s="1"/>
      <c r="F542" s="1"/>
      <c r="G542" s="1"/>
      <c r="H542" s="1"/>
      <c r="I542" s="1"/>
      <c r="J542" s="1"/>
      <c r="L542" s="85"/>
      <c r="M542" s="85"/>
      <c r="N542" s="85"/>
      <c r="O542" s="85"/>
      <c r="P542" s="85"/>
      <c r="Q542" s="85"/>
      <c r="R542" s="85"/>
      <c r="S542" s="85"/>
      <c r="T542" s="85"/>
      <c r="U542" s="1"/>
      <c r="V542" s="1"/>
    </row>
    <row r="543" spans="3:22" x14ac:dyDescent="0.3">
      <c r="C543" s="21"/>
      <c r="D543" s="1"/>
      <c r="E543" s="1"/>
      <c r="F543" s="1"/>
      <c r="G543" s="1"/>
      <c r="H543" s="1"/>
      <c r="I543" s="1"/>
      <c r="J543" s="1"/>
      <c r="L543" s="85"/>
      <c r="M543" s="85"/>
      <c r="N543" s="85"/>
      <c r="O543" s="85"/>
      <c r="P543" s="85"/>
      <c r="Q543" s="85"/>
      <c r="R543" s="85"/>
      <c r="S543" s="85"/>
      <c r="T543" s="85"/>
      <c r="U543" s="1"/>
      <c r="V543" s="1"/>
    </row>
    <row r="544" spans="3:22" x14ac:dyDescent="0.3">
      <c r="C544" s="21"/>
      <c r="D544" s="1"/>
      <c r="E544" s="1"/>
      <c r="F544" s="1"/>
      <c r="G544" s="1"/>
      <c r="H544" s="1"/>
      <c r="I544" s="1"/>
      <c r="J544" s="1"/>
      <c r="L544" s="85"/>
      <c r="M544" s="85"/>
      <c r="N544" s="85"/>
      <c r="O544" s="85"/>
      <c r="P544" s="85"/>
      <c r="Q544" s="85"/>
      <c r="R544" s="85"/>
      <c r="S544" s="85"/>
      <c r="T544" s="85"/>
      <c r="U544" s="1"/>
      <c r="V544" s="1"/>
    </row>
    <row r="545" spans="3:22" x14ac:dyDescent="0.3">
      <c r="C545" s="21"/>
      <c r="D545" s="1"/>
      <c r="E545" s="1"/>
      <c r="F545" s="1"/>
      <c r="G545" s="1"/>
      <c r="H545" s="1"/>
      <c r="I545" s="1"/>
      <c r="J545" s="1"/>
      <c r="L545" s="85"/>
      <c r="M545" s="85"/>
      <c r="N545" s="85"/>
      <c r="O545" s="85"/>
      <c r="P545" s="85"/>
      <c r="Q545" s="85"/>
      <c r="R545" s="85"/>
      <c r="S545" s="85"/>
      <c r="T545" s="85"/>
      <c r="U545" s="1"/>
      <c r="V545" s="1"/>
    </row>
    <row r="546" spans="3:22" x14ac:dyDescent="0.3">
      <c r="C546" s="21"/>
      <c r="D546" s="1"/>
      <c r="E546" s="1"/>
      <c r="F546" s="1"/>
      <c r="G546" s="1"/>
      <c r="H546" s="1"/>
      <c r="I546" s="1"/>
      <c r="J546" s="1"/>
      <c r="L546" s="85"/>
      <c r="M546" s="85"/>
      <c r="N546" s="85"/>
      <c r="O546" s="85"/>
      <c r="P546" s="85"/>
      <c r="Q546" s="85"/>
      <c r="R546" s="85"/>
      <c r="S546" s="85"/>
      <c r="T546" s="85"/>
      <c r="U546" s="1"/>
      <c r="V546" s="1"/>
    </row>
    <row r="547" spans="3:22" x14ac:dyDescent="0.3">
      <c r="C547" s="21"/>
      <c r="D547" s="1"/>
      <c r="E547" s="1"/>
      <c r="F547" s="1"/>
      <c r="G547" s="1"/>
      <c r="H547" s="1"/>
      <c r="I547" s="1"/>
      <c r="J547" s="1"/>
      <c r="L547" s="85"/>
      <c r="M547" s="85"/>
      <c r="N547" s="85"/>
      <c r="O547" s="85"/>
      <c r="P547" s="85"/>
      <c r="Q547" s="85"/>
      <c r="R547" s="85"/>
      <c r="S547" s="85"/>
      <c r="T547" s="85"/>
      <c r="U547" s="1"/>
      <c r="V547" s="1"/>
    </row>
    <row r="548" spans="3:22" x14ac:dyDescent="0.3">
      <c r="C548" s="21"/>
      <c r="D548" s="1"/>
      <c r="E548" s="1"/>
      <c r="F548" s="1"/>
      <c r="G548" s="1"/>
      <c r="H548" s="1"/>
      <c r="I548" s="1"/>
      <c r="J548" s="1"/>
      <c r="L548" s="85"/>
      <c r="M548" s="85"/>
      <c r="N548" s="85"/>
      <c r="O548" s="85"/>
      <c r="P548" s="85"/>
      <c r="Q548" s="85"/>
      <c r="R548" s="85"/>
      <c r="S548" s="85"/>
      <c r="T548" s="85"/>
      <c r="U548" s="1"/>
      <c r="V548" s="1"/>
    </row>
    <row r="549" spans="3:22" x14ac:dyDescent="0.3">
      <c r="C549" s="21"/>
      <c r="D549" s="1"/>
      <c r="E549" s="1"/>
      <c r="F549" s="1"/>
      <c r="G549" s="1"/>
      <c r="H549" s="1"/>
      <c r="I549" s="1"/>
      <c r="J549" s="1"/>
      <c r="L549" s="85"/>
      <c r="M549" s="85"/>
      <c r="N549" s="85"/>
      <c r="O549" s="85"/>
      <c r="P549" s="85"/>
      <c r="Q549" s="85"/>
      <c r="R549" s="85"/>
      <c r="S549" s="85"/>
      <c r="T549" s="85"/>
      <c r="U549" s="1"/>
      <c r="V549" s="1"/>
    </row>
    <row r="550" spans="3:22" x14ac:dyDescent="0.3">
      <c r="C550" s="21"/>
      <c r="D550" s="1"/>
      <c r="E550" s="1"/>
      <c r="F550" s="1"/>
      <c r="G550" s="1"/>
      <c r="H550" s="1"/>
      <c r="I550" s="1"/>
      <c r="J550" s="1"/>
      <c r="L550" s="85"/>
      <c r="M550" s="85"/>
      <c r="N550" s="85"/>
      <c r="O550" s="85"/>
      <c r="P550" s="85"/>
      <c r="Q550" s="85"/>
      <c r="R550" s="85"/>
      <c r="S550" s="85"/>
      <c r="T550" s="85"/>
      <c r="U550" s="1"/>
      <c r="V550" s="1"/>
    </row>
    <row r="551" spans="3:22" x14ac:dyDescent="0.3">
      <c r="C551" s="21"/>
      <c r="D551" s="1"/>
      <c r="E551" s="1"/>
      <c r="F551" s="1"/>
      <c r="G551" s="1"/>
      <c r="H551" s="1"/>
      <c r="I551" s="1"/>
      <c r="J551" s="1"/>
      <c r="L551" s="85"/>
      <c r="M551" s="85"/>
      <c r="N551" s="85"/>
      <c r="O551" s="85"/>
      <c r="P551" s="85"/>
      <c r="Q551" s="85"/>
      <c r="R551" s="85"/>
      <c r="S551" s="85"/>
      <c r="T551" s="85"/>
      <c r="U551" s="1"/>
      <c r="V551" s="1"/>
    </row>
    <row r="552" spans="3:22" x14ac:dyDescent="0.3">
      <c r="C552" s="21"/>
      <c r="D552" s="1"/>
      <c r="E552" s="1"/>
      <c r="F552" s="1"/>
      <c r="G552" s="1"/>
      <c r="H552" s="1"/>
      <c r="I552" s="1"/>
      <c r="J552" s="1"/>
      <c r="L552" s="85"/>
      <c r="M552" s="85"/>
      <c r="N552" s="85"/>
      <c r="O552" s="85"/>
      <c r="P552" s="85"/>
      <c r="Q552" s="85"/>
      <c r="R552" s="85"/>
      <c r="S552" s="85"/>
      <c r="T552" s="85"/>
      <c r="U552" s="1"/>
      <c r="V552" s="1"/>
    </row>
    <row r="553" spans="3:22" x14ac:dyDescent="0.3">
      <c r="C553" s="21"/>
      <c r="D553" s="1"/>
      <c r="E553" s="1"/>
      <c r="F553" s="1"/>
      <c r="G553" s="1"/>
      <c r="H553" s="1"/>
      <c r="I553" s="1"/>
      <c r="J553" s="1"/>
      <c r="L553" s="85"/>
      <c r="M553" s="85"/>
      <c r="N553" s="85"/>
      <c r="O553" s="85"/>
      <c r="P553" s="85"/>
      <c r="Q553" s="85"/>
      <c r="R553" s="85"/>
      <c r="S553" s="85"/>
      <c r="T553" s="85"/>
      <c r="U553" s="1"/>
      <c r="V553" s="1"/>
    </row>
    <row r="554" spans="3:22" x14ac:dyDescent="0.3">
      <c r="C554" s="21"/>
      <c r="D554" s="1"/>
      <c r="E554" s="1"/>
      <c r="F554" s="1"/>
      <c r="G554" s="1"/>
      <c r="H554" s="1"/>
      <c r="I554" s="1"/>
      <c r="J554" s="1"/>
      <c r="L554" s="85"/>
      <c r="M554" s="85"/>
      <c r="N554" s="85"/>
      <c r="O554" s="85"/>
      <c r="P554" s="85"/>
      <c r="Q554" s="85"/>
      <c r="R554" s="85"/>
      <c r="S554" s="85"/>
      <c r="T554" s="85"/>
      <c r="U554" s="1"/>
      <c r="V554" s="1"/>
    </row>
    <row r="555" spans="3:22" x14ac:dyDescent="0.3">
      <c r="C555" s="21"/>
      <c r="D555" s="1"/>
      <c r="E555" s="1"/>
      <c r="F555" s="1"/>
      <c r="G555" s="1"/>
      <c r="H555" s="1"/>
      <c r="I555" s="1"/>
      <c r="J555" s="1"/>
      <c r="L555" s="85"/>
      <c r="M555" s="85"/>
      <c r="N555" s="85"/>
      <c r="O555" s="85"/>
      <c r="P555" s="85"/>
      <c r="Q555" s="85"/>
      <c r="R555" s="85"/>
      <c r="S555" s="85"/>
      <c r="T555" s="85"/>
      <c r="U555" s="1"/>
      <c r="V555" s="1"/>
    </row>
    <row r="556" spans="3:22" x14ac:dyDescent="0.3">
      <c r="C556" s="21"/>
      <c r="D556" s="1"/>
      <c r="E556" s="1"/>
      <c r="F556" s="1"/>
      <c r="G556" s="1"/>
      <c r="H556" s="1"/>
      <c r="I556" s="1"/>
      <c r="J556" s="1"/>
      <c r="L556" s="85"/>
      <c r="M556" s="85"/>
      <c r="N556" s="85"/>
      <c r="O556" s="85"/>
      <c r="P556" s="85"/>
      <c r="Q556" s="85"/>
      <c r="R556" s="85"/>
      <c r="S556" s="85"/>
      <c r="T556" s="85"/>
      <c r="U556" s="1"/>
      <c r="V556" s="1"/>
    </row>
    <row r="557" spans="3:22" x14ac:dyDescent="0.3">
      <c r="C557" s="21"/>
      <c r="D557" s="1"/>
      <c r="E557" s="1"/>
      <c r="F557" s="1"/>
      <c r="G557" s="1"/>
      <c r="H557" s="1"/>
      <c r="I557" s="1"/>
      <c r="J557" s="1"/>
      <c r="L557" s="85"/>
      <c r="M557" s="85"/>
      <c r="N557" s="85"/>
      <c r="O557" s="85"/>
      <c r="P557" s="85"/>
      <c r="Q557" s="85"/>
      <c r="R557" s="85"/>
      <c r="S557" s="85"/>
      <c r="T557" s="85"/>
      <c r="U557" s="1"/>
      <c r="V557" s="1"/>
    </row>
    <row r="558" spans="3:22" x14ac:dyDescent="0.3">
      <c r="C558" s="21"/>
      <c r="D558" s="1"/>
      <c r="E558" s="1"/>
      <c r="F558" s="1"/>
      <c r="G558" s="1"/>
      <c r="H558" s="1"/>
      <c r="I558" s="1"/>
      <c r="J558" s="1"/>
      <c r="L558" s="85"/>
      <c r="M558" s="85"/>
      <c r="N558" s="85"/>
      <c r="O558" s="85"/>
      <c r="P558" s="85"/>
      <c r="Q558" s="85"/>
      <c r="R558" s="85"/>
      <c r="S558" s="85"/>
      <c r="T558" s="85"/>
      <c r="U558" s="1"/>
      <c r="V558" s="1"/>
    </row>
    <row r="559" spans="3:22" x14ac:dyDescent="0.3">
      <c r="C559" s="21"/>
      <c r="D559" s="1"/>
      <c r="E559" s="1"/>
      <c r="F559" s="1"/>
      <c r="G559" s="1"/>
      <c r="H559" s="1"/>
      <c r="I559" s="1"/>
      <c r="J559" s="1"/>
      <c r="L559" s="85"/>
      <c r="M559" s="85"/>
      <c r="N559" s="85"/>
      <c r="O559" s="85"/>
      <c r="P559" s="85"/>
      <c r="Q559" s="85"/>
      <c r="R559" s="85"/>
      <c r="S559" s="85"/>
      <c r="T559" s="85"/>
      <c r="U559" s="1"/>
      <c r="V559" s="1"/>
    </row>
    <row r="560" spans="3:22" x14ac:dyDescent="0.3">
      <c r="C560" s="21"/>
      <c r="D560" s="1"/>
      <c r="E560" s="1"/>
      <c r="F560" s="1"/>
      <c r="G560" s="1"/>
      <c r="H560" s="1"/>
      <c r="I560" s="1"/>
      <c r="J560" s="25"/>
      <c r="K560" s="81"/>
      <c r="L560" s="85"/>
      <c r="M560" s="85"/>
      <c r="N560" s="85"/>
      <c r="O560" s="85"/>
      <c r="P560" s="85"/>
      <c r="Q560" s="85"/>
      <c r="R560" s="85"/>
      <c r="S560" s="85"/>
      <c r="T560" s="85"/>
      <c r="U560" s="1"/>
      <c r="V560" s="1"/>
    </row>
    <row r="561" spans="3:22" x14ac:dyDescent="0.3">
      <c r="C561" s="21"/>
      <c r="D561" s="1"/>
      <c r="E561" s="1"/>
      <c r="F561" s="1"/>
      <c r="G561" s="1"/>
      <c r="H561" s="1"/>
      <c r="I561" s="1"/>
      <c r="J561" s="1"/>
      <c r="L561" s="85"/>
      <c r="M561" s="85"/>
      <c r="N561" s="85"/>
      <c r="O561" s="85"/>
      <c r="P561" s="85"/>
      <c r="Q561" s="85"/>
      <c r="R561" s="85"/>
      <c r="S561" s="85"/>
      <c r="T561" s="85"/>
      <c r="U561" s="1"/>
      <c r="V561" s="1"/>
    </row>
    <row r="562" spans="3:22" x14ac:dyDescent="0.3">
      <c r="C562" s="21"/>
      <c r="D562" s="1"/>
      <c r="E562" s="1"/>
      <c r="F562" s="1"/>
      <c r="G562" s="1"/>
      <c r="H562" s="1"/>
      <c r="I562" s="1"/>
      <c r="J562" s="1"/>
      <c r="L562" s="85"/>
      <c r="M562" s="85"/>
      <c r="N562" s="85"/>
      <c r="O562" s="85"/>
      <c r="P562" s="85"/>
      <c r="Q562" s="85"/>
      <c r="R562" s="85"/>
      <c r="S562" s="85"/>
      <c r="T562" s="85"/>
      <c r="U562" s="1"/>
      <c r="V562" s="1"/>
    </row>
    <row r="563" spans="3:22" x14ac:dyDescent="0.3">
      <c r="C563" s="21"/>
      <c r="D563" s="1"/>
      <c r="E563" s="1"/>
      <c r="F563" s="1"/>
      <c r="G563" s="1"/>
      <c r="H563" s="1"/>
      <c r="I563" s="1"/>
      <c r="J563" s="1"/>
      <c r="L563" s="85"/>
      <c r="M563" s="85"/>
      <c r="N563" s="85"/>
      <c r="O563" s="85"/>
      <c r="P563" s="85"/>
      <c r="Q563" s="85"/>
      <c r="R563" s="85"/>
      <c r="S563" s="85"/>
      <c r="T563" s="85"/>
      <c r="U563" s="1"/>
      <c r="V563" s="1"/>
    </row>
    <row r="564" spans="3:22" x14ac:dyDescent="0.3">
      <c r="C564" s="21"/>
      <c r="D564" s="1"/>
      <c r="E564" s="1"/>
      <c r="F564" s="1"/>
      <c r="G564" s="1"/>
      <c r="H564" s="1"/>
      <c r="I564" s="1"/>
      <c r="J564" s="1"/>
      <c r="L564" s="85"/>
      <c r="M564" s="85"/>
      <c r="N564" s="85"/>
      <c r="O564" s="85"/>
      <c r="P564" s="85"/>
      <c r="Q564" s="85"/>
      <c r="R564" s="85"/>
      <c r="S564" s="85"/>
      <c r="T564" s="85"/>
      <c r="U564" s="1"/>
      <c r="V564" s="1"/>
    </row>
    <row r="565" spans="3:22" x14ac:dyDescent="0.3">
      <c r="C565" s="21"/>
      <c r="D565" s="1"/>
      <c r="E565" s="1"/>
      <c r="F565" s="1"/>
      <c r="G565" s="1"/>
      <c r="H565" s="1"/>
      <c r="I565" s="1"/>
      <c r="J565" s="1"/>
      <c r="L565" s="85"/>
      <c r="M565" s="85"/>
      <c r="N565" s="85"/>
      <c r="O565" s="85"/>
      <c r="P565" s="85"/>
      <c r="Q565" s="85"/>
      <c r="R565" s="85"/>
      <c r="S565" s="85"/>
      <c r="T565" s="85"/>
      <c r="U565" s="1"/>
      <c r="V565" s="1"/>
    </row>
    <row r="566" spans="3:22" x14ac:dyDescent="0.3">
      <c r="C566" s="21"/>
      <c r="D566" s="1"/>
      <c r="E566" s="1"/>
      <c r="F566" s="1"/>
      <c r="G566" s="1"/>
      <c r="H566" s="1"/>
      <c r="I566" s="1"/>
      <c r="J566" s="1"/>
      <c r="L566" s="85"/>
      <c r="M566" s="85"/>
      <c r="N566" s="85"/>
      <c r="O566" s="85"/>
      <c r="P566" s="85"/>
      <c r="Q566" s="85"/>
      <c r="R566" s="85"/>
      <c r="S566" s="85"/>
      <c r="T566" s="85"/>
      <c r="U566" s="1"/>
      <c r="V566" s="1"/>
    </row>
    <row r="567" spans="3:22" x14ac:dyDescent="0.3">
      <c r="C567" s="21"/>
      <c r="D567" s="1"/>
      <c r="E567" s="1"/>
      <c r="F567" s="1"/>
      <c r="G567" s="1"/>
      <c r="H567" s="1"/>
      <c r="I567" s="1"/>
      <c r="J567" s="1"/>
      <c r="L567" s="85"/>
      <c r="M567" s="85"/>
      <c r="N567" s="85"/>
      <c r="O567" s="85"/>
      <c r="P567" s="85"/>
      <c r="Q567" s="85"/>
      <c r="R567" s="85"/>
      <c r="S567" s="85"/>
      <c r="T567" s="85"/>
      <c r="U567" s="1"/>
      <c r="V567" s="1"/>
    </row>
    <row r="568" spans="3:22" x14ac:dyDescent="0.3">
      <c r="C568" s="21"/>
      <c r="D568" s="1"/>
      <c r="E568" s="1"/>
      <c r="F568" s="1"/>
      <c r="G568" s="1"/>
      <c r="H568" s="1"/>
      <c r="I568" s="1"/>
      <c r="J568" s="1"/>
      <c r="L568" s="85"/>
      <c r="M568" s="85"/>
      <c r="N568" s="85"/>
      <c r="O568" s="85"/>
      <c r="P568" s="85"/>
      <c r="Q568" s="85"/>
      <c r="R568" s="85"/>
      <c r="S568" s="85"/>
      <c r="T568" s="85"/>
      <c r="U568" s="1"/>
      <c r="V568" s="1"/>
    </row>
    <row r="569" spans="3:22" x14ac:dyDescent="0.3">
      <c r="C569" s="21"/>
      <c r="D569" s="1"/>
      <c r="E569" s="1"/>
      <c r="F569" s="1"/>
      <c r="G569" s="1"/>
      <c r="H569" s="1"/>
      <c r="I569" s="1"/>
      <c r="J569" s="1"/>
      <c r="L569" s="85"/>
      <c r="M569" s="85"/>
      <c r="N569" s="85"/>
      <c r="O569" s="85"/>
      <c r="P569" s="85"/>
      <c r="Q569" s="85"/>
      <c r="R569" s="85"/>
      <c r="S569" s="85"/>
      <c r="T569" s="85"/>
      <c r="U569" s="1"/>
      <c r="V569" s="1"/>
    </row>
    <row r="570" spans="3:22" x14ac:dyDescent="0.3">
      <c r="C570" s="21"/>
      <c r="D570" s="1"/>
      <c r="E570" s="1"/>
      <c r="F570" s="1"/>
      <c r="G570" s="1"/>
      <c r="H570" s="1"/>
      <c r="I570" s="1"/>
      <c r="J570" s="1"/>
      <c r="L570" s="85"/>
      <c r="M570" s="85"/>
      <c r="N570" s="85"/>
      <c r="O570" s="85"/>
      <c r="P570" s="85"/>
      <c r="Q570" s="85"/>
      <c r="R570" s="85"/>
      <c r="S570" s="85"/>
      <c r="T570" s="85"/>
      <c r="U570" s="1"/>
      <c r="V570" s="1"/>
    </row>
    <row r="571" spans="3:22" x14ac:dyDescent="0.3">
      <c r="C571" s="21"/>
      <c r="D571" s="1"/>
      <c r="E571" s="1"/>
      <c r="F571" s="1"/>
      <c r="G571" s="1"/>
      <c r="H571" s="1"/>
      <c r="I571" s="1"/>
      <c r="J571" s="1"/>
      <c r="L571" s="85"/>
      <c r="M571" s="85"/>
      <c r="N571" s="85"/>
      <c r="O571" s="85"/>
      <c r="P571" s="85"/>
      <c r="Q571" s="85"/>
      <c r="R571" s="85"/>
      <c r="S571" s="85"/>
      <c r="T571" s="85"/>
      <c r="U571" s="1"/>
      <c r="V571" s="1"/>
    </row>
    <row r="572" spans="3:22" x14ac:dyDescent="0.3">
      <c r="C572" s="21"/>
      <c r="D572" s="1"/>
      <c r="E572" s="1"/>
      <c r="F572" s="1"/>
      <c r="G572" s="1"/>
      <c r="H572" s="1"/>
      <c r="I572" s="1"/>
      <c r="J572" s="1"/>
      <c r="L572" s="85"/>
      <c r="M572" s="85"/>
      <c r="N572" s="85"/>
      <c r="O572" s="85"/>
      <c r="P572" s="85"/>
      <c r="Q572" s="85"/>
      <c r="R572" s="85"/>
      <c r="S572" s="85"/>
      <c r="T572" s="85"/>
      <c r="U572" s="1"/>
      <c r="V572" s="1"/>
    </row>
    <row r="573" spans="3:22" x14ac:dyDescent="0.3">
      <c r="C573" s="21"/>
      <c r="D573" s="1"/>
      <c r="E573" s="1"/>
      <c r="F573" s="1"/>
      <c r="G573" s="1"/>
      <c r="H573" s="1"/>
      <c r="I573" s="1"/>
      <c r="J573" s="1"/>
      <c r="L573" s="85"/>
      <c r="M573" s="85"/>
      <c r="N573" s="85"/>
      <c r="O573" s="85"/>
      <c r="P573" s="85"/>
      <c r="Q573" s="85"/>
      <c r="R573" s="85"/>
      <c r="S573" s="85"/>
      <c r="T573" s="85"/>
      <c r="U573" s="1"/>
      <c r="V573" s="1"/>
    </row>
    <row r="574" spans="3:22" x14ac:dyDescent="0.3">
      <c r="C574" s="21"/>
      <c r="D574" s="1"/>
      <c r="E574" s="1"/>
      <c r="F574" s="1"/>
      <c r="G574" s="1"/>
      <c r="H574" s="1"/>
      <c r="I574" s="1"/>
      <c r="J574" s="1"/>
      <c r="L574" s="85"/>
      <c r="M574" s="85"/>
      <c r="N574" s="85"/>
      <c r="O574" s="85"/>
      <c r="P574" s="85"/>
      <c r="Q574" s="85"/>
      <c r="R574" s="85"/>
      <c r="S574" s="85"/>
      <c r="T574" s="85"/>
      <c r="U574" s="1"/>
      <c r="V574" s="1"/>
    </row>
    <row r="575" spans="3:22" x14ac:dyDescent="0.3">
      <c r="C575" s="21"/>
      <c r="D575" s="1"/>
      <c r="E575" s="1"/>
      <c r="F575" s="1"/>
      <c r="G575" s="1"/>
      <c r="H575" s="1"/>
      <c r="I575" s="1"/>
      <c r="J575" s="1"/>
      <c r="L575" s="85"/>
      <c r="M575" s="85"/>
      <c r="N575" s="85"/>
      <c r="O575" s="85"/>
      <c r="P575" s="85"/>
      <c r="Q575" s="85"/>
      <c r="R575" s="85"/>
      <c r="S575" s="85"/>
      <c r="T575" s="85"/>
      <c r="U575" s="1"/>
      <c r="V575" s="1"/>
    </row>
    <row r="576" spans="3:22" x14ac:dyDescent="0.3">
      <c r="C576" s="21"/>
      <c r="D576" s="1"/>
      <c r="E576" s="1"/>
      <c r="F576" s="1"/>
      <c r="G576" s="1"/>
      <c r="H576" s="1"/>
      <c r="I576" s="1"/>
      <c r="J576" s="1"/>
      <c r="L576" s="85"/>
      <c r="M576" s="85"/>
      <c r="N576" s="85"/>
      <c r="O576" s="85"/>
      <c r="P576" s="85"/>
      <c r="Q576" s="85"/>
      <c r="R576" s="85"/>
      <c r="S576" s="85"/>
      <c r="T576" s="85"/>
      <c r="U576" s="1"/>
      <c r="V576" s="1"/>
    </row>
    <row r="577" spans="3:22" x14ac:dyDescent="0.3">
      <c r="C577" s="21"/>
      <c r="D577" s="1"/>
      <c r="E577" s="1"/>
      <c r="F577" s="1"/>
      <c r="G577" s="1"/>
      <c r="H577" s="1"/>
      <c r="I577" s="1"/>
      <c r="J577" s="1"/>
      <c r="L577" s="85"/>
      <c r="M577" s="85"/>
      <c r="N577" s="85"/>
      <c r="O577" s="85"/>
      <c r="P577" s="85"/>
      <c r="Q577" s="85"/>
      <c r="R577" s="85"/>
      <c r="S577" s="85"/>
      <c r="T577" s="85"/>
      <c r="U577" s="1"/>
      <c r="V577" s="1"/>
    </row>
    <row r="578" spans="3:22" x14ac:dyDescent="0.3">
      <c r="C578" s="21"/>
      <c r="D578" s="1"/>
      <c r="E578" s="1"/>
      <c r="F578" s="1"/>
      <c r="G578" s="1"/>
      <c r="H578" s="1"/>
      <c r="I578" s="1"/>
      <c r="J578" s="1"/>
      <c r="L578" s="85"/>
      <c r="M578" s="85"/>
      <c r="N578" s="85"/>
      <c r="O578" s="85"/>
      <c r="P578" s="85"/>
      <c r="Q578" s="85"/>
      <c r="R578" s="85"/>
      <c r="S578" s="85"/>
      <c r="T578" s="85"/>
      <c r="U578" s="1"/>
      <c r="V578" s="1"/>
    </row>
    <row r="579" spans="3:22" x14ac:dyDescent="0.3">
      <c r="C579" s="21"/>
      <c r="D579" s="1"/>
      <c r="E579" s="1"/>
      <c r="F579" s="1"/>
      <c r="G579" s="1"/>
      <c r="H579" s="1"/>
      <c r="I579" s="1"/>
      <c r="J579" s="1"/>
      <c r="L579" s="85"/>
      <c r="M579" s="85"/>
      <c r="N579" s="85"/>
      <c r="O579" s="85"/>
      <c r="P579" s="85"/>
      <c r="Q579" s="85"/>
      <c r="R579" s="85"/>
      <c r="S579" s="85"/>
      <c r="T579" s="85"/>
      <c r="U579" s="1"/>
      <c r="V579" s="1"/>
    </row>
    <row r="580" spans="3:22" x14ac:dyDescent="0.3">
      <c r="C580" s="21"/>
      <c r="D580" s="1"/>
      <c r="E580" s="1"/>
      <c r="F580" s="1"/>
      <c r="G580" s="1"/>
      <c r="H580" s="1"/>
      <c r="I580" s="1"/>
      <c r="J580" s="1"/>
      <c r="L580" s="85"/>
      <c r="M580" s="85"/>
      <c r="N580" s="85"/>
      <c r="O580" s="85"/>
      <c r="P580" s="85"/>
      <c r="Q580" s="85"/>
      <c r="R580" s="85"/>
      <c r="S580" s="85"/>
      <c r="T580" s="85"/>
      <c r="U580" s="1"/>
      <c r="V580" s="1"/>
    </row>
    <row r="581" spans="3:22" x14ac:dyDescent="0.3">
      <c r="C581" s="21"/>
      <c r="D581" s="1"/>
      <c r="E581" s="1"/>
      <c r="F581" s="1"/>
      <c r="G581" s="1"/>
      <c r="H581" s="1"/>
      <c r="I581" s="1"/>
      <c r="J581" s="1"/>
      <c r="L581" s="85"/>
      <c r="M581" s="85"/>
      <c r="N581" s="85"/>
      <c r="O581" s="85"/>
      <c r="P581" s="85"/>
      <c r="Q581" s="85"/>
      <c r="R581" s="85"/>
      <c r="S581" s="85"/>
      <c r="T581" s="85"/>
      <c r="U581" s="1"/>
      <c r="V581" s="1"/>
    </row>
    <row r="582" spans="3:22" x14ac:dyDescent="0.3">
      <c r="C582" s="21"/>
      <c r="D582" s="1"/>
      <c r="E582" s="1"/>
      <c r="F582" s="1"/>
      <c r="G582" s="1"/>
      <c r="H582" s="1"/>
      <c r="I582" s="1"/>
      <c r="J582" s="1"/>
      <c r="L582" s="85"/>
      <c r="M582" s="85"/>
      <c r="N582" s="85"/>
      <c r="O582" s="85"/>
      <c r="P582" s="85"/>
      <c r="Q582" s="85"/>
      <c r="R582" s="85"/>
      <c r="S582" s="85"/>
      <c r="T582" s="85"/>
      <c r="U582" s="1"/>
      <c r="V582" s="1"/>
    </row>
    <row r="583" spans="3:22" x14ac:dyDescent="0.3">
      <c r="C583" s="21"/>
      <c r="D583" s="1"/>
      <c r="E583" s="1"/>
      <c r="F583" s="1"/>
      <c r="G583" s="1"/>
      <c r="H583" s="1"/>
      <c r="I583" s="1"/>
      <c r="J583" s="1"/>
      <c r="L583" s="85"/>
      <c r="M583" s="85"/>
      <c r="N583" s="85"/>
      <c r="O583" s="85"/>
      <c r="P583" s="85"/>
      <c r="Q583" s="85"/>
      <c r="R583" s="85"/>
      <c r="S583" s="85"/>
      <c r="T583" s="85"/>
      <c r="U583" s="1"/>
      <c r="V583" s="1"/>
    </row>
    <row r="584" spans="3:22" x14ac:dyDescent="0.3">
      <c r="C584" s="21"/>
      <c r="D584" s="1"/>
      <c r="E584" s="1"/>
      <c r="F584" s="1"/>
      <c r="G584" s="1"/>
      <c r="H584" s="1"/>
      <c r="I584" s="1"/>
      <c r="J584" s="1"/>
      <c r="L584" s="85"/>
      <c r="M584" s="85"/>
      <c r="N584" s="85"/>
      <c r="O584" s="85"/>
      <c r="P584" s="85"/>
      <c r="Q584" s="85"/>
      <c r="R584" s="85"/>
      <c r="S584" s="85"/>
      <c r="T584" s="85"/>
      <c r="U584" s="1"/>
      <c r="V584" s="1"/>
    </row>
    <row r="585" spans="3:22" x14ac:dyDescent="0.3">
      <c r="C585" s="21"/>
      <c r="D585" s="1"/>
      <c r="E585" s="1"/>
      <c r="F585" s="1"/>
      <c r="G585" s="1"/>
      <c r="H585" s="1"/>
      <c r="I585" s="1"/>
      <c r="J585" s="1"/>
      <c r="L585" s="85"/>
      <c r="M585" s="85"/>
      <c r="N585" s="85"/>
      <c r="O585" s="85"/>
      <c r="P585" s="85"/>
      <c r="Q585" s="85"/>
      <c r="R585" s="85"/>
      <c r="S585" s="85"/>
      <c r="T585" s="85"/>
      <c r="U585" s="1"/>
      <c r="V585" s="1"/>
    </row>
    <row r="586" spans="3:22" x14ac:dyDescent="0.3">
      <c r="C586" s="21"/>
      <c r="D586" s="1"/>
      <c r="E586" s="1"/>
      <c r="F586" s="1"/>
      <c r="G586" s="1"/>
      <c r="H586" s="1"/>
      <c r="I586" s="1"/>
      <c r="J586" s="1"/>
      <c r="L586" s="85"/>
      <c r="M586" s="85"/>
      <c r="N586" s="85"/>
      <c r="O586" s="85"/>
      <c r="P586" s="85"/>
      <c r="Q586" s="85"/>
      <c r="R586" s="85"/>
      <c r="S586" s="85"/>
      <c r="T586" s="85"/>
      <c r="U586" s="1"/>
      <c r="V586" s="1"/>
    </row>
    <row r="587" spans="3:22" x14ac:dyDescent="0.3">
      <c r="C587" s="21"/>
      <c r="D587" s="1"/>
      <c r="E587" s="1"/>
      <c r="F587" s="1"/>
      <c r="G587" s="1"/>
      <c r="H587" s="1"/>
      <c r="I587" s="1"/>
      <c r="J587" s="1"/>
      <c r="L587" s="85"/>
      <c r="M587" s="85"/>
      <c r="N587" s="85"/>
      <c r="O587" s="85"/>
      <c r="P587" s="85"/>
      <c r="Q587" s="85"/>
      <c r="R587" s="85"/>
      <c r="S587" s="85"/>
      <c r="T587" s="85"/>
      <c r="U587" s="1"/>
      <c r="V587" s="1"/>
    </row>
    <row r="588" spans="3:22" x14ac:dyDescent="0.3">
      <c r="C588" s="21"/>
      <c r="D588" s="1"/>
      <c r="E588" s="1"/>
      <c r="F588" s="1"/>
      <c r="G588" s="1"/>
      <c r="H588" s="1"/>
      <c r="I588" s="1"/>
      <c r="J588" s="1"/>
      <c r="L588" s="85"/>
      <c r="M588" s="85"/>
      <c r="N588" s="85"/>
      <c r="O588" s="85"/>
      <c r="P588" s="85"/>
      <c r="Q588" s="85"/>
      <c r="R588" s="85"/>
      <c r="S588" s="85"/>
      <c r="T588" s="85"/>
      <c r="U588" s="1"/>
      <c r="V588" s="1"/>
    </row>
    <row r="589" spans="3:22" x14ac:dyDescent="0.3">
      <c r="C589" s="21"/>
      <c r="D589" s="1"/>
      <c r="E589" s="1"/>
      <c r="F589" s="1"/>
      <c r="G589" s="1"/>
      <c r="H589" s="1"/>
      <c r="I589" s="1"/>
      <c r="J589" s="1"/>
      <c r="L589" s="85"/>
      <c r="M589" s="85"/>
      <c r="N589" s="85"/>
      <c r="O589" s="85"/>
      <c r="P589" s="85"/>
      <c r="Q589" s="85"/>
      <c r="R589" s="85"/>
      <c r="S589" s="85"/>
      <c r="T589" s="85"/>
      <c r="U589" s="1"/>
      <c r="V589" s="1"/>
    </row>
    <row r="590" spans="3:22" x14ac:dyDescent="0.3">
      <c r="C590" s="21"/>
      <c r="D590" s="1"/>
      <c r="E590" s="1"/>
      <c r="F590" s="1"/>
      <c r="G590" s="1"/>
      <c r="H590" s="1"/>
      <c r="I590" s="1"/>
      <c r="J590" s="1"/>
      <c r="L590" s="85"/>
      <c r="M590" s="85"/>
      <c r="N590" s="85"/>
      <c r="O590" s="85"/>
      <c r="P590" s="85"/>
      <c r="Q590" s="85"/>
      <c r="R590" s="85"/>
      <c r="S590" s="85"/>
      <c r="T590" s="85"/>
      <c r="U590" s="1"/>
      <c r="V590" s="1"/>
    </row>
    <row r="591" spans="3:22" x14ac:dyDescent="0.3">
      <c r="C591" s="21"/>
      <c r="D591" s="1"/>
      <c r="E591" s="1"/>
      <c r="F591" s="1"/>
      <c r="G591" s="1"/>
      <c r="H591" s="1"/>
      <c r="I591" s="1"/>
      <c r="J591" s="1"/>
      <c r="L591" s="85"/>
      <c r="M591" s="85"/>
      <c r="N591" s="85"/>
      <c r="O591" s="85"/>
      <c r="P591" s="85"/>
      <c r="Q591" s="85"/>
      <c r="R591" s="85"/>
      <c r="S591" s="85"/>
      <c r="T591" s="85"/>
      <c r="U591" s="1"/>
      <c r="V591" s="1"/>
    </row>
    <row r="592" spans="3:22" x14ac:dyDescent="0.3">
      <c r="C592" s="21"/>
      <c r="D592" s="1"/>
      <c r="E592" s="1"/>
      <c r="F592" s="1"/>
      <c r="G592" s="1"/>
      <c r="H592" s="1"/>
      <c r="I592" s="1"/>
      <c r="J592" s="1"/>
      <c r="L592" s="85"/>
      <c r="M592" s="85"/>
      <c r="N592" s="85"/>
      <c r="O592" s="85"/>
      <c r="P592" s="85"/>
      <c r="Q592" s="85"/>
      <c r="R592" s="85"/>
      <c r="S592" s="85"/>
      <c r="T592" s="85"/>
      <c r="U592" s="1"/>
      <c r="V592" s="1"/>
    </row>
    <row r="593" spans="3:22" x14ac:dyDescent="0.3">
      <c r="C593" s="21"/>
      <c r="D593" s="1"/>
      <c r="E593" s="1"/>
      <c r="F593" s="1"/>
      <c r="G593" s="1"/>
      <c r="H593" s="1"/>
      <c r="I593" s="1"/>
      <c r="J593" s="1"/>
      <c r="L593" s="85"/>
      <c r="M593" s="85"/>
      <c r="N593" s="85"/>
      <c r="O593" s="85"/>
      <c r="P593" s="85"/>
      <c r="Q593" s="85"/>
      <c r="R593" s="85"/>
      <c r="S593" s="85"/>
      <c r="T593" s="85"/>
      <c r="U593" s="1"/>
      <c r="V593" s="1"/>
    </row>
    <row r="594" spans="3:22" x14ac:dyDescent="0.3">
      <c r="C594" s="21"/>
      <c r="D594" s="1"/>
      <c r="E594" s="1"/>
      <c r="F594" s="1"/>
      <c r="G594" s="1"/>
      <c r="H594" s="1"/>
      <c r="I594" s="1"/>
      <c r="J594" s="1"/>
      <c r="L594" s="85"/>
      <c r="M594" s="85"/>
      <c r="N594" s="85"/>
      <c r="O594" s="85"/>
      <c r="P594" s="85"/>
      <c r="Q594" s="85"/>
      <c r="R594" s="85"/>
      <c r="S594" s="85"/>
      <c r="T594" s="85"/>
      <c r="U594" s="1"/>
      <c r="V594" s="1"/>
    </row>
    <row r="595" spans="3:22" x14ac:dyDescent="0.3">
      <c r="C595" s="21"/>
      <c r="D595" s="1"/>
      <c r="E595" s="1"/>
      <c r="F595" s="1"/>
      <c r="G595" s="1"/>
      <c r="H595" s="1"/>
      <c r="I595" s="1"/>
      <c r="J595" s="1"/>
      <c r="L595" s="85"/>
      <c r="M595" s="85"/>
      <c r="N595" s="85"/>
      <c r="O595" s="85"/>
      <c r="P595" s="85"/>
      <c r="Q595" s="85"/>
      <c r="R595" s="85"/>
      <c r="S595" s="85"/>
      <c r="T595" s="85"/>
      <c r="U595" s="1"/>
      <c r="V595" s="1"/>
    </row>
    <row r="596" spans="3:22" x14ac:dyDescent="0.3">
      <c r="C596" s="21"/>
      <c r="D596" s="1"/>
      <c r="E596" s="1"/>
      <c r="F596" s="1"/>
      <c r="G596" s="1"/>
      <c r="H596" s="1"/>
      <c r="I596" s="1"/>
      <c r="J596" s="1"/>
      <c r="L596" s="85"/>
      <c r="M596" s="85"/>
      <c r="N596" s="85"/>
      <c r="O596" s="85"/>
      <c r="P596" s="85"/>
      <c r="Q596" s="85"/>
      <c r="R596" s="85"/>
      <c r="S596" s="85"/>
      <c r="T596" s="85"/>
      <c r="U596" s="1"/>
      <c r="V596" s="1"/>
    </row>
    <row r="597" spans="3:22" x14ac:dyDescent="0.3">
      <c r="C597" s="21"/>
      <c r="D597" s="1"/>
      <c r="E597" s="1"/>
      <c r="F597" s="1"/>
      <c r="G597" s="1"/>
      <c r="H597" s="1"/>
      <c r="I597" s="1"/>
      <c r="J597" s="1"/>
      <c r="L597" s="85"/>
      <c r="M597" s="85"/>
      <c r="N597" s="85"/>
      <c r="O597" s="85"/>
      <c r="P597" s="85"/>
      <c r="Q597" s="85"/>
      <c r="R597" s="85"/>
      <c r="S597" s="85"/>
      <c r="T597" s="85"/>
      <c r="U597" s="1"/>
      <c r="V597" s="1"/>
    </row>
    <row r="598" spans="3:22" x14ac:dyDescent="0.3">
      <c r="C598" s="21"/>
      <c r="D598" s="1"/>
      <c r="E598" s="1"/>
      <c r="F598" s="1"/>
      <c r="G598" s="1"/>
      <c r="H598" s="1"/>
      <c r="I598" s="1"/>
      <c r="J598" s="1"/>
      <c r="L598" s="85"/>
      <c r="M598" s="85"/>
      <c r="N598" s="85"/>
      <c r="O598" s="85"/>
      <c r="P598" s="85"/>
      <c r="Q598" s="85"/>
      <c r="R598" s="85"/>
      <c r="S598" s="85"/>
      <c r="T598" s="85"/>
      <c r="U598" s="1"/>
      <c r="V598" s="1"/>
    </row>
    <row r="599" spans="3:22" x14ac:dyDescent="0.3">
      <c r="C599" s="21"/>
      <c r="D599" s="1"/>
      <c r="E599" s="1"/>
      <c r="F599" s="1"/>
      <c r="G599" s="1"/>
      <c r="H599" s="1"/>
      <c r="I599" s="1"/>
      <c r="J599" s="1"/>
      <c r="L599" s="85"/>
      <c r="M599" s="85"/>
      <c r="N599" s="85"/>
      <c r="O599" s="85"/>
      <c r="P599" s="85"/>
      <c r="Q599" s="85"/>
      <c r="R599" s="85"/>
      <c r="S599" s="85"/>
      <c r="T599" s="85"/>
      <c r="U599" s="1"/>
      <c r="V599" s="1"/>
    </row>
    <row r="600" spans="3:22" x14ac:dyDescent="0.3">
      <c r="C600" s="21"/>
      <c r="D600" s="1"/>
      <c r="E600" s="1"/>
      <c r="F600" s="1"/>
      <c r="G600" s="1"/>
      <c r="H600" s="1"/>
      <c r="I600" s="1"/>
      <c r="J600" s="1"/>
      <c r="L600" s="85"/>
      <c r="M600" s="85"/>
      <c r="N600" s="85"/>
      <c r="O600" s="85"/>
      <c r="P600" s="85"/>
      <c r="Q600" s="85"/>
      <c r="R600" s="85"/>
      <c r="S600" s="85"/>
      <c r="T600" s="85"/>
      <c r="U600" s="1"/>
      <c r="V600" s="1"/>
    </row>
    <row r="601" spans="3:22" x14ac:dyDescent="0.3">
      <c r="C601" s="21"/>
      <c r="D601" s="1"/>
      <c r="E601" s="1"/>
      <c r="F601" s="1"/>
      <c r="G601" s="1"/>
      <c r="H601" s="1"/>
      <c r="I601" s="1"/>
      <c r="J601" s="1"/>
      <c r="L601" s="85"/>
      <c r="M601" s="85"/>
      <c r="N601" s="85"/>
      <c r="O601" s="85"/>
      <c r="P601" s="85"/>
      <c r="Q601" s="85"/>
      <c r="R601" s="85"/>
      <c r="S601" s="85"/>
      <c r="T601" s="85"/>
      <c r="U601" s="1"/>
      <c r="V601" s="1"/>
    </row>
    <row r="602" spans="3:22" x14ac:dyDescent="0.3">
      <c r="C602" s="21"/>
      <c r="D602" s="1"/>
      <c r="E602" s="1"/>
      <c r="F602" s="1"/>
      <c r="G602" s="1"/>
      <c r="H602" s="1"/>
      <c r="I602" s="1"/>
      <c r="J602" s="1"/>
      <c r="L602" s="85"/>
      <c r="M602" s="85"/>
      <c r="N602" s="85"/>
      <c r="O602" s="85"/>
      <c r="P602" s="85"/>
      <c r="Q602" s="85"/>
      <c r="R602" s="85"/>
      <c r="S602" s="85"/>
      <c r="T602" s="85"/>
      <c r="U602" s="1"/>
      <c r="V602" s="1"/>
    </row>
    <row r="603" spans="3:22" x14ac:dyDescent="0.3">
      <c r="C603" s="21"/>
      <c r="D603" s="1"/>
      <c r="E603" s="1"/>
      <c r="F603" s="1"/>
      <c r="G603" s="1"/>
      <c r="H603" s="1"/>
      <c r="I603" s="1"/>
      <c r="J603" s="1"/>
      <c r="L603" s="85"/>
      <c r="M603" s="85"/>
      <c r="N603" s="85"/>
      <c r="O603" s="85"/>
      <c r="P603" s="85"/>
      <c r="Q603" s="85"/>
      <c r="R603" s="85"/>
      <c r="S603" s="85"/>
      <c r="T603" s="85"/>
      <c r="U603" s="1"/>
      <c r="V603" s="1"/>
    </row>
    <row r="604" spans="3:22" x14ac:dyDescent="0.3">
      <c r="C604" s="21"/>
      <c r="D604" s="1"/>
      <c r="E604" s="1"/>
      <c r="F604" s="1"/>
      <c r="G604" s="1"/>
      <c r="H604" s="1"/>
      <c r="I604" s="1"/>
      <c r="J604" s="1"/>
      <c r="L604" s="85"/>
      <c r="M604" s="85"/>
      <c r="N604" s="85"/>
      <c r="O604" s="85"/>
      <c r="P604" s="85"/>
      <c r="Q604" s="85"/>
      <c r="R604" s="85"/>
      <c r="S604" s="85"/>
      <c r="T604" s="85"/>
      <c r="U604" s="1"/>
      <c r="V604" s="1"/>
    </row>
    <row r="605" spans="3:22" x14ac:dyDescent="0.3">
      <c r="C605" s="21"/>
      <c r="D605" s="1"/>
      <c r="E605" s="1"/>
      <c r="F605" s="1"/>
      <c r="G605" s="1"/>
      <c r="H605" s="1"/>
      <c r="I605" s="1"/>
      <c r="J605" s="1"/>
      <c r="L605" s="85"/>
      <c r="M605" s="85"/>
      <c r="N605" s="85"/>
      <c r="O605" s="85"/>
      <c r="P605" s="85"/>
      <c r="Q605" s="85"/>
      <c r="R605" s="85"/>
      <c r="S605" s="85"/>
      <c r="T605" s="85"/>
      <c r="U605" s="1"/>
      <c r="V605" s="1"/>
    </row>
    <row r="606" spans="3:22" x14ac:dyDescent="0.3">
      <c r="C606" s="21"/>
      <c r="D606" s="1"/>
      <c r="E606" s="1"/>
      <c r="F606" s="1"/>
      <c r="G606" s="1"/>
      <c r="H606" s="1"/>
      <c r="I606" s="1"/>
      <c r="J606" s="1"/>
      <c r="L606" s="85"/>
      <c r="M606" s="85"/>
      <c r="N606" s="85"/>
      <c r="O606" s="85"/>
      <c r="P606" s="85"/>
      <c r="Q606" s="85"/>
      <c r="R606" s="85"/>
      <c r="S606" s="85"/>
      <c r="T606" s="85"/>
      <c r="U606" s="1"/>
      <c r="V606" s="1"/>
    </row>
    <row r="607" spans="3:22" x14ac:dyDescent="0.3">
      <c r="C607" s="21"/>
      <c r="D607" s="1"/>
      <c r="E607" s="1"/>
      <c r="F607" s="1"/>
      <c r="G607" s="1"/>
      <c r="H607" s="1"/>
      <c r="I607" s="1"/>
      <c r="J607" s="1"/>
      <c r="L607" s="85"/>
      <c r="M607" s="85"/>
      <c r="N607" s="85"/>
      <c r="O607" s="85"/>
      <c r="P607" s="85"/>
      <c r="Q607" s="85"/>
      <c r="R607" s="85"/>
      <c r="S607" s="85"/>
      <c r="T607" s="85"/>
      <c r="U607" s="1"/>
      <c r="V607" s="1"/>
    </row>
    <row r="608" spans="3:22" x14ac:dyDescent="0.3">
      <c r="C608" s="21"/>
      <c r="D608" s="1"/>
      <c r="E608" s="1"/>
      <c r="F608" s="1"/>
      <c r="G608" s="1"/>
      <c r="H608" s="1"/>
      <c r="I608" s="1"/>
      <c r="J608" s="1"/>
      <c r="L608" s="85"/>
      <c r="M608" s="85"/>
      <c r="N608" s="85"/>
      <c r="O608" s="85"/>
      <c r="P608" s="85"/>
      <c r="Q608" s="85"/>
      <c r="R608" s="85"/>
      <c r="S608" s="85"/>
      <c r="T608" s="85"/>
      <c r="U608" s="1"/>
      <c r="V608" s="1"/>
    </row>
    <row r="609" spans="3:22" x14ac:dyDescent="0.3">
      <c r="C609" s="21"/>
      <c r="D609" s="1"/>
      <c r="E609" s="1"/>
      <c r="F609" s="1"/>
      <c r="G609" s="1"/>
      <c r="H609" s="1"/>
      <c r="I609" s="1"/>
      <c r="J609" s="1"/>
      <c r="L609" s="85"/>
      <c r="M609" s="85"/>
      <c r="N609" s="85"/>
      <c r="O609" s="85"/>
      <c r="P609" s="85"/>
      <c r="Q609" s="85"/>
      <c r="R609" s="85"/>
      <c r="S609" s="85"/>
      <c r="T609" s="85"/>
      <c r="U609" s="1"/>
      <c r="V609" s="1"/>
    </row>
    <row r="610" spans="3:22" x14ac:dyDescent="0.3">
      <c r="C610" s="21"/>
      <c r="D610" s="1"/>
      <c r="E610" s="1"/>
      <c r="F610" s="1"/>
      <c r="G610" s="1"/>
      <c r="H610" s="1"/>
      <c r="I610" s="1"/>
      <c r="J610" s="1"/>
      <c r="L610" s="85"/>
      <c r="M610" s="85"/>
      <c r="N610" s="85"/>
      <c r="O610" s="85"/>
      <c r="P610" s="85"/>
      <c r="Q610" s="85"/>
      <c r="R610" s="85"/>
      <c r="S610" s="85"/>
      <c r="T610" s="85"/>
      <c r="U610" s="1"/>
      <c r="V610" s="1"/>
    </row>
    <row r="611" spans="3:22" x14ac:dyDescent="0.3">
      <c r="C611" s="21"/>
      <c r="D611" s="1"/>
      <c r="E611" s="1"/>
      <c r="F611" s="1"/>
      <c r="G611" s="1"/>
      <c r="H611" s="1"/>
      <c r="I611" s="1"/>
      <c r="J611" s="1"/>
      <c r="L611" s="85"/>
      <c r="M611" s="85"/>
      <c r="N611" s="85"/>
      <c r="O611" s="85"/>
      <c r="P611" s="85"/>
      <c r="Q611" s="85"/>
      <c r="R611" s="85"/>
      <c r="S611" s="85"/>
      <c r="T611" s="85"/>
      <c r="U611" s="1"/>
      <c r="V611" s="1"/>
    </row>
    <row r="612" spans="3:22" x14ac:dyDescent="0.3">
      <c r="C612" s="21"/>
      <c r="D612" s="1"/>
      <c r="E612" s="1"/>
      <c r="F612" s="1"/>
      <c r="G612" s="1"/>
      <c r="H612" s="1"/>
      <c r="I612" s="1"/>
      <c r="J612" s="1"/>
      <c r="L612" s="85"/>
      <c r="M612" s="85"/>
      <c r="N612" s="85"/>
      <c r="O612" s="85"/>
      <c r="P612" s="85"/>
      <c r="Q612" s="85"/>
      <c r="R612" s="85"/>
      <c r="S612" s="85"/>
      <c r="T612" s="85"/>
      <c r="U612" s="1"/>
      <c r="V612" s="1"/>
    </row>
    <row r="613" spans="3:22" x14ac:dyDescent="0.3">
      <c r="C613" s="21"/>
      <c r="D613" s="1"/>
      <c r="E613" s="1"/>
      <c r="F613" s="1"/>
      <c r="G613" s="1"/>
      <c r="H613" s="1"/>
      <c r="I613" s="1"/>
      <c r="J613" s="1"/>
      <c r="L613" s="85"/>
      <c r="M613" s="85"/>
      <c r="N613" s="85"/>
      <c r="O613" s="85"/>
      <c r="P613" s="85"/>
      <c r="Q613" s="85"/>
      <c r="R613" s="85"/>
      <c r="S613" s="85"/>
      <c r="T613" s="85"/>
      <c r="U613" s="1"/>
      <c r="V613" s="1"/>
    </row>
    <row r="614" spans="3:22" x14ac:dyDescent="0.3">
      <c r="C614" s="21"/>
      <c r="D614" s="1"/>
      <c r="E614" s="1"/>
      <c r="F614" s="1"/>
      <c r="G614" s="1"/>
      <c r="H614" s="1"/>
      <c r="I614" s="1"/>
      <c r="J614" s="1"/>
      <c r="L614" s="85"/>
      <c r="M614" s="85"/>
      <c r="N614" s="85"/>
      <c r="O614" s="85"/>
      <c r="P614" s="85"/>
      <c r="Q614" s="85"/>
      <c r="R614" s="85"/>
      <c r="S614" s="85"/>
      <c r="T614" s="85"/>
      <c r="U614" s="1"/>
      <c r="V614" s="1"/>
    </row>
    <row r="615" spans="3:22" x14ac:dyDescent="0.3">
      <c r="C615" s="21"/>
      <c r="D615" s="1"/>
      <c r="E615" s="1"/>
      <c r="F615" s="1"/>
      <c r="G615" s="1"/>
      <c r="H615" s="1"/>
      <c r="I615" s="1"/>
      <c r="J615" s="1"/>
      <c r="L615" s="85"/>
      <c r="M615" s="85"/>
      <c r="N615" s="85"/>
      <c r="O615" s="85"/>
      <c r="P615" s="85"/>
      <c r="Q615" s="85"/>
      <c r="R615" s="85"/>
      <c r="S615" s="85"/>
      <c r="T615" s="85"/>
      <c r="U615" s="1"/>
      <c r="V615" s="1"/>
    </row>
    <row r="616" spans="3:22" x14ac:dyDescent="0.3">
      <c r="C616" s="21"/>
      <c r="D616" s="1"/>
      <c r="E616" s="1"/>
      <c r="F616" s="1"/>
      <c r="G616" s="1"/>
      <c r="H616" s="1"/>
      <c r="I616" s="1"/>
      <c r="J616" s="1"/>
      <c r="L616" s="85"/>
      <c r="M616" s="85"/>
      <c r="N616" s="85"/>
      <c r="O616" s="85"/>
      <c r="P616" s="85"/>
      <c r="Q616" s="85"/>
      <c r="R616" s="85"/>
      <c r="S616" s="85"/>
      <c r="T616" s="85"/>
      <c r="U616" s="1"/>
      <c r="V616" s="1"/>
    </row>
    <row r="617" spans="3:22" x14ac:dyDescent="0.3">
      <c r="C617" s="21"/>
      <c r="D617" s="1"/>
      <c r="E617" s="1"/>
      <c r="F617" s="1"/>
      <c r="G617" s="1"/>
      <c r="H617" s="1"/>
      <c r="I617" s="1"/>
      <c r="J617" s="25"/>
      <c r="K617" s="81"/>
      <c r="L617" s="85"/>
      <c r="M617" s="85"/>
      <c r="N617" s="85"/>
      <c r="O617" s="85"/>
      <c r="P617" s="85"/>
      <c r="Q617" s="85"/>
      <c r="R617" s="85"/>
      <c r="S617" s="85"/>
      <c r="T617" s="85"/>
      <c r="U617" s="1"/>
      <c r="V617" s="1"/>
    </row>
    <row r="618" spans="3:22" x14ac:dyDescent="0.3">
      <c r="C618" s="21"/>
      <c r="D618" s="1"/>
      <c r="E618" s="1"/>
      <c r="F618" s="1"/>
      <c r="G618" s="1"/>
      <c r="H618" s="1"/>
      <c r="I618" s="1"/>
      <c r="J618" s="25"/>
      <c r="K618" s="81"/>
      <c r="L618" s="85"/>
      <c r="M618" s="85"/>
      <c r="N618" s="85"/>
      <c r="O618" s="85"/>
      <c r="P618" s="85"/>
      <c r="Q618" s="85"/>
      <c r="R618" s="85"/>
      <c r="S618" s="85"/>
      <c r="T618" s="85"/>
      <c r="U618" s="1"/>
      <c r="V618" s="1"/>
    </row>
    <row r="619" spans="3:22" x14ac:dyDescent="0.3">
      <c r="C619" s="21"/>
      <c r="D619" s="1"/>
      <c r="E619" s="1"/>
      <c r="F619" s="1"/>
      <c r="G619" s="1"/>
      <c r="H619" s="1"/>
      <c r="I619" s="1"/>
      <c r="J619" s="25"/>
      <c r="K619" s="81"/>
      <c r="L619" s="85"/>
      <c r="M619" s="85"/>
      <c r="N619" s="85"/>
      <c r="O619" s="85"/>
      <c r="P619" s="85"/>
      <c r="Q619" s="85"/>
      <c r="R619" s="85"/>
      <c r="S619" s="85"/>
      <c r="T619" s="85"/>
      <c r="U619" s="1"/>
      <c r="V619" s="1"/>
    </row>
    <row r="620" spans="3:22" x14ac:dyDescent="0.3">
      <c r="C620" s="21"/>
      <c r="D620" s="1"/>
      <c r="E620" s="1"/>
      <c r="F620" s="1"/>
      <c r="G620" s="1"/>
      <c r="H620" s="1"/>
      <c r="I620" s="1"/>
      <c r="J620" s="25"/>
      <c r="K620" s="81"/>
      <c r="L620" s="85"/>
      <c r="M620" s="85"/>
      <c r="N620" s="85"/>
      <c r="O620" s="85"/>
      <c r="P620" s="85"/>
      <c r="Q620" s="85"/>
      <c r="R620" s="85"/>
      <c r="S620" s="85"/>
      <c r="T620" s="85"/>
      <c r="U620" s="1"/>
      <c r="V620" s="1"/>
    </row>
    <row r="621" spans="3:22" x14ac:dyDescent="0.3">
      <c r="C621" s="21"/>
      <c r="D621" s="1"/>
      <c r="E621" s="1"/>
      <c r="F621" s="1"/>
      <c r="G621" s="1"/>
      <c r="H621" s="1"/>
      <c r="I621" s="1"/>
      <c r="J621" s="25"/>
      <c r="K621" s="81"/>
      <c r="L621" s="85"/>
      <c r="M621" s="85"/>
      <c r="N621" s="85"/>
      <c r="O621" s="85"/>
      <c r="P621" s="85"/>
      <c r="Q621" s="85"/>
      <c r="R621" s="85"/>
      <c r="S621" s="85"/>
      <c r="T621" s="85"/>
      <c r="U621" s="1"/>
      <c r="V621" s="1"/>
    </row>
    <row r="622" spans="3:22" x14ac:dyDescent="0.3">
      <c r="C622" s="21"/>
      <c r="D622" s="1"/>
      <c r="E622" s="1"/>
      <c r="F622" s="1"/>
      <c r="G622" s="1"/>
      <c r="H622" s="1"/>
      <c r="I622" s="1"/>
      <c r="J622" s="25"/>
      <c r="K622" s="81"/>
      <c r="L622" s="85"/>
      <c r="M622" s="85"/>
      <c r="N622" s="85"/>
      <c r="O622" s="85"/>
      <c r="P622" s="85"/>
      <c r="Q622" s="85"/>
      <c r="R622" s="85"/>
      <c r="S622" s="85"/>
      <c r="T622" s="85"/>
      <c r="U622" s="1"/>
      <c r="V622" s="1"/>
    </row>
    <row r="623" spans="3:22" x14ac:dyDescent="0.3">
      <c r="C623" s="21"/>
      <c r="D623" s="1"/>
      <c r="E623" s="1"/>
      <c r="F623" s="1"/>
      <c r="G623" s="1"/>
      <c r="H623" s="1"/>
      <c r="I623" s="1"/>
      <c r="J623" s="25"/>
      <c r="K623" s="81"/>
      <c r="L623" s="85"/>
      <c r="M623" s="85"/>
      <c r="N623" s="85"/>
      <c r="O623" s="85"/>
      <c r="P623" s="85"/>
      <c r="Q623" s="85"/>
      <c r="R623" s="85"/>
      <c r="S623" s="85"/>
      <c r="T623" s="85"/>
      <c r="U623" s="1"/>
      <c r="V623" s="1"/>
    </row>
    <row r="624" spans="3:22" x14ac:dyDescent="0.3">
      <c r="C624" s="21"/>
      <c r="D624" s="1"/>
      <c r="E624" s="1"/>
      <c r="F624" s="1"/>
      <c r="G624" s="1"/>
      <c r="H624" s="1"/>
      <c r="I624" s="1"/>
      <c r="J624" s="25"/>
      <c r="K624" s="81"/>
      <c r="L624" s="85"/>
      <c r="M624" s="85"/>
      <c r="N624" s="85"/>
      <c r="O624" s="85"/>
      <c r="P624" s="85"/>
      <c r="Q624" s="85"/>
      <c r="R624" s="85"/>
      <c r="S624" s="85"/>
      <c r="T624" s="85"/>
      <c r="U624" s="1"/>
      <c r="V624" s="1"/>
    </row>
    <row r="625" spans="3:22" x14ac:dyDescent="0.3">
      <c r="C625" s="21"/>
      <c r="D625" s="1"/>
      <c r="E625" s="1"/>
      <c r="F625" s="1"/>
      <c r="G625" s="1"/>
      <c r="H625" s="1"/>
      <c r="I625" s="1"/>
      <c r="J625" s="1"/>
      <c r="L625" s="85"/>
      <c r="M625" s="85"/>
      <c r="N625" s="85"/>
      <c r="O625" s="85"/>
      <c r="P625" s="85"/>
      <c r="Q625" s="85"/>
      <c r="R625" s="85"/>
      <c r="S625" s="85"/>
      <c r="T625" s="85"/>
      <c r="U625" s="1"/>
      <c r="V625" s="1"/>
    </row>
    <row r="626" spans="3:22" x14ac:dyDescent="0.3">
      <c r="C626" s="21"/>
      <c r="D626" s="1"/>
      <c r="E626" s="1"/>
      <c r="F626" s="1"/>
      <c r="G626" s="1"/>
      <c r="H626" s="1"/>
      <c r="I626" s="1"/>
      <c r="J626" s="1"/>
      <c r="L626" s="85"/>
      <c r="M626" s="85"/>
      <c r="N626" s="85"/>
      <c r="O626" s="85"/>
      <c r="P626" s="85"/>
      <c r="Q626" s="85"/>
      <c r="R626" s="85"/>
      <c r="S626" s="85"/>
      <c r="T626" s="85"/>
      <c r="U626" s="1"/>
      <c r="V626" s="1"/>
    </row>
    <row r="627" spans="3:22" x14ac:dyDescent="0.3">
      <c r="C627" s="21"/>
      <c r="D627" s="1"/>
      <c r="E627" s="1"/>
      <c r="F627" s="1"/>
      <c r="G627" s="1"/>
      <c r="H627" s="1"/>
      <c r="I627" s="1"/>
      <c r="J627" s="1"/>
      <c r="L627" s="85"/>
      <c r="M627" s="85"/>
      <c r="N627" s="85"/>
      <c r="O627" s="85"/>
      <c r="P627" s="85"/>
      <c r="Q627" s="85"/>
      <c r="R627" s="85"/>
      <c r="S627" s="85"/>
      <c r="T627" s="85"/>
      <c r="U627" s="1"/>
      <c r="V627" s="1"/>
    </row>
    <row r="628" spans="3:22" x14ac:dyDescent="0.3">
      <c r="C628" s="21"/>
      <c r="D628" s="1"/>
      <c r="E628" s="1"/>
      <c r="F628" s="1"/>
      <c r="G628" s="1"/>
      <c r="H628" s="1"/>
      <c r="I628" s="1"/>
      <c r="J628" s="1"/>
      <c r="L628" s="85"/>
      <c r="M628" s="85"/>
      <c r="N628" s="85"/>
      <c r="O628" s="85"/>
      <c r="P628" s="85"/>
      <c r="Q628" s="85"/>
      <c r="R628" s="85"/>
      <c r="S628" s="85"/>
      <c r="T628" s="85"/>
      <c r="U628" s="1"/>
      <c r="V628" s="1"/>
    </row>
    <row r="629" spans="3:22" x14ac:dyDescent="0.3">
      <c r="C629" s="21"/>
      <c r="D629" s="1"/>
      <c r="E629" s="1"/>
      <c r="F629" s="1"/>
      <c r="G629" s="1"/>
      <c r="H629" s="1"/>
      <c r="I629" s="1"/>
      <c r="J629" s="1"/>
      <c r="L629" s="85"/>
      <c r="M629" s="85"/>
      <c r="N629" s="85"/>
      <c r="O629" s="85"/>
      <c r="P629" s="85"/>
      <c r="Q629" s="85"/>
      <c r="R629" s="85"/>
      <c r="S629" s="85"/>
      <c r="T629" s="85"/>
      <c r="U629" s="1"/>
      <c r="V629" s="1"/>
    </row>
    <row r="630" spans="3:22" x14ac:dyDescent="0.3">
      <c r="C630" s="21"/>
      <c r="D630" s="1"/>
      <c r="E630" s="1"/>
      <c r="F630" s="1"/>
      <c r="G630" s="1"/>
      <c r="H630" s="1"/>
      <c r="I630" s="1"/>
      <c r="J630" s="1"/>
      <c r="L630" s="85"/>
      <c r="M630" s="85"/>
      <c r="N630" s="85"/>
      <c r="O630" s="85"/>
      <c r="P630" s="85"/>
      <c r="Q630" s="85"/>
      <c r="R630" s="85"/>
      <c r="S630" s="85"/>
      <c r="T630" s="85"/>
      <c r="U630" s="1"/>
      <c r="V630" s="1"/>
    </row>
    <row r="631" spans="3:22" x14ac:dyDescent="0.3">
      <c r="C631" s="21"/>
      <c r="D631" s="1"/>
      <c r="E631" s="1"/>
      <c r="F631" s="1"/>
      <c r="G631" s="1"/>
      <c r="H631" s="1"/>
      <c r="I631" s="1"/>
      <c r="J631" s="1"/>
      <c r="L631" s="85"/>
      <c r="M631" s="85"/>
      <c r="N631" s="85"/>
      <c r="O631" s="85"/>
      <c r="P631" s="85"/>
      <c r="Q631" s="85"/>
      <c r="R631" s="85"/>
      <c r="S631" s="85"/>
      <c r="T631" s="85"/>
      <c r="U631" s="1"/>
      <c r="V631" s="1"/>
    </row>
    <row r="632" spans="3:22" x14ac:dyDescent="0.3">
      <c r="C632" s="21"/>
      <c r="D632" s="1"/>
      <c r="E632" s="1"/>
      <c r="F632" s="1"/>
      <c r="G632" s="1"/>
      <c r="H632" s="1"/>
      <c r="I632" s="1"/>
      <c r="J632" s="1"/>
      <c r="L632" s="85"/>
      <c r="M632" s="85"/>
      <c r="N632" s="85"/>
      <c r="O632" s="85"/>
      <c r="P632" s="85"/>
      <c r="Q632" s="85"/>
      <c r="R632" s="85"/>
      <c r="S632" s="85"/>
      <c r="T632" s="85"/>
      <c r="U632" s="1"/>
      <c r="V632" s="1"/>
    </row>
    <row r="633" spans="3:22" x14ac:dyDescent="0.3">
      <c r="C633" s="21"/>
      <c r="D633" s="1"/>
      <c r="E633" s="1"/>
      <c r="F633" s="1"/>
      <c r="G633" s="1"/>
      <c r="H633" s="1"/>
      <c r="I633" s="1"/>
      <c r="J633" s="1"/>
      <c r="L633" s="85"/>
      <c r="M633" s="85"/>
      <c r="N633" s="85"/>
      <c r="O633" s="85"/>
      <c r="P633" s="85"/>
      <c r="Q633" s="85"/>
      <c r="R633" s="85"/>
      <c r="S633" s="85"/>
      <c r="T633" s="85"/>
      <c r="U633" s="1"/>
      <c r="V633" s="1"/>
    </row>
    <row r="634" spans="3:22" x14ac:dyDescent="0.3">
      <c r="C634" s="21"/>
      <c r="D634" s="1"/>
      <c r="E634" s="1"/>
      <c r="F634" s="1"/>
      <c r="G634" s="1"/>
      <c r="H634" s="1"/>
      <c r="I634" s="1"/>
      <c r="J634" s="1"/>
      <c r="L634" s="85"/>
      <c r="M634" s="85"/>
      <c r="N634" s="85"/>
      <c r="O634" s="85"/>
      <c r="P634" s="85"/>
      <c r="Q634" s="85"/>
      <c r="R634" s="85"/>
      <c r="S634" s="85"/>
      <c r="T634" s="85"/>
      <c r="U634" s="1"/>
      <c r="V634" s="1"/>
    </row>
    <row r="635" spans="3:22" x14ac:dyDescent="0.3">
      <c r="C635" s="21"/>
      <c r="D635" s="1"/>
      <c r="E635" s="1"/>
      <c r="F635" s="1"/>
      <c r="G635" s="1"/>
      <c r="H635" s="1"/>
      <c r="I635" s="1"/>
      <c r="J635" s="1"/>
      <c r="L635" s="85"/>
      <c r="M635" s="85"/>
      <c r="N635" s="85"/>
      <c r="O635" s="85"/>
      <c r="P635" s="85"/>
      <c r="Q635" s="85"/>
      <c r="R635" s="85"/>
      <c r="S635" s="85"/>
      <c r="T635" s="85"/>
      <c r="U635" s="1"/>
      <c r="V635" s="1"/>
    </row>
    <row r="636" spans="3:22" x14ac:dyDescent="0.3">
      <c r="C636" s="21"/>
      <c r="D636" s="1"/>
      <c r="E636" s="1"/>
      <c r="F636" s="1"/>
      <c r="G636" s="1"/>
      <c r="H636" s="1"/>
      <c r="I636" s="1"/>
      <c r="J636" s="1"/>
      <c r="L636" s="85"/>
      <c r="M636" s="85"/>
      <c r="N636" s="85"/>
      <c r="O636" s="85"/>
      <c r="P636" s="85"/>
      <c r="Q636" s="85"/>
      <c r="R636" s="85"/>
      <c r="S636" s="85"/>
      <c r="T636" s="85"/>
      <c r="U636" s="1"/>
      <c r="V636" s="1"/>
    </row>
    <row r="637" spans="3:22" x14ac:dyDescent="0.3">
      <c r="C637" s="21"/>
      <c r="D637" s="1"/>
      <c r="E637" s="1"/>
      <c r="F637" s="1"/>
      <c r="G637" s="1"/>
      <c r="H637" s="1"/>
      <c r="I637" s="1"/>
      <c r="J637" s="1"/>
      <c r="L637" s="85"/>
      <c r="M637" s="85"/>
      <c r="N637" s="85"/>
      <c r="O637" s="85"/>
      <c r="P637" s="85"/>
      <c r="Q637" s="85"/>
      <c r="R637" s="85"/>
      <c r="S637" s="85"/>
      <c r="T637" s="85"/>
      <c r="U637" s="1"/>
      <c r="V637" s="1"/>
    </row>
    <row r="638" spans="3:22" x14ac:dyDescent="0.3">
      <c r="C638" s="21"/>
      <c r="D638" s="1"/>
      <c r="E638" s="1"/>
      <c r="F638" s="1"/>
      <c r="G638" s="1"/>
      <c r="H638" s="1"/>
      <c r="I638" s="1"/>
      <c r="J638" s="1"/>
      <c r="L638" s="85"/>
      <c r="M638" s="85"/>
      <c r="N638" s="85"/>
      <c r="O638" s="85"/>
      <c r="P638" s="85"/>
      <c r="Q638" s="85"/>
      <c r="R638" s="85"/>
      <c r="S638" s="85"/>
      <c r="T638" s="85"/>
      <c r="U638" s="1"/>
      <c r="V638" s="1"/>
    </row>
    <row r="639" spans="3:22" x14ac:dyDescent="0.3">
      <c r="C639" s="21"/>
      <c r="D639" s="1"/>
      <c r="E639" s="1"/>
      <c r="F639" s="1"/>
      <c r="G639" s="1"/>
      <c r="H639" s="1"/>
      <c r="I639" s="1"/>
      <c r="J639" s="1"/>
      <c r="L639" s="85"/>
      <c r="M639" s="85"/>
      <c r="N639" s="85"/>
      <c r="O639" s="85"/>
      <c r="P639" s="85"/>
      <c r="Q639" s="85"/>
      <c r="R639" s="85"/>
      <c r="S639" s="85"/>
      <c r="T639" s="85"/>
      <c r="U639" s="1"/>
      <c r="V639" s="1"/>
    </row>
    <row r="640" spans="3:22" x14ac:dyDescent="0.3">
      <c r="C640" s="21"/>
      <c r="D640" s="1"/>
      <c r="E640" s="1"/>
      <c r="F640" s="1"/>
      <c r="G640" s="1"/>
      <c r="H640" s="1"/>
      <c r="I640" s="1"/>
      <c r="J640" s="1"/>
      <c r="L640" s="85"/>
      <c r="M640" s="85"/>
      <c r="N640" s="85"/>
      <c r="O640" s="85"/>
      <c r="P640" s="85"/>
      <c r="Q640" s="85"/>
      <c r="R640" s="85"/>
      <c r="S640" s="85"/>
      <c r="T640" s="85"/>
      <c r="U640" s="1"/>
      <c r="V640" s="1"/>
    </row>
    <row r="641" spans="3:22" x14ac:dyDescent="0.3">
      <c r="C641" s="21"/>
      <c r="D641" s="1"/>
      <c r="E641" s="1"/>
      <c r="F641" s="1"/>
      <c r="G641" s="1"/>
      <c r="H641" s="1"/>
      <c r="I641" s="1"/>
      <c r="J641" s="1"/>
      <c r="L641" s="85"/>
      <c r="M641" s="85"/>
      <c r="N641" s="85"/>
      <c r="O641" s="85"/>
      <c r="P641" s="85"/>
      <c r="Q641" s="85"/>
      <c r="R641" s="85"/>
      <c r="S641" s="85"/>
      <c r="T641" s="85"/>
      <c r="U641" s="1"/>
      <c r="V641" s="1"/>
    </row>
    <row r="642" spans="3:22" x14ac:dyDescent="0.3">
      <c r="C642" s="21"/>
      <c r="D642" s="1"/>
      <c r="E642" s="1"/>
      <c r="F642" s="1"/>
      <c r="G642" s="1"/>
      <c r="H642" s="1"/>
      <c r="I642" s="1"/>
      <c r="J642" s="1"/>
      <c r="L642" s="85"/>
      <c r="M642" s="85"/>
      <c r="N642" s="85"/>
      <c r="O642" s="85"/>
      <c r="P642" s="85"/>
      <c r="Q642" s="85"/>
      <c r="R642" s="85"/>
      <c r="S642" s="85"/>
      <c r="T642" s="85"/>
      <c r="U642" s="1"/>
      <c r="V642" s="1"/>
    </row>
    <row r="643" spans="3:22" x14ac:dyDescent="0.3">
      <c r="C643" s="21"/>
      <c r="D643" s="1"/>
      <c r="E643" s="1"/>
      <c r="F643" s="1"/>
      <c r="G643" s="1"/>
      <c r="H643" s="1"/>
      <c r="I643" s="1"/>
      <c r="J643" s="1"/>
      <c r="L643" s="85"/>
      <c r="M643" s="85"/>
      <c r="N643" s="85"/>
      <c r="O643" s="85"/>
      <c r="P643" s="85"/>
      <c r="Q643" s="85"/>
      <c r="R643" s="85"/>
      <c r="S643" s="85"/>
      <c r="T643" s="85"/>
      <c r="U643" s="1"/>
      <c r="V643" s="1"/>
    </row>
    <row r="644" spans="3:22" x14ac:dyDescent="0.3">
      <c r="C644" s="21"/>
      <c r="D644" s="1"/>
      <c r="E644" s="1"/>
      <c r="F644" s="1"/>
      <c r="G644" s="1"/>
      <c r="H644" s="1"/>
      <c r="I644" s="1"/>
      <c r="J644" s="1"/>
      <c r="L644" s="85"/>
      <c r="M644" s="85"/>
      <c r="N644" s="85"/>
      <c r="O644" s="85"/>
      <c r="P644" s="85"/>
      <c r="Q644" s="85"/>
      <c r="R644" s="85"/>
      <c r="S644" s="85"/>
      <c r="T644" s="85"/>
      <c r="U644" s="1"/>
      <c r="V644" s="1"/>
    </row>
    <row r="645" spans="3:22" x14ac:dyDescent="0.3">
      <c r="C645" s="21"/>
      <c r="D645" s="1"/>
      <c r="E645" s="1"/>
      <c r="F645" s="1"/>
      <c r="G645" s="1"/>
      <c r="H645" s="1"/>
      <c r="I645" s="1"/>
      <c r="J645" s="1"/>
      <c r="L645" s="85"/>
      <c r="M645" s="85"/>
      <c r="N645" s="85"/>
      <c r="O645" s="85"/>
      <c r="P645" s="85"/>
      <c r="Q645" s="85"/>
      <c r="R645" s="85"/>
      <c r="S645" s="85"/>
      <c r="T645" s="85"/>
      <c r="U645" s="1"/>
      <c r="V645" s="1"/>
    </row>
    <row r="646" spans="3:22" x14ac:dyDescent="0.3">
      <c r="C646" s="21"/>
      <c r="D646" s="1"/>
      <c r="E646" s="1"/>
      <c r="F646" s="1"/>
      <c r="G646" s="1"/>
      <c r="H646" s="1"/>
      <c r="I646" s="1"/>
      <c r="J646" s="1"/>
      <c r="L646" s="85"/>
      <c r="M646" s="85"/>
      <c r="N646" s="85"/>
      <c r="O646" s="85"/>
      <c r="P646" s="85"/>
      <c r="Q646" s="85"/>
      <c r="R646" s="85"/>
      <c r="S646" s="85"/>
      <c r="T646" s="85"/>
      <c r="U646" s="1"/>
      <c r="V646" s="1"/>
    </row>
    <row r="647" spans="3:22" x14ac:dyDescent="0.3">
      <c r="C647" s="21"/>
      <c r="D647" s="1"/>
      <c r="E647" s="1"/>
      <c r="F647" s="1"/>
      <c r="G647" s="1"/>
      <c r="H647" s="1"/>
      <c r="I647" s="1"/>
      <c r="J647" s="1"/>
      <c r="L647" s="85"/>
      <c r="M647" s="85"/>
      <c r="N647" s="85"/>
      <c r="O647" s="85"/>
      <c r="P647" s="85"/>
      <c r="Q647" s="85"/>
      <c r="R647" s="85"/>
      <c r="S647" s="85"/>
      <c r="T647" s="85"/>
      <c r="U647" s="1"/>
      <c r="V647" s="1"/>
    </row>
    <row r="648" spans="3:22" x14ac:dyDescent="0.3">
      <c r="C648" s="21"/>
      <c r="D648" s="1"/>
      <c r="E648" s="1"/>
      <c r="F648" s="1"/>
      <c r="G648" s="1"/>
      <c r="H648" s="1"/>
      <c r="I648" s="1"/>
      <c r="J648" s="1"/>
      <c r="L648" s="85"/>
      <c r="M648" s="85"/>
      <c r="N648" s="85"/>
      <c r="O648" s="85"/>
      <c r="P648" s="85"/>
      <c r="Q648" s="85"/>
      <c r="R648" s="85"/>
      <c r="S648" s="85"/>
      <c r="T648" s="85"/>
      <c r="U648" s="1"/>
      <c r="V648" s="1"/>
    </row>
    <row r="649" spans="3:22" x14ac:dyDescent="0.3">
      <c r="C649" s="21"/>
      <c r="D649" s="1"/>
      <c r="E649" s="1"/>
      <c r="F649" s="1"/>
      <c r="G649" s="1"/>
      <c r="H649" s="1"/>
      <c r="I649" s="1"/>
      <c r="J649" s="1"/>
      <c r="L649" s="85"/>
      <c r="M649" s="85"/>
      <c r="N649" s="85"/>
      <c r="O649" s="85"/>
      <c r="P649" s="85"/>
      <c r="Q649" s="85"/>
      <c r="R649" s="85"/>
      <c r="S649" s="85"/>
      <c r="T649" s="85"/>
      <c r="U649" s="1"/>
      <c r="V649" s="1"/>
    </row>
    <row r="650" spans="3:22" x14ac:dyDescent="0.3">
      <c r="C650" s="21"/>
      <c r="D650" s="1"/>
      <c r="E650" s="1"/>
      <c r="F650" s="1"/>
      <c r="G650" s="1"/>
      <c r="H650" s="1"/>
      <c r="I650" s="1"/>
      <c r="J650" s="1"/>
      <c r="L650" s="85"/>
      <c r="M650" s="85"/>
      <c r="N650" s="85"/>
      <c r="O650" s="85"/>
      <c r="P650" s="85"/>
      <c r="Q650" s="85"/>
      <c r="R650" s="85"/>
      <c r="S650" s="85"/>
      <c r="T650" s="85"/>
      <c r="U650" s="1"/>
      <c r="V650" s="1"/>
    </row>
    <row r="651" spans="3:22" x14ac:dyDescent="0.3">
      <c r="C651" s="21"/>
      <c r="D651" s="1"/>
      <c r="E651" s="1"/>
      <c r="F651" s="1"/>
      <c r="G651" s="1"/>
      <c r="H651" s="1"/>
      <c r="I651" s="1"/>
      <c r="J651" s="1"/>
      <c r="L651" s="85"/>
      <c r="M651" s="85"/>
      <c r="N651" s="85"/>
      <c r="O651" s="85"/>
      <c r="P651" s="85"/>
      <c r="Q651" s="85"/>
      <c r="R651" s="85"/>
      <c r="S651" s="85"/>
      <c r="T651" s="85"/>
      <c r="U651" s="1"/>
      <c r="V651" s="1"/>
    </row>
    <row r="652" spans="3:22" x14ac:dyDescent="0.3">
      <c r="C652" s="21"/>
      <c r="D652" s="1"/>
      <c r="E652" s="1"/>
      <c r="F652" s="1"/>
      <c r="G652" s="1"/>
      <c r="H652" s="1"/>
      <c r="I652" s="1"/>
      <c r="J652" s="1"/>
      <c r="L652" s="85"/>
      <c r="M652" s="85"/>
      <c r="N652" s="85"/>
      <c r="O652" s="85"/>
      <c r="P652" s="85"/>
      <c r="Q652" s="85"/>
      <c r="R652" s="85"/>
      <c r="S652" s="85"/>
      <c r="T652" s="85"/>
      <c r="U652" s="1"/>
      <c r="V652" s="1"/>
    </row>
    <row r="653" spans="3:22" x14ac:dyDescent="0.3">
      <c r="C653" s="21"/>
      <c r="D653" s="1"/>
      <c r="E653" s="1"/>
      <c r="F653" s="1"/>
      <c r="G653" s="1"/>
      <c r="H653" s="1"/>
      <c r="I653" s="1"/>
      <c r="J653" s="1"/>
      <c r="L653" s="85"/>
      <c r="M653" s="85"/>
      <c r="N653" s="85"/>
      <c r="O653" s="85"/>
      <c r="P653" s="85"/>
      <c r="Q653" s="85"/>
      <c r="R653" s="85"/>
      <c r="S653" s="85"/>
      <c r="T653" s="85"/>
      <c r="U653" s="1"/>
      <c r="V653" s="1"/>
    </row>
    <row r="654" spans="3:22" x14ac:dyDescent="0.3">
      <c r="C654" s="21"/>
      <c r="D654" s="1"/>
      <c r="E654" s="1"/>
      <c r="F654" s="1"/>
      <c r="G654" s="1"/>
      <c r="H654" s="1"/>
      <c r="I654" s="1"/>
      <c r="J654" s="1"/>
      <c r="L654" s="85"/>
      <c r="M654" s="85"/>
      <c r="N654" s="85"/>
      <c r="O654" s="85"/>
      <c r="P654" s="85"/>
      <c r="Q654" s="85"/>
      <c r="R654" s="85"/>
      <c r="S654" s="85"/>
      <c r="T654" s="85"/>
      <c r="U654" s="1"/>
      <c r="V654" s="1"/>
    </row>
    <row r="655" spans="3:22" x14ac:dyDescent="0.3">
      <c r="C655" s="21"/>
      <c r="D655" s="1"/>
      <c r="E655" s="1"/>
      <c r="F655" s="1"/>
      <c r="G655" s="1"/>
      <c r="H655" s="1"/>
      <c r="I655" s="1"/>
      <c r="J655" s="1"/>
      <c r="L655" s="85"/>
      <c r="M655" s="85"/>
      <c r="N655" s="85"/>
      <c r="O655" s="85"/>
      <c r="P655" s="85"/>
      <c r="Q655" s="85"/>
      <c r="R655" s="85"/>
      <c r="S655" s="85"/>
      <c r="T655" s="85"/>
      <c r="U655" s="1"/>
      <c r="V655" s="1"/>
    </row>
    <row r="656" spans="3:22" x14ac:dyDescent="0.3">
      <c r="C656" s="21"/>
      <c r="D656" s="1"/>
      <c r="E656" s="1"/>
      <c r="F656" s="1"/>
      <c r="G656" s="1"/>
      <c r="H656" s="1"/>
      <c r="I656" s="1"/>
      <c r="J656" s="1"/>
      <c r="L656" s="85"/>
      <c r="M656" s="85"/>
      <c r="N656" s="85"/>
      <c r="O656" s="85"/>
      <c r="P656" s="85"/>
      <c r="Q656" s="85"/>
      <c r="R656" s="85"/>
      <c r="S656" s="85"/>
      <c r="T656" s="85"/>
      <c r="U656" s="1"/>
      <c r="V656" s="1"/>
    </row>
    <row r="657" spans="3:22" x14ac:dyDescent="0.3">
      <c r="C657" s="21"/>
      <c r="D657" s="1"/>
      <c r="E657" s="1"/>
      <c r="F657" s="1"/>
      <c r="G657" s="1"/>
      <c r="H657" s="1"/>
      <c r="I657" s="1"/>
      <c r="J657" s="1"/>
      <c r="L657" s="85"/>
      <c r="M657" s="85"/>
      <c r="N657" s="85"/>
      <c r="O657" s="85"/>
      <c r="P657" s="85"/>
      <c r="Q657" s="85"/>
      <c r="R657" s="85"/>
      <c r="S657" s="85"/>
      <c r="T657" s="85"/>
      <c r="U657" s="1"/>
      <c r="V657" s="1"/>
    </row>
    <row r="658" spans="3:22" x14ac:dyDescent="0.3">
      <c r="C658" s="21"/>
      <c r="D658" s="1"/>
      <c r="E658" s="1"/>
      <c r="F658" s="1"/>
      <c r="G658" s="1"/>
      <c r="H658" s="1"/>
      <c r="I658" s="1"/>
      <c r="J658" s="1"/>
      <c r="L658" s="85"/>
      <c r="M658" s="85"/>
      <c r="N658" s="85"/>
      <c r="O658" s="85"/>
      <c r="P658" s="85"/>
      <c r="Q658" s="85"/>
      <c r="R658" s="85"/>
      <c r="S658" s="85"/>
      <c r="T658" s="85"/>
      <c r="U658" s="1"/>
      <c r="V658" s="1"/>
    </row>
    <row r="659" spans="3:22" x14ac:dyDescent="0.3">
      <c r="C659" s="21"/>
      <c r="D659" s="1"/>
      <c r="E659" s="1"/>
      <c r="F659" s="1"/>
      <c r="G659" s="1"/>
      <c r="H659" s="1"/>
      <c r="I659" s="1"/>
      <c r="J659" s="1"/>
      <c r="L659" s="85"/>
      <c r="M659" s="85"/>
      <c r="N659" s="85"/>
      <c r="O659" s="85"/>
      <c r="P659" s="85"/>
      <c r="Q659" s="85"/>
      <c r="R659" s="85"/>
      <c r="S659" s="85"/>
      <c r="T659" s="85"/>
      <c r="U659" s="1"/>
      <c r="V659" s="1"/>
    </row>
    <row r="660" spans="3:22" x14ac:dyDescent="0.3">
      <c r="C660" s="21"/>
      <c r="D660" s="1"/>
      <c r="E660" s="1"/>
      <c r="F660" s="1"/>
      <c r="G660" s="1"/>
      <c r="H660" s="1"/>
      <c r="I660" s="1"/>
      <c r="J660" s="1"/>
      <c r="L660" s="85"/>
      <c r="M660" s="85"/>
      <c r="N660" s="85"/>
      <c r="O660" s="85"/>
      <c r="P660" s="85"/>
      <c r="Q660" s="85"/>
      <c r="R660" s="85"/>
      <c r="S660" s="85"/>
      <c r="T660" s="85"/>
      <c r="U660" s="1"/>
      <c r="V660" s="1"/>
    </row>
    <row r="661" spans="3:22" x14ac:dyDescent="0.3">
      <c r="C661" s="21"/>
      <c r="D661" s="1"/>
      <c r="E661" s="1"/>
      <c r="F661" s="1"/>
      <c r="G661" s="1"/>
      <c r="H661" s="1"/>
      <c r="I661" s="1"/>
      <c r="J661" s="1"/>
      <c r="L661" s="85"/>
      <c r="M661" s="85"/>
      <c r="N661" s="85"/>
      <c r="O661" s="85"/>
      <c r="P661" s="85"/>
      <c r="Q661" s="85"/>
      <c r="R661" s="85"/>
      <c r="S661" s="85"/>
      <c r="T661" s="85"/>
      <c r="U661" s="1"/>
      <c r="V661" s="1"/>
    </row>
    <row r="662" spans="3:22" x14ac:dyDescent="0.3">
      <c r="C662" s="21"/>
      <c r="D662" s="1"/>
      <c r="E662" s="1"/>
      <c r="F662" s="1"/>
      <c r="G662" s="1"/>
      <c r="H662" s="1"/>
      <c r="I662" s="1"/>
      <c r="J662" s="1"/>
      <c r="L662" s="85"/>
      <c r="M662" s="85"/>
      <c r="N662" s="85"/>
      <c r="O662" s="85"/>
      <c r="P662" s="85"/>
      <c r="Q662" s="85"/>
      <c r="R662" s="85"/>
      <c r="S662" s="85"/>
      <c r="T662" s="85"/>
      <c r="U662" s="1"/>
      <c r="V662" s="1"/>
    </row>
    <row r="663" spans="3:22" x14ac:dyDescent="0.3">
      <c r="C663" s="21"/>
      <c r="D663" s="1"/>
      <c r="E663" s="1"/>
      <c r="F663" s="1"/>
      <c r="G663" s="1"/>
      <c r="H663" s="1"/>
      <c r="I663" s="1"/>
      <c r="J663" s="1"/>
      <c r="L663" s="85"/>
      <c r="M663" s="85"/>
      <c r="N663" s="85"/>
      <c r="O663" s="85"/>
      <c r="P663" s="85"/>
      <c r="Q663" s="85"/>
      <c r="R663" s="85"/>
      <c r="S663" s="85"/>
      <c r="T663" s="85"/>
      <c r="U663" s="1"/>
      <c r="V663" s="1"/>
    </row>
    <row r="664" spans="3:22" x14ac:dyDescent="0.3">
      <c r="C664" s="21"/>
      <c r="D664" s="1"/>
      <c r="E664" s="1"/>
      <c r="F664" s="1"/>
      <c r="G664" s="1"/>
      <c r="H664" s="1"/>
      <c r="I664" s="1"/>
      <c r="J664" s="1"/>
      <c r="L664" s="85"/>
      <c r="M664" s="85"/>
      <c r="N664" s="85"/>
      <c r="O664" s="85"/>
      <c r="P664" s="85"/>
      <c r="Q664" s="85"/>
      <c r="R664" s="85"/>
      <c r="S664" s="85"/>
      <c r="T664" s="85"/>
      <c r="U664" s="1"/>
      <c r="V664" s="1"/>
    </row>
    <row r="665" spans="3:22" x14ac:dyDescent="0.3">
      <c r="C665" s="21"/>
      <c r="D665" s="1"/>
      <c r="E665" s="1"/>
      <c r="F665" s="1"/>
      <c r="G665" s="1"/>
      <c r="H665" s="1"/>
      <c r="I665" s="1"/>
      <c r="J665" s="1"/>
      <c r="L665" s="85"/>
      <c r="M665" s="85"/>
      <c r="N665" s="85"/>
      <c r="O665" s="85"/>
      <c r="P665" s="85"/>
      <c r="Q665" s="85"/>
      <c r="R665" s="85"/>
      <c r="S665" s="85"/>
      <c r="T665" s="85"/>
      <c r="U665" s="1"/>
      <c r="V665" s="1"/>
    </row>
    <row r="666" spans="3:22" x14ac:dyDescent="0.3">
      <c r="C666" s="21"/>
      <c r="D666" s="1"/>
      <c r="E666" s="1"/>
      <c r="F666" s="1"/>
      <c r="G666" s="1"/>
      <c r="H666" s="1"/>
      <c r="I666" s="1"/>
      <c r="J666" s="1"/>
      <c r="L666" s="85"/>
      <c r="M666" s="85"/>
      <c r="N666" s="85"/>
      <c r="O666" s="85"/>
      <c r="P666" s="85"/>
      <c r="Q666" s="85"/>
      <c r="R666" s="85"/>
      <c r="S666" s="85"/>
      <c r="T666" s="85"/>
      <c r="U666" s="1"/>
      <c r="V666" s="1"/>
    </row>
    <row r="667" spans="3:22" x14ac:dyDescent="0.3">
      <c r="C667" s="21"/>
      <c r="D667" s="1"/>
      <c r="E667" s="1"/>
      <c r="F667" s="1"/>
      <c r="G667" s="1"/>
      <c r="H667" s="1"/>
      <c r="I667" s="1"/>
      <c r="J667" s="1"/>
      <c r="L667" s="85"/>
      <c r="M667" s="85"/>
      <c r="N667" s="85"/>
      <c r="O667" s="85"/>
      <c r="P667" s="85"/>
      <c r="Q667" s="85"/>
      <c r="R667" s="85"/>
      <c r="S667" s="85"/>
      <c r="T667" s="85"/>
      <c r="U667" s="1"/>
      <c r="V667" s="1"/>
    </row>
    <row r="668" spans="3:22" x14ac:dyDescent="0.3">
      <c r="C668" s="21"/>
      <c r="D668" s="1"/>
      <c r="E668" s="1"/>
      <c r="F668" s="1"/>
      <c r="G668" s="1"/>
      <c r="H668" s="1"/>
      <c r="I668" s="1"/>
      <c r="J668" s="1"/>
      <c r="L668" s="85"/>
      <c r="M668" s="85"/>
      <c r="N668" s="85"/>
      <c r="O668" s="85"/>
      <c r="P668" s="85"/>
      <c r="Q668" s="85"/>
      <c r="R668" s="85"/>
      <c r="S668" s="85"/>
      <c r="T668" s="85"/>
      <c r="U668" s="1"/>
      <c r="V668" s="1"/>
    </row>
    <row r="669" spans="3:22" x14ac:dyDescent="0.3">
      <c r="C669" s="21"/>
      <c r="D669" s="1"/>
      <c r="E669" s="1"/>
      <c r="F669" s="1"/>
      <c r="G669" s="1"/>
      <c r="H669" s="1"/>
      <c r="I669" s="1"/>
      <c r="J669" s="1"/>
      <c r="L669" s="85"/>
      <c r="M669" s="85"/>
      <c r="N669" s="85"/>
      <c r="O669" s="85"/>
      <c r="P669" s="85"/>
      <c r="Q669" s="85"/>
      <c r="R669" s="85"/>
      <c r="S669" s="85"/>
      <c r="T669" s="85"/>
      <c r="U669" s="1"/>
      <c r="V669" s="1"/>
    </row>
    <row r="670" spans="3:22" x14ac:dyDescent="0.3">
      <c r="C670" s="21"/>
      <c r="D670" s="1"/>
      <c r="E670" s="1"/>
      <c r="F670" s="1"/>
      <c r="G670" s="1"/>
      <c r="H670" s="1"/>
      <c r="I670" s="1"/>
      <c r="J670" s="1"/>
      <c r="L670" s="85"/>
      <c r="M670" s="85"/>
      <c r="N670" s="85"/>
      <c r="O670" s="85"/>
      <c r="P670" s="85"/>
      <c r="Q670" s="85"/>
      <c r="R670" s="85"/>
      <c r="S670" s="85"/>
      <c r="T670" s="85"/>
      <c r="U670" s="1"/>
      <c r="V670" s="1"/>
    </row>
    <row r="671" spans="3:22" x14ac:dyDescent="0.3">
      <c r="C671" s="21"/>
      <c r="D671" s="1"/>
      <c r="E671" s="1"/>
      <c r="F671" s="1"/>
      <c r="G671" s="1"/>
      <c r="H671" s="1"/>
      <c r="I671" s="1"/>
      <c r="J671" s="1"/>
      <c r="L671" s="85"/>
      <c r="M671" s="85"/>
      <c r="N671" s="85"/>
      <c r="O671" s="85"/>
      <c r="P671" s="85"/>
      <c r="Q671" s="85"/>
      <c r="R671" s="85"/>
      <c r="S671" s="85"/>
      <c r="T671" s="85"/>
      <c r="U671" s="1"/>
      <c r="V671" s="1"/>
    </row>
    <row r="672" spans="3:22" x14ac:dyDescent="0.3">
      <c r="C672" s="21"/>
      <c r="D672" s="1"/>
      <c r="E672" s="1"/>
      <c r="F672" s="1"/>
      <c r="G672" s="1"/>
      <c r="H672" s="1"/>
      <c r="I672" s="1"/>
      <c r="J672" s="1"/>
      <c r="L672" s="85"/>
      <c r="M672" s="85"/>
      <c r="N672" s="85"/>
      <c r="O672" s="85"/>
      <c r="P672" s="85"/>
      <c r="Q672" s="85"/>
      <c r="R672" s="85"/>
      <c r="S672" s="85"/>
      <c r="T672" s="85"/>
      <c r="U672" s="1"/>
      <c r="V672" s="1"/>
    </row>
    <row r="673" spans="3:22" x14ac:dyDescent="0.3">
      <c r="C673" s="21"/>
      <c r="D673" s="1"/>
      <c r="E673" s="1"/>
      <c r="F673" s="1"/>
      <c r="G673" s="1"/>
      <c r="H673" s="1"/>
      <c r="I673" s="1"/>
      <c r="J673" s="1"/>
      <c r="L673" s="85"/>
      <c r="M673" s="85"/>
      <c r="N673" s="85"/>
      <c r="O673" s="85"/>
      <c r="P673" s="85"/>
      <c r="Q673" s="85"/>
      <c r="R673" s="85"/>
      <c r="S673" s="85"/>
      <c r="T673" s="85"/>
      <c r="U673" s="1"/>
      <c r="V673" s="1"/>
    </row>
    <row r="674" spans="3:22" x14ac:dyDescent="0.3">
      <c r="C674" s="21"/>
      <c r="D674" s="1"/>
      <c r="E674" s="1"/>
      <c r="F674" s="1"/>
      <c r="G674" s="1"/>
      <c r="H674" s="1"/>
      <c r="I674" s="1"/>
      <c r="J674" s="1"/>
      <c r="L674" s="85"/>
      <c r="M674" s="85"/>
      <c r="N674" s="85"/>
      <c r="O674" s="85"/>
      <c r="P674" s="85"/>
      <c r="Q674" s="85"/>
      <c r="R674" s="85"/>
      <c r="S674" s="85"/>
      <c r="T674" s="85"/>
      <c r="U674" s="1"/>
      <c r="V674" s="1"/>
    </row>
    <row r="675" spans="3:22" x14ac:dyDescent="0.3">
      <c r="C675" s="21"/>
      <c r="D675" s="1"/>
      <c r="E675" s="1"/>
      <c r="F675" s="1"/>
      <c r="G675" s="1"/>
      <c r="H675" s="1"/>
      <c r="I675" s="1"/>
      <c r="J675" s="1"/>
      <c r="L675" s="85"/>
      <c r="M675" s="85"/>
      <c r="N675" s="85"/>
      <c r="O675" s="85"/>
      <c r="P675" s="85"/>
      <c r="Q675" s="85"/>
      <c r="R675" s="85"/>
      <c r="S675" s="85"/>
      <c r="T675" s="85"/>
      <c r="U675" s="1"/>
      <c r="V675" s="1"/>
    </row>
    <row r="676" spans="3:22" x14ac:dyDescent="0.3">
      <c r="C676" s="21"/>
      <c r="D676" s="1"/>
      <c r="E676" s="1"/>
      <c r="F676" s="1"/>
      <c r="G676" s="1"/>
      <c r="H676" s="1"/>
      <c r="I676" s="1"/>
      <c r="J676" s="1"/>
      <c r="L676" s="85"/>
      <c r="M676" s="85"/>
      <c r="N676" s="85"/>
      <c r="O676" s="85"/>
      <c r="P676" s="85"/>
      <c r="Q676" s="85"/>
      <c r="R676" s="85"/>
      <c r="S676" s="85"/>
      <c r="T676" s="85"/>
      <c r="U676" s="1"/>
      <c r="V676" s="1"/>
    </row>
    <row r="677" spans="3:22" x14ac:dyDescent="0.3">
      <c r="C677" s="21"/>
      <c r="D677" s="1"/>
      <c r="E677" s="1"/>
      <c r="F677" s="1"/>
      <c r="G677" s="1"/>
      <c r="H677" s="1"/>
      <c r="I677" s="1"/>
      <c r="J677" s="1"/>
      <c r="L677" s="85"/>
      <c r="M677" s="85"/>
      <c r="N677" s="85"/>
      <c r="O677" s="85"/>
      <c r="P677" s="85"/>
      <c r="Q677" s="85"/>
      <c r="R677" s="85"/>
      <c r="S677" s="85"/>
      <c r="T677" s="85"/>
      <c r="U677" s="1"/>
      <c r="V677" s="1"/>
    </row>
    <row r="678" spans="3:22" x14ac:dyDescent="0.3">
      <c r="C678" s="21"/>
      <c r="D678" s="1"/>
      <c r="E678" s="1"/>
      <c r="F678" s="1"/>
      <c r="G678" s="1"/>
      <c r="H678" s="1"/>
      <c r="I678" s="1"/>
      <c r="J678" s="1"/>
      <c r="L678" s="85"/>
      <c r="M678" s="85"/>
      <c r="N678" s="85"/>
      <c r="O678" s="85"/>
      <c r="P678" s="85"/>
      <c r="Q678" s="85"/>
      <c r="R678" s="85"/>
      <c r="S678" s="85"/>
      <c r="T678" s="85"/>
      <c r="U678" s="1"/>
      <c r="V678" s="1"/>
    </row>
    <row r="679" spans="3:22" x14ac:dyDescent="0.3">
      <c r="C679" s="21"/>
      <c r="D679" s="1"/>
      <c r="E679" s="1"/>
      <c r="F679" s="1"/>
      <c r="G679" s="1"/>
      <c r="H679" s="1"/>
      <c r="I679" s="1"/>
      <c r="J679" s="1"/>
      <c r="L679" s="85"/>
      <c r="M679" s="85"/>
      <c r="N679" s="85"/>
      <c r="O679" s="85"/>
      <c r="P679" s="85"/>
      <c r="Q679" s="85"/>
      <c r="R679" s="85"/>
      <c r="S679" s="85"/>
      <c r="T679" s="85"/>
      <c r="U679" s="1"/>
      <c r="V679" s="1"/>
    </row>
    <row r="680" spans="3:22" x14ac:dyDescent="0.3">
      <c r="C680" s="21"/>
      <c r="D680" s="1"/>
      <c r="E680" s="1"/>
      <c r="F680" s="1"/>
      <c r="G680" s="1"/>
      <c r="H680" s="1"/>
      <c r="I680" s="1"/>
      <c r="J680" s="1"/>
      <c r="L680" s="85"/>
      <c r="M680" s="85"/>
      <c r="N680" s="85"/>
      <c r="O680" s="85"/>
      <c r="P680" s="85"/>
      <c r="Q680" s="85"/>
      <c r="R680" s="85"/>
      <c r="S680" s="85"/>
      <c r="T680" s="85"/>
      <c r="U680" s="1"/>
      <c r="V680" s="1"/>
    </row>
    <row r="681" spans="3:22" x14ac:dyDescent="0.3">
      <c r="C681" s="21"/>
      <c r="D681" s="1"/>
      <c r="E681" s="1"/>
      <c r="F681" s="1"/>
      <c r="G681" s="1"/>
      <c r="H681" s="1"/>
      <c r="I681" s="1"/>
      <c r="J681" s="1"/>
      <c r="L681" s="85"/>
      <c r="M681" s="85"/>
      <c r="N681" s="85"/>
      <c r="O681" s="85"/>
      <c r="P681" s="85"/>
      <c r="Q681" s="85"/>
      <c r="R681" s="85"/>
      <c r="S681" s="85"/>
      <c r="T681" s="85"/>
      <c r="U681" s="1"/>
      <c r="V681" s="1"/>
    </row>
    <row r="682" spans="3:22" x14ac:dyDescent="0.3">
      <c r="C682" s="21"/>
      <c r="D682" s="1"/>
      <c r="E682" s="1"/>
      <c r="F682" s="1"/>
      <c r="G682" s="1"/>
      <c r="H682" s="1"/>
      <c r="I682" s="1"/>
      <c r="J682" s="1"/>
      <c r="L682" s="85"/>
      <c r="M682" s="85"/>
      <c r="N682" s="85"/>
      <c r="O682" s="85"/>
      <c r="P682" s="85"/>
      <c r="Q682" s="85"/>
      <c r="R682" s="85"/>
      <c r="S682" s="85"/>
      <c r="T682" s="85"/>
      <c r="U682" s="1"/>
      <c r="V682" s="1"/>
    </row>
    <row r="683" spans="3:22" x14ac:dyDescent="0.3">
      <c r="C683" s="21"/>
      <c r="D683" s="1"/>
      <c r="E683" s="1"/>
      <c r="F683" s="1"/>
      <c r="G683" s="1"/>
      <c r="H683" s="1"/>
      <c r="I683" s="1"/>
      <c r="J683" s="1"/>
      <c r="L683" s="85"/>
      <c r="M683" s="85"/>
      <c r="N683" s="85"/>
      <c r="O683" s="85"/>
      <c r="P683" s="85"/>
      <c r="Q683" s="85"/>
      <c r="R683" s="85"/>
      <c r="S683" s="85"/>
      <c r="T683" s="85"/>
      <c r="U683" s="1"/>
      <c r="V683" s="1"/>
    </row>
    <row r="684" spans="3:22" x14ac:dyDescent="0.3">
      <c r="C684" s="21"/>
      <c r="D684" s="1"/>
      <c r="E684" s="1"/>
      <c r="F684" s="1"/>
      <c r="G684" s="1"/>
      <c r="H684" s="1"/>
      <c r="I684" s="1"/>
      <c r="J684" s="1"/>
      <c r="L684" s="85"/>
      <c r="M684" s="85"/>
      <c r="N684" s="85"/>
      <c r="O684" s="85"/>
      <c r="P684" s="85"/>
      <c r="Q684" s="85"/>
      <c r="R684" s="85"/>
      <c r="S684" s="85"/>
      <c r="T684" s="85"/>
      <c r="U684" s="1"/>
      <c r="V684" s="1"/>
    </row>
    <row r="685" spans="3:22" x14ac:dyDescent="0.3">
      <c r="C685" s="21"/>
      <c r="D685" s="1"/>
      <c r="E685" s="1"/>
      <c r="F685" s="1"/>
      <c r="G685" s="1"/>
      <c r="H685" s="1"/>
      <c r="I685" s="1"/>
      <c r="J685" s="1"/>
      <c r="L685" s="85"/>
      <c r="M685" s="85"/>
      <c r="N685" s="85"/>
      <c r="O685" s="85"/>
      <c r="P685" s="85"/>
      <c r="Q685" s="85"/>
      <c r="R685" s="85"/>
      <c r="S685" s="85"/>
      <c r="T685" s="85"/>
      <c r="U685" s="1"/>
      <c r="V685" s="1"/>
    </row>
    <row r="686" spans="3:22" x14ac:dyDescent="0.3">
      <c r="C686" s="21"/>
      <c r="D686" s="1"/>
      <c r="E686" s="1"/>
      <c r="F686" s="1"/>
      <c r="G686" s="1"/>
      <c r="H686" s="1"/>
      <c r="I686" s="1"/>
      <c r="J686" s="1"/>
      <c r="L686" s="85"/>
      <c r="M686" s="85"/>
      <c r="N686" s="85"/>
      <c r="O686" s="85"/>
      <c r="P686" s="85"/>
      <c r="Q686" s="85"/>
      <c r="R686" s="85"/>
      <c r="S686" s="85"/>
      <c r="T686" s="85"/>
      <c r="U686" s="1"/>
      <c r="V686" s="1"/>
    </row>
    <row r="687" spans="3:22" x14ac:dyDescent="0.3">
      <c r="C687" s="21"/>
      <c r="D687" s="1"/>
      <c r="E687" s="1"/>
      <c r="F687" s="1"/>
      <c r="G687" s="1"/>
      <c r="H687" s="1"/>
      <c r="I687" s="1"/>
      <c r="J687" s="1"/>
      <c r="L687" s="85"/>
      <c r="M687" s="85"/>
      <c r="N687" s="85"/>
      <c r="O687" s="85"/>
      <c r="P687" s="85"/>
      <c r="Q687" s="85"/>
      <c r="R687" s="85"/>
      <c r="S687" s="85"/>
      <c r="T687" s="85"/>
      <c r="U687" s="1"/>
      <c r="V687" s="1"/>
    </row>
    <row r="688" spans="3:22" x14ac:dyDescent="0.3">
      <c r="C688" s="21"/>
      <c r="D688" s="1"/>
      <c r="E688" s="1"/>
      <c r="F688" s="1"/>
      <c r="G688" s="1"/>
      <c r="H688" s="1"/>
      <c r="I688" s="1"/>
      <c r="J688" s="1"/>
      <c r="L688" s="85"/>
      <c r="M688" s="85"/>
      <c r="N688" s="85"/>
      <c r="O688" s="85"/>
      <c r="P688" s="85"/>
      <c r="Q688" s="85"/>
      <c r="R688" s="85"/>
      <c r="S688" s="85"/>
      <c r="T688" s="85"/>
      <c r="U688" s="1"/>
      <c r="V688" s="1"/>
    </row>
    <row r="689" spans="3:22" x14ac:dyDescent="0.3">
      <c r="C689" s="21"/>
      <c r="D689" s="1"/>
      <c r="E689" s="1"/>
      <c r="F689" s="1"/>
      <c r="G689" s="1"/>
      <c r="H689" s="1"/>
      <c r="I689" s="1"/>
      <c r="J689" s="1"/>
      <c r="L689" s="85"/>
      <c r="M689" s="85"/>
      <c r="N689" s="85"/>
      <c r="O689" s="85"/>
      <c r="P689" s="85"/>
      <c r="Q689" s="85"/>
      <c r="R689" s="85"/>
      <c r="S689" s="85"/>
      <c r="T689" s="85"/>
      <c r="U689" s="1"/>
      <c r="V689" s="1"/>
    </row>
    <row r="690" spans="3:22" x14ac:dyDescent="0.3">
      <c r="C690" s="21"/>
      <c r="D690" s="1"/>
      <c r="E690" s="1"/>
      <c r="F690" s="1"/>
      <c r="G690" s="1"/>
      <c r="H690" s="1"/>
      <c r="I690" s="1"/>
      <c r="J690" s="1"/>
      <c r="L690" s="85"/>
      <c r="M690" s="85"/>
      <c r="N690" s="85"/>
      <c r="O690" s="85"/>
      <c r="P690" s="85"/>
      <c r="Q690" s="85"/>
      <c r="R690" s="85"/>
      <c r="S690" s="85"/>
      <c r="T690" s="85"/>
      <c r="U690" s="1"/>
      <c r="V690" s="1"/>
    </row>
    <row r="691" spans="3:22" x14ac:dyDescent="0.3">
      <c r="C691" s="21"/>
      <c r="D691" s="1"/>
      <c r="E691" s="1"/>
      <c r="F691" s="1"/>
      <c r="G691" s="1"/>
      <c r="H691" s="1"/>
      <c r="I691" s="1"/>
      <c r="J691" s="1"/>
      <c r="L691" s="85"/>
      <c r="M691" s="85"/>
      <c r="N691" s="85"/>
      <c r="O691" s="85"/>
      <c r="P691" s="85"/>
      <c r="Q691" s="85"/>
      <c r="R691" s="85"/>
      <c r="S691" s="85"/>
      <c r="T691" s="85"/>
      <c r="U691" s="1"/>
      <c r="V691" s="1"/>
    </row>
    <row r="692" spans="3:22" x14ac:dyDescent="0.3">
      <c r="C692" s="21"/>
      <c r="D692" s="1"/>
      <c r="E692" s="1"/>
      <c r="F692" s="1"/>
      <c r="G692" s="1"/>
      <c r="H692" s="1"/>
      <c r="I692" s="1"/>
      <c r="J692" s="1"/>
      <c r="L692" s="85"/>
      <c r="M692" s="85"/>
      <c r="N692" s="85"/>
      <c r="O692" s="85"/>
      <c r="P692" s="85"/>
      <c r="Q692" s="85"/>
      <c r="R692" s="85"/>
      <c r="S692" s="85"/>
      <c r="T692" s="85"/>
      <c r="U692" s="1"/>
      <c r="V692" s="1"/>
    </row>
    <row r="693" spans="3:22" x14ac:dyDescent="0.3">
      <c r="C693" s="21"/>
      <c r="D693" s="1"/>
      <c r="E693" s="1"/>
      <c r="F693" s="1"/>
      <c r="G693" s="1"/>
      <c r="H693" s="1"/>
      <c r="I693" s="1"/>
      <c r="J693" s="1"/>
      <c r="L693" s="85"/>
      <c r="M693" s="85"/>
      <c r="N693" s="85"/>
      <c r="O693" s="85"/>
      <c r="P693" s="85"/>
      <c r="Q693" s="85"/>
      <c r="R693" s="85"/>
      <c r="S693" s="85"/>
      <c r="T693" s="85"/>
      <c r="U693" s="1"/>
      <c r="V693" s="1"/>
    </row>
    <row r="694" spans="3:22" x14ac:dyDescent="0.3">
      <c r="C694" s="21"/>
      <c r="D694" s="1"/>
      <c r="E694" s="1"/>
      <c r="F694" s="1"/>
      <c r="G694" s="1"/>
      <c r="H694" s="1"/>
      <c r="I694" s="1"/>
      <c r="J694" s="1"/>
      <c r="L694" s="85"/>
      <c r="M694" s="85"/>
      <c r="N694" s="85"/>
      <c r="O694" s="85"/>
      <c r="P694" s="85"/>
      <c r="Q694" s="85"/>
      <c r="R694" s="85"/>
      <c r="S694" s="85"/>
      <c r="T694" s="85"/>
      <c r="U694" s="1"/>
      <c r="V694" s="1"/>
    </row>
    <row r="695" spans="3:22" x14ac:dyDescent="0.3">
      <c r="C695" s="21"/>
      <c r="D695" s="1"/>
      <c r="E695" s="1"/>
      <c r="F695" s="1"/>
      <c r="G695" s="1"/>
      <c r="H695" s="1"/>
      <c r="I695" s="1"/>
      <c r="J695" s="1"/>
      <c r="L695" s="85"/>
      <c r="M695" s="85"/>
      <c r="N695" s="85"/>
      <c r="O695" s="85"/>
      <c r="P695" s="85"/>
      <c r="Q695" s="85"/>
      <c r="R695" s="85"/>
      <c r="S695" s="85"/>
      <c r="T695" s="85"/>
      <c r="U695" s="1"/>
      <c r="V695" s="1"/>
    </row>
    <row r="696" spans="3:22" x14ac:dyDescent="0.3">
      <c r="C696" s="21"/>
      <c r="D696" s="1"/>
      <c r="E696" s="1"/>
      <c r="F696" s="1"/>
      <c r="G696" s="1"/>
      <c r="H696" s="1"/>
      <c r="I696" s="1"/>
      <c r="J696" s="1"/>
      <c r="L696" s="85"/>
      <c r="M696" s="85"/>
      <c r="N696" s="85"/>
      <c r="O696" s="85"/>
      <c r="P696" s="85"/>
      <c r="Q696" s="85"/>
      <c r="R696" s="85"/>
      <c r="S696" s="85"/>
      <c r="T696" s="85"/>
      <c r="U696" s="1"/>
      <c r="V696" s="1"/>
    </row>
    <row r="697" spans="3:22" x14ac:dyDescent="0.3">
      <c r="C697" s="21"/>
      <c r="D697" s="1"/>
      <c r="E697" s="1"/>
      <c r="F697" s="1"/>
      <c r="G697" s="1"/>
      <c r="H697" s="1"/>
      <c r="I697" s="1"/>
      <c r="J697" s="1"/>
      <c r="L697" s="85"/>
      <c r="M697" s="85"/>
      <c r="N697" s="85"/>
      <c r="O697" s="85"/>
      <c r="P697" s="85"/>
      <c r="Q697" s="85"/>
      <c r="R697" s="85"/>
      <c r="S697" s="85"/>
      <c r="T697" s="85"/>
      <c r="U697" s="1"/>
      <c r="V697" s="1"/>
    </row>
    <row r="698" spans="3:22" x14ac:dyDescent="0.3">
      <c r="C698" s="21"/>
      <c r="D698" s="1"/>
      <c r="E698" s="1"/>
      <c r="F698" s="1"/>
      <c r="G698" s="1"/>
      <c r="H698" s="1"/>
      <c r="I698" s="1"/>
      <c r="J698" s="1"/>
      <c r="L698" s="85"/>
      <c r="M698" s="85"/>
      <c r="N698" s="85"/>
      <c r="O698" s="85"/>
      <c r="P698" s="85"/>
      <c r="Q698" s="85"/>
      <c r="R698" s="85"/>
      <c r="S698" s="85"/>
      <c r="T698" s="85"/>
      <c r="U698" s="1"/>
      <c r="V698" s="1"/>
    </row>
    <row r="699" spans="3:22" x14ac:dyDescent="0.3">
      <c r="C699" s="21"/>
      <c r="D699" s="1"/>
      <c r="E699" s="1"/>
      <c r="F699" s="1"/>
      <c r="G699" s="1"/>
      <c r="H699" s="1"/>
      <c r="I699" s="1"/>
      <c r="J699" s="1"/>
      <c r="L699" s="85"/>
      <c r="M699" s="85"/>
      <c r="N699" s="85"/>
      <c r="O699" s="85"/>
      <c r="P699" s="85"/>
      <c r="Q699" s="85"/>
      <c r="R699" s="85"/>
      <c r="S699" s="85"/>
      <c r="T699" s="85"/>
      <c r="U699" s="1"/>
      <c r="V699" s="1"/>
    </row>
    <row r="700" spans="3:22" x14ac:dyDescent="0.3">
      <c r="C700" s="21"/>
      <c r="D700" s="1"/>
      <c r="E700" s="1"/>
      <c r="F700" s="1"/>
      <c r="G700" s="1"/>
      <c r="H700" s="1"/>
      <c r="I700" s="1"/>
      <c r="J700" s="1"/>
      <c r="L700" s="85"/>
      <c r="M700" s="85"/>
      <c r="N700" s="85"/>
      <c r="O700" s="85"/>
      <c r="P700" s="85"/>
      <c r="Q700" s="85"/>
      <c r="R700" s="85"/>
      <c r="S700" s="85"/>
      <c r="T700" s="85"/>
      <c r="U700" s="1"/>
      <c r="V700" s="1"/>
    </row>
    <row r="701" spans="3:22" x14ac:dyDescent="0.3">
      <c r="C701" s="21"/>
      <c r="D701" s="1"/>
      <c r="E701" s="1"/>
      <c r="F701" s="1"/>
      <c r="G701" s="1"/>
      <c r="H701" s="1"/>
      <c r="I701" s="1"/>
      <c r="J701" s="1"/>
      <c r="L701" s="85"/>
      <c r="M701" s="85"/>
      <c r="N701" s="85"/>
      <c r="O701" s="85"/>
      <c r="P701" s="85"/>
      <c r="Q701" s="85"/>
      <c r="R701" s="85"/>
      <c r="S701" s="85"/>
      <c r="T701" s="85"/>
      <c r="U701" s="1"/>
      <c r="V701" s="1"/>
    </row>
    <row r="702" spans="3:22" x14ac:dyDescent="0.3">
      <c r="C702" s="21"/>
      <c r="D702" s="1"/>
      <c r="E702" s="1"/>
      <c r="F702" s="1"/>
      <c r="G702" s="1"/>
      <c r="H702" s="1"/>
      <c r="I702" s="1"/>
      <c r="J702" s="1"/>
      <c r="L702" s="85"/>
      <c r="M702" s="85"/>
      <c r="N702" s="85"/>
      <c r="O702" s="85"/>
      <c r="P702" s="85"/>
      <c r="Q702" s="85"/>
      <c r="R702" s="85"/>
      <c r="S702" s="85"/>
      <c r="T702" s="85"/>
      <c r="U702" s="1"/>
      <c r="V702" s="1"/>
    </row>
    <row r="703" spans="3:22" x14ac:dyDescent="0.3">
      <c r="C703" s="21"/>
      <c r="D703" s="1"/>
      <c r="E703" s="1"/>
      <c r="F703" s="1"/>
      <c r="G703" s="1"/>
      <c r="H703" s="1"/>
      <c r="I703" s="1"/>
      <c r="J703" s="1"/>
      <c r="L703" s="85"/>
      <c r="M703" s="85"/>
      <c r="N703" s="85"/>
      <c r="O703" s="85"/>
      <c r="P703" s="85"/>
      <c r="Q703" s="85"/>
      <c r="R703" s="85"/>
      <c r="S703" s="85"/>
      <c r="T703" s="85"/>
      <c r="U703" s="1"/>
      <c r="V703" s="1"/>
    </row>
    <row r="704" spans="3:22" x14ac:dyDescent="0.3">
      <c r="C704" s="21"/>
      <c r="D704" s="1"/>
      <c r="E704" s="1"/>
      <c r="F704" s="1"/>
      <c r="G704" s="1"/>
      <c r="H704" s="1"/>
      <c r="I704" s="1"/>
      <c r="J704" s="1"/>
      <c r="L704" s="85"/>
      <c r="M704" s="85"/>
      <c r="N704" s="85"/>
      <c r="O704" s="85"/>
      <c r="P704" s="85"/>
      <c r="Q704" s="85"/>
      <c r="R704" s="85"/>
      <c r="S704" s="85"/>
      <c r="T704" s="85"/>
      <c r="U704" s="1"/>
      <c r="V704" s="1"/>
    </row>
    <row r="705" spans="3:22" x14ac:dyDescent="0.3">
      <c r="C705" s="21"/>
      <c r="D705" s="1"/>
      <c r="E705" s="1"/>
      <c r="F705" s="1"/>
      <c r="G705" s="1"/>
      <c r="H705" s="1"/>
      <c r="I705" s="1"/>
      <c r="J705" s="1"/>
      <c r="L705" s="85"/>
      <c r="M705" s="85"/>
      <c r="N705" s="85"/>
      <c r="O705" s="85"/>
      <c r="P705" s="85"/>
      <c r="Q705" s="85"/>
      <c r="R705" s="85"/>
      <c r="S705" s="85"/>
      <c r="T705" s="85"/>
      <c r="U705" s="1"/>
      <c r="V705" s="1"/>
    </row>
    <row r="706" spans="3:22" x14ac:dyDescent="0.3">
      <c r="C706" s="21"/>
      <c r="D706" s="1"/>
      <c r="E706" s="1"/>
      <c r="F706" s="1"/>
      <c r="G706" s="1"/>
      <c r="H706" s="1"/>
      <c r="I706" s="1"/>
      <c r="J706" s="1"/>
      <c r="L706" s="85"/>
      <c r="M706" s="85"/>
      <c r="N706" s="85"/>
      <c r="O706" s="85"/>
      <c r="P706" s="85"/>
      <c r="Q706" s="85"/>
      <c r="R706" s="85"/>
      <c r="S706" s="85"/>
      <c r="T706" s="85"/>
      <c r="U706" s="1"/>
      <c r="V706" s="1"/>
    </row>
    <row r="707" spans="3:22" x14ac:dyDescent="0.3">
      <c r="C707" s="21"/>
      <c r="D707" s="1"/>
      <c r="E707" s="1"/>
      <c r="F707" s="1"/>
      <c r="G707" s="1"/>
      <c r="H707" s="1"/>
      <c r="I707" s="1"/>
      <c r="J707" s="1"/>
      <c r="L707" s="85"/>
      <c r="M707" s="85"/>
      <c r="N707" s="85"/>
      <c r="O707" s="85"/>
      <c r="P707" s="85"/>
      <c r="Q707" s="85"/>
      <c r="R707" s="85"/>
      <c r="S707" s="85"/>
      <c r="T707" s="85"/>
      <c r="U707" s="1"/>
      <c r="V707" s="1"/>
    </row>
    <row r="708" spans="3:22" x14ac:dyDescent="0.3">
      <c r="C708" s="21"/>
      <c r="D708" s="1"/>
      <c r="E708" s="1"/>
      <c r="F708" s="1"/>
      <c r="G708" s="1"/>
      <c r="H708" s="1"/>
      <c r="I708" s="1"/>
      <c r="J708" s="1"/>
      <c r="L708" s="85"/>
      <c r="M708" s="85"/>
      <c r="N708" s="85"/>
      <c r="O708" s="85"/>
      <c r="P708" s="85"/>
      <c r="Q708" s="85"/>
      <c r="R708" s="85"/>
      <c r="S708" s="85"/>
      <c r="T708" s="85"/>
      <c r="U708" s="1"/>
      <c r="V708" s="1"/>
    </row>
    <row r="709" spans="3:22" x14ac:dyDescent="0.3">
      <c r="C709" s="21"/>
      <c r="D709" s="1"/>
      <c r="E709" s="1"/>
      <c r="F709" s="1"/>
      <c r="G709" s="1"/>
      <c r="H709" s="1"/>
      <c r="I709" s="1"/>
      <c r="J709" s="1"/>
      <c r="L709" s="85"/>
      <c r="M709" s="85"/>
      <c r="N709" s="85"/>
      <c r="O709" s="85"/>
      <c r="P709" s="85"/>
      <c r="Q709" s="85"/>
      <c r="R709" s="85"/>
      <c r="S709" s="85"/>
      <c r="T709" s="85"/>
      <c r="U709" s="1"/>
      <c r="V709" s="1"/>
    </row>
    <row r="710" spans="3:22" x14ac:dyDescent="0.3">
      <c r="C710" s="21"/>
      <c r="D710" s="1"/>
      <c r="E710" s="1"/>
      <c r="F710" s="1"/>
      <c r="G710" s="1"/>
      <c r="H710" s="1"/>
      <c r="I710" s="1"/>
      <c r="J710" s="1"/>
      <c r="L710" s="85"/>
      <c r="M710" s="85"/>
      <c r="N710" s="85"/>
      <c r="O710" s="85"/>
      <c r="P710" s="85"/>
      <c r="Q710" s="85"/>
      <c r="R710" s="85"/>
      <c r="S710" s="85"/>
      <c r="T710" s="85"/>
      <c r="U710" s="1"/>
      <c r="V710" s="1"/>
    </row>
    <row r="711" spans="3:22" x14ac:dyDescent="0.3">
      <c r="C711" s="21"/>
      <c r="D711" s="1"/>
      <c r="E711" s="1"/>
      <c r="F711" s="1"/>
      <c r="G711" s="1"/>
      <c r="H711" s="1"/>
      <c r="I711" s="1"/>
      <c r="J711" s="1"/>
      <c r="L711" s="85"/>
      <c r="M711" s="85"/>
      <c r="N711" s="85"/>
      <c r="O711" s="85"/>
      <c r="P711" s="85"/>
      <c r="Q711" s="85"/>
      <c r="R711" s="85"/>
      <c r="S711" s="85"/>
      <c r="T711" s="85"/>
      <c r="U711" s="1"/>
      <c r="V711" s="1"/>
    </row>
    <row r="712" spans="3:22" x14ac:dyDescent="0.3">
      <c r="C712" s="21"/>
      <c r="D712" s="1"/>
      <c r="E712" s="1"/>
      <c r="F712" s="1"/>
      <c r="G712" s="1"/>
      <c r="H712" s="1"/>
      <c r="I712" s="1"/>
      <c r="J712" s="1"/>
      <c r="L712" s="85"/>
      <c r="M712" s="85"/>
      <c r="N712" s="85"/>
      <c r="O712" s="85"/>
      <c r="P712" s="85"/>
      <c r="Q712" s="85"/>
      <c r="R712" s="85"/>
      <c r="S712" s="85"/>
      <c r="T712" s="85"/>
      <c r="U712" s="1"/>
      <c r="V712" s="1"/>
    </row>
    <row r="713" spans="3:22" x14ac:dyDescent="0.3">
      <c r="C713" s="21"/>
      <c r="D713" s="1"/>
      <c r="E713" s="1"/>
      <c r="F713" s="1"/>
      <c r="G713" s="1"/>
      <c r="H713" s="1"/>
      <c r="I713" s="1"/>
      <c r="J713" s="1"/>
      <c r="L713" s="85"/>
      <c r="M713" s="85"/>
      <c r="N713" s="85"/>
      <c r="O713" s="85"/>
      <c r="P713" s="85"/>
      <c r="Q713" s="85"/>
      <c r="R713" s="85"/>
      <c r="S713" s="85"/>
      <c r="T713" s="85"/>
      <c r="U713" s="1"/>
      <c r="V713" s="1"/>
    </row>
    <row r="714" spans="3:22" x14ac:dyDescent="0.3">
      <c r="C714" s="21"/>
      <c r="D714" s="1"/>
      <c r="E714" s="1"/>
      <c r="F714" s="1"/>
      <c r="G714" s="1"/>
      <c r="H714" s="1"/>
      <c r="I714" s="1"/>
      <c r="J714" s="1"/>
      <c r="L714" s="85"/>
      <c r="M714" s="85"/>
      <c r="N714" s="85"/>
      <c r="O714" s="85"/>
      <c r="P714" s="85"/>
      <c r="Q714" s="85"/>
      <c r="R714" s="85"/>
      <c r="S714" s="85"/>
      <c r="T714" s="85"/>
      <c r="U714" s="1"/>
      <c r="V714" s="1"/>
    </row>
    <row r="715" spans="3:22" x14ac:dyDescent="0.3">
      <c r="C715" s="21"/>
      <c r="D715" s="1"/>
      <c r="E715" s="1"/>
      <c r="F715" s="1"/>
      <c r="G715" s="1"/>
      <c r="H715" s="1"/>
      <c r="I715" s="1"/>
      <c r="J715" s="1"/>
      <c r="L715" s="85"/>
      <c r="M715" s="85"/>
      <c r="N715" s="85"/>
      <c r="O715" s="85"/>
      <c r="P715" s="85"/>
      <c r="Q715" s="85"/>
      <c r="R715" s="85"/>
      <c r="S715" s="85"/>
      <c r="T715" s="85"/>
      <c r="U715" s="1"/>
      <c r="V715" s="1"/>
    </row>
    <row r="716" spans="3:22" x14ac:dyDescent="0.3">
      <c r="C716" s="21"/>
      <c r="D716" s="1"/>
      <c r="E716" s="1"/>
      <c r="F716" s="1"/>
      <c r="G716" s="1"/>
      <c r="H716" s="1"/>
      <c r="I716" s="1"/>
      <c r="J716" s="1"/>
      <c r="L716" s="85"/>
      <c r="M716" s="85"/>
      <c r="N716" s="85"/>
      <c r="O716" s="85"/>
      <c r="P716" s="85"/>
      <c r="Q716" s="85"/>
      <c r="R716" s="85"/>
      <c r="S716" s="85"/>
      <c r="T716" s="85"/>
      <c r="U716" s="1"/>
      <c r="V716" s="1"/>
    </row>
    <row r="717" spans="3:22" x14ac:dyDescent="0.3">
      <c r="C717" s="21"/>
      <c r="D717" s="1"/>
      <c r="E717" s="1"/>
      <c r="F717" s="1"/>
      <c r="G717" s="1"/>
      <c r="H717" s="1"/>
      <c r="I717" s="1"/>
      <c r="J717" s="1"/>
      <c r="L717" s="85"/>
      <c r="M717" s="85"/>
      <c r="N717" s="85"/>
      <c r="O717" s="85"/>
      <c r="P717" s="85"/>
      <c r="Q717" s="85"/>
      <c r="R717" s="85"/>
      <c r="S717" s="85"/>
      <c r="T717" s="85"/>
      <c r="U717" s="1"/>
      <c r="V717" s="1"/>
    </row>
    <row r="718" spans="3:22" x14ac:dyDescent="0.3">
      <c r="C718" s="21"/>
      <c r="D718" s="1"/>
      <c r="E718" s="1"/>
      <c r="F718" s="1"/>
      <c r="G718" s="1"/>
      <c r="H718" s="1"/>
      <c r="I718" s="1"/>
      <c r="J718" s="1"/>
      <c r="L718" s="85"/>
      <c r="M718" s="85"/>
      <c r="N718" s="85"/>
      <c r="O718" s="85"/>
      <c r="P718" s="85"/>
      <c r="Q718" s="85"/>
      <c r="R718" s="85"/>
      <c r="S718" s="85"/>
      <c r="T718" s="85"/>
      <c r="U718" s="1"/>
      <c r="V718" s="1"/>
    </row>
    <row r="719" spans="3:22" x14ac:dyDescent="0.3">
      <c r="C719" s="21"/>
      <c r="D719" s="1"/>
      <c r="E719" s="1"/>
      <c r="F719" s="1"/>
      <c r="G719" s="1"/>
      <c r="H719" s="1"/>
      <c r="I719" s="1"/>
      <c r="J719" s="1"/>
      <c r="L719" s="85"/>
      <c r="M719" s="85"/>
      <c r="N719" s="85"/>
      <c r="O719" s="85"/>
      <c r="P719" s="85"/>
      <c r="Q719" s="85"/>
      <c r="R719" s="85"/>
      <c r="S719" s="85"/>
      <c r="T719" s="85"/>
      <c r="U719" s="1"/>
      <c r="V719" s="1"/>
    </row>
    <row r="720" spans="3:22" x14ac:dyDescent="0.3">
      <c r="C720" s="21"/>
      <c r="D720" s="1"/>
      <c r="E720" s="1"/>
      <c r="F720" s="1"/>
      <c r="G720" s="1"/>
      <c r="H720" s="1"/>
      <c r="I720" s="1"/>
      <c r="J720" s="1"/>
      <c r="L720" s="85"/>
      <c r="M720" s="85"/>
      <c r="N720" s="85"/>
      <c r="O720" s="85"/>
      <c r="P720" s="85"/>
      <c r="Q720" s="85"/>
      <c r="R720" s="85"/>
      <c r="S720" s="85"/>
      <c r="T720" s="85"/>
      <c r="U720" s="1"/>
      <c r="V720" s="1"/>
    </row>
    <row r="721" spans="3:22" x14ac:dyDescent="0.3">
      <c r="C721" s="21"/>
      <c r="D721" s="1"/>
      <c r="E721" s="1"/>
      <c r="F721" s="1"/>
      <c r="G721" s="1"/>
      <c r="H721" s="1"/>
      <c r="I721" s="1"/>
      <c r="J721" s="1"/>
      <c r="L721" s="85"/>
      <c r="M721" s="85"/>
      <c r="N721" s="85"/>
      <c r="O721" s="85"/>
      <c r="P721" s="85"/>
      <c r="Q721" s="85"/>
      <c r="R721" s="85"/>
      <c r="S721" s="85"/>
      <c r="T721" s="85"/>
      <c r="U721" s="1"/>
      <c r="V721" s="1"/>
    </row>
    <row r="722" spans="3:22" x14ac:dyDescent="0.3">
      <c r="C722" s="21"/>
      <c r="D722" s="1"/>
      <c r="E722" s="1"/>
      <c r="F722" s="1"/>
      <c r="G722" s="1"/>
      <c r="H722" s="1"/>
      <c r="I722" s="1"/>
      <c r="J722" s="1"/>
      <c r="L722" s="85"/>
      <c r="M722" s="85"/>
      <c r="N722" s="85"/>
      <c r="O722" s="85"/>
      <c r="P722" s="85"/>
      <c r="Q722" s="85"/>
      <c r="R722" s="85"/>
      <c r="S722" s="85"/>
      <c r="T722" s="85"/>
      <c r="U722" s="1"/>
      <c r="V722" s="1"/>
    </row>
    <row r="723" spans="3:22" x14ac:dyDescent="0.3">
      <c r="C723" s="21"/>
      <c r="D723" s="1"/>
      <c r="E723" s="1"/>
      <c r="F723" s="1"/>
      <c r="G723" s="1"/>
      <c r="H723" s="1"/>
      <c r="I723" s="1"/>
      <c r="J723" s="1"/>
      <c r="L723" s="85"/>
      <c r="M723" s="85"/>
      <c r="N723" s="85"/>
      <c r="O723" s="85"/>
      <c r="P723" s="85"/>
      <c r="Q723" s="85"/>
      <c r="R723" s="85"/>
      <c r="S723" s="85"/>
      <c r="T723" s="85"/>
      <c r="U723" s="1"/>
      <c r="V723" s="1"/>
    </row>
    <row r="724" spans="3:22" x14ac:dyDescent="0.3">
      <c r="C724" s="21"/>
      <c r="D724" s="1"/>
      <c r="E724" s="1"/>
      <c r="F724" s="1"/>
      <c r="G724" s="1"/>
      <c r="H724" s="1"/>
      <c r="I724" s="1"/>
      <c r="J724" s="1"/>
      <c r="L724" s="85"/>
      <c r="M724" s="85"/>
      <c r="N724" s="85"/>
      <c r="O724" s="85"/>
      <c r="P724" s="85"/>
      <c r="Q724" s="85"/>
      <c r="R724" s="85"/>
      <c r="S724" s="85"/>
      <c r="T724" s="85"/>
      <c r="U724" s="1"/>
      <c r="V724" s="1"/>
    </row>
    <row r="725" spans="3:22" x14ac:dyDescent="0.3">
      <c r="C725" s="21"/>
      <c r="D725" s="1"/>
      <c r="E725" s="1"/>
      <c r="F725" s="1"/>
      <c r="G725" s="1"/>
      <c r="H725" s="1"/>
      <c r="I725" s="1"/>
      <c r="J725" s="1"/>
      <c r="L725" s="85"/>
      <c r="M725" s="85"/>
      <c r="N725" s="85"/>
      <c r="O725" s="85"/>
      <c r="P725" s="85"/>
      <c r="Q725" s="85"/>
      <c r="R725" s="85"/>
      <c r="S725" s="85"/>
      <c r="T725" s="85"/>
      <c r="U725" s="1"/>
      <c r="V725" s="1"/>
    </row>
    <row r="726" spans="3:22" x14ac:dyDescent="0.3">
      <c r="C726" s="21"/>
      <c r="D726" s="1"/>
      <c r="E726" s="1"/>
      <c r="F726" s="1"/>
      <c r="G726" s="1"/>
      <c r="H726" s="1"/>
      <c r="I726" s="1"/>
      <c r="J726" s="1"/>
      <c r="L726" s="85"/>
      <c r="M726" s="85"/>
      <c r="N726" s="85"/>
      <c r="O726" s="85"/>
      <c r="P726" s="85"/>
      <c r="Q726" s="85"/>
      <c r="R726" s="85"/>
      <c r="S726" s="85"/>
      <c r="T726" s="85"/>
      <c r="U726" s="1"/>
      <c r="V726" s="1"/>
    </row>
    <row r="727" spans="3:22" x14ac:dyDescent="0.3">
      <c r="C727" s="21"/>
      <c r="D727" s="1"/>
      <c r="E727" s="1"/>
      <c r="F727" s="1"/>
      <c r="G727" s="1"/>
      <c r="H727" s="1"/>
      <c r="I727" s="1"/>
      <c r="J727" s="1"/>
      <c r="L727" s="85"/>
      <c r="M727" s="85"/>
      <c r="N727" s="85"/>
      <c r="O727" s="85"/>
      <c r="P727" s="85"/>
      <c r="Q727" s="85"/>
      <c r="R727" s="85"/>
      <c r="S727" s="85"/>
      <c r="T727" s="85"/>
      <c r="U727" s="1"/>
      <c r="V727" s="1"/>
    </row>
    <row r="728" spans="3:22" x14ac:dyDescent="0.3">
      <c r="C728" s="21"/>
      <c r="D728" s="1"/>
      <c r="E728" s="1"/>
      <c r="F728" s="1"/>
      <c r="G728" s="1"/>
      <c r="H728" s="1"/>
      <c r="I728" s="1"/>
      <c r="J728" s="1"/>
      <c r="L728" s="85"/>
      <c r="M728" s="85"/>
      <c r="N728" s="85"/>
      <c r="O728" s="85"/>
      <c r="P728" s="85"/>
      <c r="Q728" s="85"/>
      <c r="R728" s="85"/>
      <c r="S728" s="85"/>
      <c r="T728" s="85"/>
      <c r="U728" s="1"/>
      <c r="V728" s="1"/>
    </row>
    <row r="729" spans="3:22" x14ac:dyDescent="0.3">
      <c r="C729" s="21"/>
      <c r="D729" s="1"/>
      <c r="E729" s="1"/>
      <c r="F729" s="1"/>
      <c r="G729" s="1"/>
      <c r="H729" s="1"/>
      <c r="I729" s="1"/>
      <c r="J729" s="1"/>
      <c r="L729" s="85"/>
      <c r="M729" s="85"/>
      <c r="N729" s="85"/>
      <c r="O729" s="85"/>
      <c r="P729" s="85"/>
      <c r="Q729" s="85"/>
      <c r="R729" s="85"/>
      <c r="S729" s="85"/>
      <c r="T729" s="85"/>
      <c r="U729" s="1"/>
      <c r="V729" s="1"/>
    </row>
    <row r="730" spans="3:22" x14ac:dyDescent="0.3">
      <c r="C730" s="21"/>
      <c r="D730" s="1"/>
      <c r="E730" s="1"/>
      <c r="F730" s="1"/>
      <c r="G730" s="1"/>
      <c r="H730" s="1"/>
      <c r="I730" s="1"/>
      <c r="J730" s="1"/>
      <c r="L730" s="85"/>
      <c r="M730" s="85"/>
      <c r="N730" s="85"/>
      <c r="O730" s="85"/>
      <c r="P730" s="85"/>
      <c r="Q730" s="85"/>
      <c r="R730" s="85"/>
      <c r="S730" s="85"/>
      <c r="T730" s="85"/>
      <c r="U730" s="1"/>
      <c r="V730" s="1"/>
    </row>
    <row r="731" spans="3:22" x14ac:dyDescent="0.3">
      <c r="C731" s="21"/>
      <c r="D731" s="1"/>
      <c r="E731" s="1"/>
      <c r="F731" s="1"/>
      <c r="G731" s="1"/>
      <c r="H731" s="1"/>
      <c r="I731" s="1"/>
      <c r="J731" s="1"/>
      <c r="L731" s="85"/>
      <c r="M731" s="85"/>
      <c r="N731" s="85"/>
      <c r="O731" s="85"/>
      <c r="P731" s="85"/>
      <c r="Q731" s="85"/>
      <c r="R731" s="85"/>
      <c r="S731" s="85"/>
      <c r="T731" s="85"/>
      <c r="U731" s="1"/>
      <c r="V731" s="1"/>
    </row>
    <row r="732" spans="3:22" x14ac:dyDescent="0.3">
      <c r="C732" s="21"/>
      <c r="D732" s="1"/>
      <c r="E732" s="1"/>
      <c r="F732" s="1"/>
      <c r="G732" s="1"/>
      <c r="H732" s="1"/>
      <c r="I732" s="1"/>
      <c r="J732" s="1"/>
      <c r="L732" s="85"/>
      <c r="M732" s="85"/>
      <c r="N732" s="85"/>
      <c r="O732" s="85"/>
      <c r="P732" s="85"/>
      <c r="Q732" s="85"/>
      <c r="R732" s="85"/>
      <c r="S732" s="85"/>
      <c r="T732" s="85"/>
      <c r="U732" s="1"/>
      <c r="V732" s="1"/>
    </row>
    <row r="733" spans="3:22" x14ac:dyDescent="0.3">
      <c r="C733" s="21"/>
      <c r="D733" s="1"/>
      <c r="E733" s="1"/>
      <c r="F733" s="1"/>
      <c r="G733" s="1"/>
      <c r="H733" s="1"/>
      <c r="I733" s="1"/>
      <c r="J733" s="1"/>
      <c r="L733" s="85"/>
      <c r="M733" s="85"/>
      <c r="N733" s="85"/>
      <c r="O733" s="85"/>
      <c r="P733" s="85"/>
      <c r="Q733" s="85"/>
      <c r="R733" s="85"/>
      <c r="S733" s="85"/>
      <c r="T733" s="85"/>
      <c r="U733" s="1"/>
      <c r="V733" s="1"/>
    </row>
    <row r="734" spans="3:22" x14ac:dyDescent="0.3">
      <c r="C734" s="21"/>
      <c r="D734" s="1"/>
      <c r="E734" s="1"/>
      <c r="F734" s="1"/>
      <c r="G734" s="1"/>
      <c r="H734" s="1"/>
      <c r="I734" s="1"/>
      <c r="J734" s="1"/>
      <c r="L734" s="85"/>
      <c r="M734" s="85"/>
      <c r="N734" s="85"/>
      <c r="O734" s="85"/>
      <c r="P734" s="85"/>
      <c r="Q734" s="85"/>
      <c r="R734" s="85"/>
      <c r="S734" s="85"/>
      <c r="T734" s="85"/>
      <c r="U734" s="1"/>
      <c r="V734" s="1"/>
    </row>
    <row r="735" spans="3:22" x14ac:dyDescent="0.3">
      <c r="C735" s="21"/>
      <c r="D735" s="1"/>
      <c r="E735" s="1"/>
      <c r="F735" s="1"/>
      <c r="G735" s="1"/>
      <c r="H735" s="1"/>
      <c r="I735" s="1"/>
      <c r="J735" s="1"/>
      <c r="L735" s="85"/>
      <c r="M735" s="85"/>
      <c r="N735" s="85"/>
      <c r="O735" s="85"/>
      <c r="P735" s="85"/>
      <c r="Q735" s="85"/>
      <c r="R735" s="85"/>
      <c r="S735" s="85"/>
      <c r="T735" s="85"/>
      <c r="U735" s="1"/>
      <c r="V735" s="1"/>
    </row>
    <row r="736" spans="3:22" x14ac:dyDescent="0.3">
      <c r="C736" s="21"/>
      <c r="D736" s="1"/>
      <c r="E736" s="1"/>
      <c r="F736" s="1"/>
      <c r="G736" s="1"/>
      <c r="H736" s="1"/>
      <c r="I736" s="1"/>
      <c r="J736" s="1"/>
      <c r="L736" s="85"/>
      <c r="M736" s="85"/>
      <c r="N736" s="85"/>
      <c r="O736" s="85"/>
      <c r="P736" s="85"/>
      <c r="Q736" s="85"/>
      <c r="R736" s="85"/>
      <c r="S736" s="85"/>
      <c r="T736" s="85"/>
      <c r="U736" s="1"/>
      <c r="V736" s="1"/>
    </row>
    <row r="737" spans="3:22" x14ac:dyDescent="0.3">
      <c r="C737" s="21"/>
      <c r="D737" s="1"/>
      <c r="E737" s="1"/>
      <c r="F737" s="1"/>
      <c r="G737" s="1"/>
      <c r="H737" s="1"/>
      <c r="I737" s="1"/>
      <c r="J737" s="1"/>
      <c r="L737" s="85"/>
      <c r="M737" s="85"/>
      <c r="N737" s="85"/>
      <c r="O737" s="85"/>
      <c r="P737" s="85"/>
      <c r="Q737" s="85"/>
      <c r="R737" s="85"/>
      <c r="S737" s="85"/>
      <c r="T737" s="85"/>
      <c r="U737" s="1"/>
      <c r="V737" s="1"/>
    </row>
    <row r="738" spans="3:22" x14ac:dyDescent="0.3">
      <c r="C738" s="21"/>
      <c r="D738" s="1"/>
      <c r="E738" s="1"/>
      <c r="F738" s="1"/>
      <c r="G738" s="1"/>
      <c r="H738" s="1"/>
      <c r="I738" s="1"/>
      <c r="J738" s="1"/>
      <c r="L738" s="85"/>
      <c r="M738" s="85"/>
      <c r="N738" s="85"/>
      <c r="O738" s="85"/>
      <c r="P738" s="85"/>
      <c r="Q738" s="85"/>
      <c r="R738" s="85"/>
      <c r="S738" s="85"/>
      <c r="T738" s="85"/>
      <c r="U738" s="1"/>
      <c r="V738" s="1"/>
    </row>
    <row r="739" spans="3:22" x14ac:dyDescent="0.3">
      <c r="C739" s="21"/>
      <c r="D739" s="1"/>
      <c r="E739" s="1"/>
      <c r="F739" s="1"/>
      <c r="G739" s="1"/>
      <c r="H739" s="1"/>
      <c r="I739" s="1"/>
      <c r="J739" s="1"/>
      <c r="L739" s="85"/>
      <c r="M739" s="85"/>
      <c r="N739" s="85"/>
      <c r="O739" s="85"/>
      <c r="P739" s="85"/>
      <c r="Q739" s="85"/>
      <c r="R739" s="85"/>
      <c r="S739" s="85"/>
      <c r="T739" s="85"/>
      <c r="U739" s="1"/>
      <c r="V739" s="1"/>
    </row>
    <row r="740" spans="3:22" x14ac:dyDescent="0.3">
      <c r="C740" s="21"/>
      <c r="D740" s="1"/>
      <c r="E740" s="1"/>
      <c r="F740" s="1"/>
      <c r="G740" s="1"/>
      <c r="H740" s="1"/>
      <c r="I740" s="1"/>
      <c r="J740" s="1"/>
      <c r="L740" s="85"/>
      <c r="M740" s="85"/>
      <c r="N740" s="85"/>
      <c r="O740" s="85"/>
      <c r="P740" s="85"/>
      <c r="Q740" s="85"/>
      <c r="R740" s="85"/>
      <c r="S740" s="85"/>
      <c r="T740" s="85"/>
      <c r="U740" s="1"/>
      <c r="V740" s="1"/>
    </row>
    <row r="741" spans="3:22" x14ac:dyDescent="0.3">
      <c r="C741" s="21"/>
      <c r="D741" s="1"/>
      <c r="E741" s="1"/>
      <c r="F741" s="1"/>
      <c r="G741" s="1"/>
      <c r="H741" s="1"/>
      <c r="I741" s="1"/>
      <c r="J741" s="1"/>
      <c r="L741" s="85"/>
      <c r="M741" s="85"/>
      <c r="N741" s="85"/>
      <c r="O741" s="85"/>
      <c r="P741" s="85"/>
      <c r="Q741" s="85"/>
      <c r="R741" s="85"/>
      <c r="S741" s="85"/>
      <c r="T741" s="85"/>
      <c r="U741" s="1"/>
      <c r="V741" s="1"/>
    </row>
    <row r="742" spans="3:22" x14ac:dyDescent="0.3">
      <c r="C742" s="21"/>
      <c r="D742" s="1"/>
      <c r="E742" s="1"/>
      <c r="F742" s="1"/>
      <c r="G742" s="1"/>
      <c r="H742" s="1"/>
      <c r="I742" s="1"/>
      <c r="J742" s="1"/>
      <c r="L742" s="85"/>
      <c r="M742" s="85"/>
      <c r="N742" s="85"/>
      <c r="O742" s="85"/>
      <c r="P742" s="85"/>
      <c r="Q742" s="85"/>
      <c r="R742" s="85"/>
      <c r="S742" s="85"/>
      <c r="T742" s="85"/>
      <c r="U742" s="1"/>
      <c r="V742" s="1"/>
    </row>
    <row r="743" spans="3:22" x14ac:dyDescent="0.3">
      <c r="C743" s="21"/>
      <c r="D743" s="1"/>
      <c r="E743" s="1"/>
      <c r="F743" s="1"/>
      <c r="G743" s="1"/>
      <c r="H743" s="1"/>
      <c r="I743" s="1"/>
      <c r="J743" s="1"/>
      <c r="L743" s="85"/>
      <c r="M743" s="85"/>
      <c r="N743" s="85"/>
      <c r="O743" s="85"/>
      <c r="P743" s="85"/>
      <c r="Q743" s="85"/>
      <c r="R743" s="85"/>
      <c r="S743" s="85"/>
      <c r="T743" s="85"/>
      <c r="U743" s="1"/>
      <c r="V743" s="1"/>
    </row>
    <row r="744" spans="3:22" x14ac:dyDescent="0.3">
      <c r="C744" s="21"/>
      <c r="D744" s="1"/>
      <c r="E744" s="1"/>
      <c r="F744" s="1"/>
      <c r="G744" s="1"/>
      <c r="H744" s="1"/>
      <c r="I744" s="1"/>
      <c r="J744" s="1"/>
      <c r="L744" s="85"/>
      <c r="M744" s="85"/>
      <c r="N744" s="85"/>
      <c r="O744" s="85"/>
      <c r="P744" s="85"/>
      <c r="Q744" s="85"/>
      <c r="R744" s="85"/>
      <c r="S744" s="85"/>
      <c r="T744" s="85"/>
      <c r="U744" s="1"/>
      <c r="V744" s="1"/>
    </row>
    <row r="745" spans="3:22" x14ac:dyDescent="0.3">
      <c r="C745" s="21"/>
      <c r="D745" s="1"/>
      <c r="E745" s="1"/>
      <c r="F745" s="1"/>
      <c r="G745" s="1"/>
      <c r="H745" s="1"/>
      <c r="I745" s="1"/>
      <c r="J745" s="1"/>
      <c r="L745" s="85"/>
      <c r="M745" s="85"/>
      <c r="N745" s="85"/>
      <c r="O745" s="85"/>
      <c r="P745" s="85"/>
      <c r="Q745" s="85"/>
      <c r="R745" s="85"/>
      <c r="S745" s="85"/>
      <c r="T745" s="85"/>
      <c r="U745" s="1"/>
      <c r="V745" s="1"/>
    </row>
    <row r="746" spans="3:22" x14ac:dyDescent="0.3">
      <c r="C746" s="21"/>
      <c r="D746" s="1"/>
      <c r="E746" s="1"/>
      <c r="F746" s="1"/>
      <c r="G746" s="1"/>
      <c r="H746" s="1"/>
      <c r="I746" s="1"/>
      <c r="J746" s="1"/>
      <c r="L746" s="85"/>
      <c r="M746" s="85"/>
      <c r="N746" s="85"/>
      <c r="O746" s="85"/>
      <c r="P746" s="85"/>
      <c r="Q746" s="85"/>
      <c r="R746" s="85"/>
      <c r="S746" s="85"/>
      <c r="T746" s="85"/>
      <c r="U746" s="1"/>
      <c r="V746" s="1"/>
    </row>
    <row r="747" spans="3:22" x14ac:dyDescent="0.3">
      <c r="C747" s="21"/>
      <c r="D747" s="1"/>
      <c r="E747" s="1"/>
      <c r="F747" s="1"/>
      <c r="G747" s="1"/>
      <c r="H747" s="1"/>
      <c r="I747" s="1"/>
      <c r="J747" s="1"/>
      <c r="L747" s="85"/>
      <c r="M747" s="85"/>
      <c r="N747" s="85"/>
      <c r="O747" s="85"/>
      <c r="P747" s="85"/>
      <c r="Q747" s="85"/>
      <c r="R747" s="85"/>
      <c r="S747" s="85"/>
      <c r="T747" s="85"/>
      <c r="U747" s="1"/>
      <c r="V747" s="1"/>
    </row>
    <row r="748" spans="3:22" x14ac:dyDescent="0.3">
      <c r="C748" s="21"/>
      <c r="D748" s="1"/>
      <c r="E748" s="1"/>
      <c r="F748" s="1"/>
      <c r="G748" s="1"/>
      <c r="H748" s="1"/>
      <c r="I748" s="1"/>
      <c r="J748" s="1"/>
      <c r="L748" s="85"/>
      <c r="M748" s="85"/>
      <c r="N748" s="85"/>
      <c r="O748" s="85"/>
      <c r="P748" s="85"/>
      <c r="Q748" s="85"/>
      <c r="R748" s="85"/>
      <c r="S748" s="85"/>
      <c r="T748" s="85"/>
      <c r="U748" s="1"/>
      <c r="V748" s="1"/>
    </row>
    <row r="749" spans="3:22" x14ac:dyDescent="0.3">
      <c r="C749" s="21"/>
      <c r="D749" s="1"/>
      <c r="E749" s="1"/>
      <c r="F749" s="1"/>
      <c r="G749" s="1"/>
      <c r="H749" s="1"/>
      <c r="I749" s="1"/>
      <c r="J749" s="1"/>
      <c r="L749" s="85"/>
      <c r="M749" s="85"/>
      <c r="N749" s="85"/>
      <c r="O749" s="85"/>
      <c r="P749" s="85"/>
      <c r="Q749" s="85"/>
      <c r="R749" s="85"/>
      <c r="S749" s="85"/>
      <c r="T749" s="85"/>
      <c r="U749" s="1"/>
      <c r="V749" s="1"/>
    </row>
    <row r="750" spans="3:22" x14ac:dyDescent="0.3">
      <c r="C750" s="21"/>
      <c r="D750" s="1"/>
      <c r="E750" s="1"/>
      <c r="F750" s="1"/>
      <c r="G750" s="1"/>
      <c r="H750" s="1"/>
      <c r="I750" s="1"/>
      <c r="J750" s="1"/>
      <c r="L750" s="85"/>
      <c r="M750" s="85"/>
      <c r="N750" s="85"/>
      <c r="O750" s="85"/>
      <c r="P750" s="85"/>
      <c r="Q750" s="85"/>
      <c r="R750" s="85"/>
      <c r="S750" s="85"/>
      <c r="T750" s="85"/>
      <c r="U750" s="1"/>
      <c r="V750" s="1"/>
    </row>
    <row r="751" spans="3:22" x14ac:dyDescent="0.3">
      <c r="C751" s="21"/>
      <c r="D751" s="1"/>
      <c r="E751" s="1"/>
      <c r="F751" s="1"/>
      <c r="G751" s="1"/>
      <c r="H751" s="1"/>
      <c r="I751" s="1"/>
      <c r="J751" s="1"/>
      <c r="L751" s="85"/>
      <c r="M751" s="85"/>
      <c r="N751" s="85"/>
      <c r="O751" s="85"/>
      <c r="P751" s="85"/>
      <c r="Q751" s="85"/>
      <c r="R751" s="85"/>
      <c r="S751" s="85"/>
      <c r="T751" s="85"/>
      <c r="U751" s="1"/>
      <c r="V751" s="1"/>
    </row>
    <row r="752" spans="3:22" x14ac:dyDescent="0.3">
      <c r="C752" s="21"/>
      <c r="D752" s="1"/>
      <c r="E752" s="1"/>
      <c r="F752" s="1"/>
      <c r="G752" s="1"/>
      <c r="H752" s="1"/>
      <c r="I752" s="1"/>
      <c r="J752" s="1"/>
      <c r="L752" s="85"/>
      <c r="M752" s="85"/>
      <c r="N752" s="85"/>
      <c r="O752" s="85"/>
      <c r="P752" s="85"/>
      <c r="Q752" s="85"/>
      <c r="R752" s="85"/>
      <c r="S752" s="85"/>
      <c r="T752" s="85"/>
      <c r="U752" s="1"/>
      <c r="V752" s="1"/>
    </row>
    <row r="753" spans="3:22" x14ac:dyDescent="0.3">
      <c r="C753" s="21"/>
      <c r="D753" s="1"/>
      <c r="E753" s="1"/>
      <c r="F753" s="1"/>
      <c r="G753" s="1"/>
      <c r="H753" s="1"/>
      <c r="I753" s="1"/>
      <c r="J753" s="1"/>
      <c r="L753" s="85"/>
      <c r="M753" s="85"/>
      <c r="N753" s="85"/>
      <c r="O753" s="85"/>
      <c r="P753" s="85"/>
      <c r="Q753" s="85"/>
      <c r="R753" s="85"/>
      <c r="S753" s="85"/>
      <c r="T753" s="85"/>
      <c r="U753" s="1"/>
      <c r="V753" s="1"/>
    </row>
    <row r="754" spans="3:22" x14ac:dyDescent="0.3">
      <c r="C754" s="21"/>
      <c r="D754" s="1"/>
      <c r="E754" s="1"/>
      <c r="F754" s="1"/>
      <c r="G754" s="1"/>
      <c r="H754" s="1"/>
      <c r="I754" s="1"/>
      <c r="J754" s="1"/>
      <c r="L754" s="85"/>
      <c r="M754" s="85"/>
      <c r="N754" s="85"/>
      <c r="O754" s="85"/>
      <c r="P754" s="85"/>
      <c r="Q754" s="85"/>
      <c r="R754" s="85"/>
      <c r="S754" s="85"/>
      <c r="T754" s="85"/>
      <c r="U754" s="1"/>
      <c r="V754" s="1"/>
    </row>
    <row r="755" spans="3:22" x14ac:dyDescent="0.3">
      <c r="C755" s="21"/>
      <c r="D755" s="1"/>
      <c r="E755" s="1"/>
      <c r="F755" s="1"/>
      <c r="G755" s="1"/>
      <c r="H755" s="1"/>
      <c r="I755" s="1"/>
      <c r="J755" s="1"/>
      <c r="L755" s="85"/>
      <c r="M755" s="85"/>
      <c r="N755" s="85"/>
      <c r="O755" s="85"/>
      <c r="P755" s="85"/>
      <c r="Q755" s="85"/>
      <c r="R755" s="85"/>
      <c r="S755" s="85"/>
      <c r="T755" s="85"/>
      <c r="U755" s="1"/>
      <c r="V755" s="1"/>
    </row>
    <row r="756" spans="3:22" x14ac:dyDescent="0.3">
      <c r="C756" s="21"/>
      <c r="D756" s="1"/>
      <c r="E756" s="1"/>
      <c r="F756" s="1"/>
      <c r="G756" s="1"/>
      <c r="H756" s="1"/>
      <c r="I756" s="1"/>
      <c r="J756" s="1"/>
      <c r="L756" s="85"/>
      <c r="M756" s="85"/>
      <c r="N756" s="85"/>
      <c r="O756" s="85"/>
      <c r="P756" s="85"/>
      <c r="Q756" s="85"/>
      <c r="R756" s="85"/>
      <c r="S756" s="85"/>
      <c r="T756" s="85"/>
      <c r="U756" s="1"/>
      <c r="V756" s="1"/>
    </row>
    <row r="757" spans="3:22" x14ac:dyDescent="0.3">
      <c r="C757" s="21"/>
      <c r="D757" s="1"/>
      <c r="E757" s="1"/>
      <c r="F757" s="1"/>
      <c r="G757" s="1"/>
      <c r="H757" s="1"/>
      <c r="I757" s="1"/>
      <c r="J757" s="1"/>
      <c r="L757" s="85"/>
      <c r="M757" s="85"/>
      <c r="N757" s="85"/>
      <c r="O757" s="85"/>
      <c r="P757" s="85"/>
      <c r="Q757" s="85"/>
      <c r="R757" s="85"/>
      <c r="S757" s="85"/>
      <c r="T757" s="85"/>
      <c r="U757" s="1"/>
      <c r="V757" s="1"/>
    </row>
    <row r="758" spans="3:22" x14ac:dyDescent="0.3">
      <c r="C758" s="21"/>
      <c r="D758" s="1"/>
      <c r="E758" s="1"/>
      <c r="F758" s="1"/>
      <c r="G758" s="1"/>
      <c r="H758" s="1"/>
      <c r="I758" s="1"/>
      <c r="J758" s="1"/>
      <c r="L758" s="85"/>
      <c r="M758" s="85"/>
      <c r="N758" s="85"/>
      <c r="O758" s="85"/>
      <c r="P758" s="85"/>
      <c r="Q758" s="85"/>
      <c r="R758" s="85"/>
      <c r="S758" s="85"/>
      <c r="T758" s="85"/>
      <c r="U758" s="1"/>
      <c r="V758" s="1"/>
    </row>
    <row r="759" spans="3:22" x14ac:dyDescent="0.3">
      <c r="C759" s="21"/>
      <c r="D759" s="1"/>
      <c r="E759" s="1"/>
      <c r="F759" s="1"/>
      <c r="G759" s="1"/>
      <c r="H759" s="1"/>
      <c r="I759" s="1"/>
      <c r="J759" s="1"/>
      <c r="L759" s="85"/>
      <c r="M759" s="85"/>
      <c r="N759" s="85"/>
      <c r="O759" s="85"/>
      <c r="P759" s="85"/>
      <c r="Q759" s="85"/>
      <c r="R759" s="85"/>
      <c r="S759" s="85"/>
      <c r="T759" s="85"/>
      <c r="U759" s="1"/>
      <c r="V759" s="1"/>
    </row>
    <row r="760" spans="3:22" x14ac:dyDescent="0.3">
      <c r="C760" s="21"/>
      <c r="D760" s="1"/>
      <c r="E760" s="1"/>
      <c r="F760" s="1"/>
      <c r="G760" s="1"/>
      <c r="H760" s="1"/>
      <c r="I760" s="1"/>
      <c r="J760" s="1"/>
      <c r="L760" s="85"/>
      <c r="M760" s="85"/>
      <c r="N760" s="85"/>
      <c r="O760" s="85"/>
      <c r="P760" s="85"/>
      <c r="Q760" s="85"/>
      <c r="R760" s="85"/>
      <c r="S760" s="85"/>
      <c r="T760" s="85"/>
      <c r="U760" s="1"/>
      <c r="V760" s="1"/>
    </row>
    <row r="761" spans="3:22" x14ac:dyDescent="0.3">
      <c r="C761" s="21"/>
      <c r="D761" s="1"/>
      <c r="E761" s="1"/>
      <c r="F761" s="1"/>
      <c r="G761" s="1"/>
      <c r="H761" s="1"/>
      <c r="I761" s="1"/>
      <c r="J761" s="1"/>
      <c r="L761" s="85"/>
      <c r="M761" s="85"/>
      <c r="N761" s="85"/>
      <c r="O761" s="85"/>
      <c r="P761" s="85"/>
      <c r="Q761" s="85"/>
      <c r="R761" s="85"/>
      <c r="S761" s="85"/>
      <c r="T761" s="85"/>
      <c r="U761" s="1"/>
      <c r="V761" s="1"/>
    </row>
    <row r="762" spans="3:22" x14ac:dyDescent="0.3">
      <c r="C762" s="21"/>
      <c r="D762" s="1"/>
      <c r="E762" s="1"/>
      <c r="F762" s="1"/>
      <c r="G762" s="1"/>
      <c r="H762" s="1"/>
      <c r="I762" s="1"/>
      <c r="J762" s="1"/>
      <c r="L762" s="85"/>
      <c r="M762" s="85"/>
      <c r="N762" s="85"/>
      <c r="O762" s="85"/>
      <c r="P762" s="85"/>
      <c r="Q762" s="85"/>
      <c r="R762" s="85"/>
      <c r="S762" s="85"/>
      <c r="T762" s="85"/>
      <c r="U762" s="1"/>
      <c r="V762" s="1"/>
    </row>
    <row r="763" spans="3:22" x14ac:dyDescent="0.3">
      <c r="C763" s="21"/>
      <c r="D763" s="1"/>
      <c r="E763" s="1"/>
      <c r="F763" s="1"/>
      <c r="G763" s="1"/>
      <c r="H763" s="1"/>
      <c r="I763" s="1"/>
      <c r="J763" s="1"/>
      <c r="L763" s="85"/>
      <c r="M763" s="85"/>
      <c r="N763" s="85"/>
      <c r="O763" s="85"/>
      <c r="P763" s="85"/>
      <c r="Q763" s="85"/>
      <c r="R763" s="85"/>
      <c r="S763" s="85"/>
      <c r="T763" s="85"/>
      <c r="U763" s="1"/>
      <c r="V763" s="1"/>
    </row>
    <row r="764" spans="3:22" x14ac:dyDescent="0.3">
      <c r="C764" s="21"/>
      <c r="D764" s="1"/>
      <c r="E764" s="1"/>
      <c r="F764" s="1"/>
      <c r="G764" s="1"/>
      <c r="H764" s="1"/>
      <c r="I764" s="1"/>
      <c r="J764" s="1"/>
      <c r="L764" s="85"/>
      <c r="M764" s="85"/>
      <c r="N764" s="85"/>
      <c r="O764" s="85"/>
      <c r="P764" s="85"/>
      <c r="Q764" s="85"/>
      <c r="R764" s="85"/>
      <c r="S764" s="85"/>
      <c r="T764" s="85"/>
      <c r="U764" s="1"/>
      <c r="V764" s="1"/>
    </row>
    <row r="765" spans="3:22" x14ac:dyDescent="0.3">
      <c r="C765" s="21"/>
      <c r="D765" s="1"/>
      <c r="E765" s="1"/>
      <c r="F765" s="1"/>
      <c r="G765" s="1"/>
      <c r="H765" s="1"/>
      <c r="I765" s="1"/>
      <c r="J765" s="1"/>
      <c r="L765" s="85"/>
      <c r="M765" s="85"/>
      <c r="N765" s="85"/>
      <c r="O765" s="85"/>
      <c r="P765" s="85"/>
      <c r="Q765" s="85"/>
      <c r="R765" s="85"/>
      <c r="S765" s="85"/>
      <c r="T765" s="85"/>
      <c r="U765" s="1"/>
      <c r="V765" s="1"/>
    </row>
    <row r="766" spans="3:22" x14ac:dyDescent="0.3">
      <c r="C766" s="21"/>
      <c r="D766" s="1"/>
      <c r="E766" s="1"/>
      <c r="F766" s="1"/>
      <c r="G766" s="1"/>
      <c r="H766" s="1"/>
      <c r="I766" s="1"/>
      <c r="J766" s="1"/>
      <c r="L766" s="85"/>
      <c r="M766" s="85"/>
      <c r="N766" s="85"/>
      <c r="O766" s="85"/>
      <c r="P766" s="85"/>
      <c r="Q766" s="85"/>
      <c r="R766" s="85"/>
      <c r="S766" s="85"/>
      <c r="T766" s="85"/>
      <c r="U766" s="1"/>
      <c r="V766" s="1"/>
    </row>
    <row r="767" spans="3:22" x14ac:dyDescent="0.3">
      <c r="C767" s="21"/>
      <c r="D767" s="1"/>
      <c r="E767" s="1"/>
      <c r="F767" s="1"/>
      <c r="G767" s="1"/>
      <c r="H767" s="1"/>
      <c r="I767" s="1"/>
      <c r="J767" s="1"/>
      <c r="L767" s="85"/>
      <c r="M767" s="85"/>
      <c r="N767" s="85"/>
      <c r="O767" s="85"/>
      <c r="P767" s="85"/>
      <c r="Q767" s="85"/>
      <c r="R767" s="85"/>
      <c r="S767" s="85"/>
      <c r="T767" s="85"/>
      <c r="U767" s="1"/>
      <c r="V767" s="1"/>
    </row>
    <row r="768" spans="3:22" x14ac:dyDescent="0.3">
      <c r="C768" s="21"/>
      <c r="D768" s="1"/>
      <c r="E768" s="1"/>
      <c r="F768" s="1"/>
      <c r="G768" s="1"/>
      <c r="H768" s="1"/>
      <c r="I768" s="1"/>
      <c r="J768" s="1"/>
      <c r="L768" s="85"/>
      <c r="M768" s="85"/>
      <c r="N768" s="85"/>
      <c r="O768" s="85"/>
      <c r="P768" s="85"/>
      <c r="Q768" s="85"/>
      <c r="R768" s="85"/>
      <c r="S768" s="85"/>
      <c r="T768" s="85"/>
      <c r="U768" s="1"/>
      <c r="V768" s="1"/>
    </row>
    <row r="769" spans="3:22" x14ac:dyDescent="0.3">
      <c r="C769" s="21"/>
      <c r="D769" s="1"/>
      <c r="E769" s="1"/>
      <c r="F769" s="1"/>
      <c r="G769" s="1"/>
      <c r="H769" s="1"/>
      <c r="I769" s="1"/>
      <c r="J769" s="1"/>
      <c r="L769" s="85"/>
      <c r="M769" s="85"/>
      <c r="N769" s="85"/>
      <c r="O769" s="85"/>
      <c r="P769" s="85"/>
      <c r="Q769" s="85"/>
      <c r="R769" s="85"/>
      <c r="S769" s="85"/>
      <c r="T769" s="85"/>
      <c r="U769" s="1"/>
      <c r="V769" s="1"/>
    </row>
    <row r="770" spans="3:22" x14ac:dyDescent="0.3">
      <c r="C770" s="21"/>
      <c r="D770" s="1"/>
      <c r="E770" s="1"/>
      <c r="F770" s="1"/>
      <c r="G770" s="1"/>
      <c r="H770" s="1"/>
      <c r="I770" s="1"/>
      <c r="J770" s="1"/>
      <c r="L770" s="85"/>
      <c r="M770" s="85"/>
      <c r="N770" s="85"/>
      <c r="O770" s="85"/>
      <c r="P770" s="85"/>
      <c r="Q770" s="85"/>
      <c r="R770" s="85"/>
      <c r="S770" s="85"/>
      <c r="T770" s="85"/>
      <c r="U770" s="1"/>
      <c r="V770" s="1"/>
    </row>
    <row r="771" spans="3:22" x14ac:dyDescent="0.3">
      <c r="C771" s="21"/>
      <c r="D771" s="1"/>
      <c r="E771" s="1"/>
      <c r="F771" s="1"/>
      <c r="G771" s="1"/>
      <c r="H771" s="1"/>
      <c r="I771" s="1"/>
      <c r="J771" s="1"/>
      <c r="L771" s="85"/>
      <c r="M771" s="85"/>
      <c r="N771" s="85"/>
      <c r="O771" s="85"/>
      <c r="P771" s="85"/>
      <c r="Q771" s="85"/>
      <c r="R771" s="85"/>
      <c r="S771" s="85"/>
      <c r="T771" s="85"/>
      <c r="U771" s="1"/>
      <c r="V771" s="1"/>
    </row>
    <row r="772" spans="3:22" x14ac:dyDescent="0.3">
      <c r="C772" s="21"/>
      <c r="D772" s="1"/>
      <c r="E772" s="1"/>
      <c r="F772" s="1"/>
      <c r="G772" s="1"/>
      <c r="H772" s="1"/>
      <c r="I772" s="1"/>
      <c r="J772" s="1"/>
      <c r="L772" s="85"/>
      <c r="M772" s="85"/>
      <c r="N772" s="85"/>
      <c r="O772" s="85"/>
      <c r="P772" s="85"/>
      <c r="Q772" s="85"/>
      <c r="R772" s="85"/>
      <c r="S772" s="85"/>
      <c r="T772" s="85"/>
      <c r="U772" s="1"/>
      <c r="V772" s="1"/>
    </row>
    <row r="773" spans="3:22" x14ac:dyDescent="0.3">
      <c r="C773" s="21"/>
      <c r="D773" s="1"/>
      <c r="E773" s="1"/>
      <c r="F773" s="1"/>
      <c r="G773" s="1"/>
      <c r="H773" s="1"/>
      <c r="I773" s="1"/>
      <c r="J773" s="1"/>
      <c r="L773" s="85"/>
      <c r="M773" s="85"/>
      <c r="N773" s="85"/>
      <c r="O773" s="85"/>
      <c r="P773" s="85"/>
      <c r="Q773" s="85"/>
      <c r="R773" s="85"/>
      <c r="S773" s="85"/>
      <c r="T773" s="85"/>
      <c r="U773" s="1"/>
      <c r="V773" s="1"/>
    </row>
    <row r="774" spans="3:22" x14ac:dyDescent="0.3">
      <c r="C774" s="21"/>
      <c r="D774" s="1"/>
      <c r="E774" s="1"/>
      <c r="F774" s="1"/>
      <c r="G774" s="1"/>
      <c r="H774" s="1"/>
      <c r="I774" s="1"/>
      <c r="J774" s="1"/>
      <c r="L774" s="85"/>
      <c r="M774" s="85"/>
      <c r="N774" s="85"/>
      <c r="O774" s="85"/>
      <c r="P774" s="85"/>
      <c r="Q774" s="85"/>
      <c r="R774" s="85"/>
      <c r="S774" s="85"/>
      <c r="T774" s="85"/>
      <c r="U774" s="1"/>
      <c r="V774" s="1"/>
    </row>
    <row r="775" spans="3:22" x14ac:dyDescent="0.3">
      <c r="C775" s="21"/>
      <c r="D775" s="1"/>
      <c r="E775" s="1"/>
      <c r="F775" s="1"/>
      <c r="G775" s="1"/>
      <c r="H775" s="1"/>
      <c r="I775" s="1"/>
      <c r="J775" s="1"/>
      <c r="L775" s="85"/>
      <c r="M775" s="85"/>
      <c r="N775" s="85"/>
      <c r="O775" s="85"/>
      <c r="P775" s="85"/>
      <c r="Q775" s="85"/>
      <c r="R775" s="85"/>
      <c r="S775" s="85"/>
      <c r="T775" s="85"/>
      <c r="U775" s="1"/>
      <c r="V775" s="1"/>
    </row>
    <row r="776" spans="3:22" x14ac:dyDescent="0.3">
      <c r="C776" s="21"/>
      <c r="D776" s="1"/>
      <c r="E776" s="1"/>
      <c r="F776" s="1"/>
      <c r="G776" s="1"/>
      <c r="H776" s="1"/>
      <c r="I776" s="1"/>
      <c r="J776" s="1"/>
      <c r="L776" s="85"/>
      <c r="M776" s="85"/>
      <c r="N776" s="85"/>
      <c r="O776" s="85"/>
      <c r="P776" s="85"/>
      <c r="Q776" s="85"/>
      <c r="R776" s="85"/>
      <c r="S776" s="85"/>
      <c r="T776" s="85"/>
      <c r="U776" s="1"/>
      <c r="V776" s="1"/>
    </row>
    <row r="777" spans="3:22" x14ac:dyDescent="0.3">
      <c r="C777" s="21"/>
      <c r="D777" s="1"/>
      <c r="E777" s="1"/>
      <c r="F777" s="1"/>
      <c r="G777" s="1"/>
      <c r="H777" s="1"/>
      <c r="I777" s="1"/>
      <c r="J777" s="1"/>
      <c r="L777" s="85"/>
      <c r="M777" s="85"/>
      <c r="N777" s="85"/>
      <c r="O777" s="85"/>
      <c r="P777" s="85"/>
      <c r="Q777" s="85"/>
      <c r="R777" s="85"/>
      <c r="S777" s="85"/>
      <c r="T777" s="85"/>
      <c r="U777" s="1"/>
      <c r="V777" s="1"/>
    </row>
    <row r="778" spans="3:22" x14ac:dyDescent="0.3">
      <c r="C778" s="21"/>
      <c r="D778" s="1"/>
      <c r="E778" s="1"/>
      <c r="F778" s="1"/>
      <c r="G778" s="1"/>
      <c r="H778" s="1"/>
      <c r="I778" s="1"/>
      <c r="J778" s="1"/>
      <c r="L778" s="85"/>
      <c r="M778" s="85"/>
      <c r="N778" s="85"/>
      <c r="O778" s="85"/>
      <c r="P778" s="85"/>
      <c r="Q778" s="85"/>
      <c r="R778" s="85"/>
      <c r="S778" s="85"/>
      <c r="T778" s="85"/>
      <c r="U778" s="1"/>
      <c r="V778" s="1"/>
    </row>
    <row r="779" spans="3:22" x14ac:dyDescent="0.3">
      <c r="C779" s="21"/>
      <c r="D779" s="1"/>
      <c r="E779" s="1"/>
      <c r="F779" s="1"/>
      <c r="G779" s="1"/>
      <c r="H779" s="1"/>
      <c r="I779" s="1"/>
      <c r="J779" s="1"/>
      <c r="L779" s="85"/>
      <c r="M779" s="85"/>
      <c r="N779" s="85"/>
      <c r="O779" s="85"/>
      <c r="P779" s="85"/>
      <c r="Q779" s="85"/>
      <c r="R779" s="85"/>
      <c r="S779" s="85"/>
      <c r="T779" s="85"/>
      <c r="U779" s="1"/>
      <c r="V779" s="1"/>
    </row>
    <row r="780" spans="3:22" x14ac:dyDescent="0.3">
      <c r="C780" s="21"/>
      <c r="D780" s="1"/>
      <c r="E780" s="1"/>
      <c r="F780" s="1"/>
      <c r="G780" s="1"/>
      <c r="H780" s="1"/>
      <c r="I780" s="1"/>
      <c r="J780" s="1"/>
      <c r="L780" s="85"/>
      <c r="M780" s="85"/>
      <c r="N780" s="85"/>
      <c r="O780" s="85"/>
      <c r="P780" s="85"/>
      <c r="Q780" s="85"/>
      <c r="R780" s="85"/>
      <c r="S780" s="85"/>
      <c r="T780" s="85"/>
      <c r="U780" s="1"/>
      <c r="V780" s="1"/>
    </row>
    <row r="781" spans="3:22" x14ac:dyDescent="0.3">
      <c r="C781" s="21"/>
      <c r="D781" s="1"/>
      <c r="E781" s="1"/>
      <c r="F781" s="1"/>
      <c r="G781" s="1"/>
      <c r="H781" s="1"/>
      <c r="I781" s="1"/>
      <c r="J781" s="1"/>
      <c r="L781" s="85"/>
      <c r="M781" s="85"/>
      <c r="N781" s="85"/>
      <c r="O781" s="85"/>
      <c r="P781" s="85"/>
      <c r="Q781" s="85"/>
      <c r="R781" s="85"/>
      <c r="S781" s="85"/>
      <c r="T781" s="85"/>
      <c r="U781" s="1"/>
      <c r="V781" s="1"/>
    </row>
    <row r="782" spans="3:22" x14ac:dyDescent="0.3">
      <c r="C782" s="21"/>
      <c r="D782" s="1"/>
      <c r="E782" s="1"/>
      <c r="F782" s="1"/>
      <c r="G782" s="1"/>
      <c r="H782" s="1"/>
      <c r="I782" s="1"/>
      <c r="J782" s="1"/>
      <c r="L782" s="85"/>
      <c r="M782" s="85"/>
      <c r="N782" s="85"/>
      <c r="O782" s="85"/>
      <c r="P782" s="85"/>
      <c r="Q782" s="85"/>
      <c r="R782" s="85"/>
      <c r="S782" s="85"/>
      <c r="T782" s="85"/>
      <c r="U782" s="1"/>
      <c r="V782" s="1"/>
    </row>
    <row r="783" spans="3:22" x14ac:dyDescent="0.3">
      <c r="C783" s="21"/>
      <c r="D783" s="1"/>
      <c r="E783" s="1"/>
      <c r="F783" s="1"/>
      <c r="G783" s="1"/>
      <c r="H783" s="1"/>
      <c r="I783" s="1"/>
      <c r="J783" s="1"/>
      <c r="L783" s="85"/>
      <c r="M783" s="85"/>
      <c r="N783" s="85"/>
      <c r="O783" s="85"/>
      <c r="P783" s="85"/>
      <c r="Q783" s="85"/>
      <c r="R783" s="85"/>
      <c r="S783" s="85"/>
      <c r="T783" s="85"/>
      <c r="U783" s="1"/>
      <c r="V783" s="1"/>
    </row>
    <row r="784" spans="3:22" x14ac:dyDescent="0.3">
      <c r="C784" s="21"/>
      <c r="D784" s="1"/>
      <c r="E784" s="1"/>
      <c r="F784" s="1"/>
      <c r="G784" s="1"/>
      <c r="H784" s="1"/>
      <c r="I784" s="1"/>
      <c r="J784" s="1"/>
      <c r="L784" s="85"/>
      <c r="M784" s="85"/>
      <c r="N784" s="85"/>
      <c r="O784" s="85"/>
      <c r="P784" s="85"/>
      <c r="Q784" s="85"/>
      <c r="R784" s="85"/>
      <c r="S784" s="85"/>
      <c r="T784" s="85"/>
      <c r="U784" s="1"/>
      <c r="V784" s="1"/>
    </row>
    <row r="785" spans="3:22" x14ac:dyDescent="0.3">
      <c r="C785" s="21"/>
      <c r="D785" s="1"/>
      <c r="E785" s="1"/>
      <c r="F785" s="1"/>
      <c r="G785" s="1"/>
      <c r="H785" s="1"/>
      <c r="I785" s="1"/>
      <c r="J785" s="1"/>
      <c r="L785" s="85"/>
      <c r="M785" s="85"/>
      <c r="N785" s="85"/>
      <c r="O785" s="85"/>
      <c r="P785" s="85"/>
      <c r="Q785" s="85"/>
      <c r="R785" s="85"/>
      <c r="S785" s="85"/>
      <c r="T785" s="85"/>
      <c r="U785" s="1"/>
      <c r="V785" s="1"/>
    </row>
    <row r="786" spans="3:22" x14ac:dyDescent="0.3">
      <c r="C786" s="21"/>
      <c r="D786" s="1"/>
      <c r="E786" s="1"/>
      <c r="F786" s="1"/>
      <c r="G786" s="1"/>
      <c r="H786" s="1"/>
      <c r="I786" s="1"/>
      <c r="J786" s="1"/>
      <c r="L786" s="85"/>
      <c r="M786" s="85"/>
      <c r="N786" s="85"/>
      <c r="O786" s="85"/>
      <c r="P786" s="85"/>
      <c r="Q786" s="85"/>
      <c r="R786" s="85"/>
      <c r="S786" s="85"/>
      <c r="T786" s="85"/>
      <c r="U786" s="1"/>
      <c r="V786" s="1"/>
    </row>
    <row r="787" spans="3:22" x14ac:dyDescent="0.3">
      <c r="C787" s="21"/>
      <c r="D787" s="1"/>
      <c r="E787" s="1"/>
      <c r="F787" s="1"/>
      <c r="G787" s="1"/>
      <c r="H787" s="1"/>
      <c r="I787" s="1"/>
      <c r="J787" s="1"/>
      <c r="L787" s="85"/>
      <c r="M787" s="85"/>
      <c r="N787" s="85"/>
      <c r="O787" s="85"/>
      <c r="P787" s="85"/>
      <c r="Q787" s="85"/>
      <c r="R787" s="85"/>
      <c r="S787" s="85"/>
      <c r="T787" s="85"/>
      <c r="U787" s="1"/>
      <c r="V787" s="1"/>
    </row>
    <row r="788" spans="3:22" x14ac:dyDescent="0.3">
      <c r="C788" s="21"/>
      <c r="D788" s="1"/>
      <c r="E788" s="1"/>
      <c r="F788" s="1"/>
      <c r="G788" s="1"/>
      <c r="H788" s="1"/>
      <c r="I788" s="1"/>
      <c r="J788" s="1"/>
      <c r="L788" s="85"/>
      <c r="M788" s="85"/>
      <c r="N788" s="85"/>
      <c r="O788" s="85"/>
      <c r="P788" s="85"/>
      <c r="Q788" s="85"/>
      <c r="R788" s="85"/>
      <c r="S788" s="85"/>
      <c r="T788" s="85"/>
      <c r="U788" s="1"/>
      <c r="V788" s="1"/>
    </row>
    <row r="789" spans="3:22" x14ac:dyDescent="0.3">
      <c r="C789" s="21"/>
      <c r="D789" s="1"/>
      <c r="E789" s="1"/>
      <c r="F789" s="1"/>
      <c r="G789" s="1"/>
      <c r="H789" s="1"/>
      <c r="I789" s="1"/>
      <c r="J789" s="1"/>
      <c r="L789" s="85"/>
      <c r="M789" s="85"/>
      <c r="N789" s="85"/>
      <c r="O789" s="85"/>
      <c r="P789" s="85"/>
      <c r="Q789" s="85"/>
      <c r="R789" s="85"/>
      <c r="S789" s="85"/>
      <c r="T789" s="85"/>
      <c r="U789" s="1"/>
      <c r="V789" s="1"/>
    </row>
    <row r="790" spans="3:22" x14ac:dyDescent="0.3">
      <c r="C790" s="21"/>
      <c r="D790" s="1"/>
      <c r="E790" s="1"/>
      <c r="F790" s="1"/>
      <c r="G790" s="1"/>
      <c r="H790" s="1"/>
      <c r="I790" s="1"/>
      <c r="J790" s="1"/>
      <c r="L790" s="85"/>
      <c r="M790" s="85"/>
      <c r="N790" s="85"/>
      <c r="O790" s="85"/>
      <c r="P790" s="85"/>
      <c r="Q790" s="85"/>
      <c r="R790" s="85"/>
      <c r="S790" s="85"/>
      <c r="T790" s="85"/>
      <c r="U790" s="1"/>
      <c r="V790" s="1"/>
    </row>
    <row r="791" spans="3:22" x14ac:dyDescent="0.3">
      <c r="C791" s="21"/>
      <c r="D791" s="1"/>
      <c r="E791" s="1"/>
      <c r="F791" s="1"/>
      <c r="G791" s="1"/>
      <c r="H791" s="1"/>
      <c r="I791" s="1"/>
      <c r="J791" s="25"/>
      <c r="K791" s="81"/>
      <c r="L791" s="85"/>
      <c r="M791" s="85"/>
      <c r="N791" s="85"/>
      <c r="O791" s="85"/>
      <c r="P791" s="85"/>
      <c r="Q791" s="85"/>
      <c r="R791" s="85"/>
      <c r="S791" s="85"/>
      <c r="T791" s="85"/>
      <c r="U791" s="1"/>
      <c r="V791" s="1"/>
    </row>
    <row r="792" spans="3:22" x14ac:dyDescent="0.3">
      <c r="C792" s="21"/>
      <c r="D792" s="1"/>
      <c r="E792" s="1"/>
      <c r="F792" s="1"/>
      <c r="G792" s="1"/>
      <c r="H792" s="1"/>
      <c r="I792" s="1"/>
      <c r="J792" s="25"/>
      <c r="K792" s="81"/>
      <c r="L792" s="85"/>
      <c r="M792" s="85"/>
      <c r="N792" s="85"/>
      <c r="O792" s="85"/>
      <c r="P792" s="85"/>
      <c r="Q792" s="85"/>
      <c r="R792" s="85"/>
      <c r="S792" s="85"/>
      <c r="T792" s="85"/>
      <c r="U792" s="1"/>
      <c r="V792" s="1"/>
    </row>
    <row r="793" spans="3:22" x14ac:dyDescent="0.3">
      <c r="C793" s="21"/>
      <c r="D793" s="1"/>
      <c r="E793" s="1"/>
      <c r="F793" s="1"/>
      <c r="G793" s="1"/>
      <c r="H793" s="1"/>
      <c r="I793" s="1"/>
      <c r="J793" s="25"/>
      <c r="K793" s="81"/>
      <c r="L793" s="85"/>
      <c r="M793" s="85"/>
      <c r="N793" s="85"/>
      <c r="O793" s="85"/>
      <c r="P793" s="85"/>
      <c r="Q793" s="85"/>
      <c r="R793" s="85"/>
      <c r="S793" s="85"/>
      <c r="T793" s="85"/>
      <c r="U793" s="1"/>
      <c r="V793" s="1"/>
    </row>
    <row r="794" spans="3:22" x14ac:dyDescent="0.3">
      <c r="C794" s="21"/>
      <c r="D794" s="1"/>
      <c r="E794" s="1"/>
      <c r="F794" s="1"/>
      <c r="G794" s="1"/>
      <c r="H794" s="1"/>
      <c r="I794" s="1"/>
      <c r="J794" s="25"/>
      <c r="K794" s="81"/>
      <c r="L794" s="85"/>
      <c r="M794" s="85"/>
      <c r="N794" s="85"/>
      <c r="O794" s="85"/>
      <c r="P794" s="85"/>
      <c r="Q794" s="85"/>
      <c r="R794" s="85"/>
      <c r="S794" s="85"/>
      <c r="T794" s="85"/>
      <c r="U794" s="1"/>
      <c r="V794" s="1"/>
    </row>
    <row r="795" spans="3:22" x14ac:dyDescent="0.3">
      <c r="C795" s="21"/>
      <c r="D795" s="1"/>
      <c r="E795" s="1"/>
      <c r="F795" s="1"/>
      <c r="G795" s="1"/>
      <c r="H795" s="1"/>
      <c r="I795" s="1"/>
      <c r="J795" s="25"/>
      <c r="K795" s="81"/>
      <c r="L795" s="85"/>
      <c r="M795" s="85"/>
      <c r="N795" s="85"/>
      <c r="O795" s="85"/>
      <c r="P795" s="85"/>
      <c r="Q795" s="85"/>
      <c r="R795" s="85"/>
      <c r="S795" s="85"/>
      <c r="T795" s="85"/>
      <c r="U795" s="1"/>
      <c r="V795" s="1"/>
    </row>
    <row r="796" spans="3:22" x14ac:dyDescent="0.3">
      <c r="C796" s="21"/>
      <c r="D796" s="1"/>
      <c r="E796" s="1"/>
      <c r="F796" s="1"/>
      <c r="G796" s="1"/>
      <c r="H796" s="1"/>
      <c r="I796" s="1"/>
      <c r="J796" s="25"/>
      <c r="K796" s="81"/>
      <c r="L796" s="85"/>
      <c r="M796" s="85"/>
      <c r="N796" s="85"/>
      <c r="O796" s="85"/>
      <c r="P796" s="85"/>
      <c r="Q796" s="85"/>
      <c r="R796" s="85"/>
      <c r="S796" s="85"/>
      <c r="T796" s="85"/>
      <c r="U796" s="1"/>
      <c r="V796" s="1"/>
    </row>
    <row r="797" spans="3:22" x14ac:dyDescent="0.3">
      <c r="C797" s="21"/>
      <c r="D797" s="1"/>
      <c r="E797" s="1"/>
      <c r="F797" s="1"/>
      <c r="G797" s="1"/>
      <c r="H797" s="1"/>
      <c r="I797" s="1"/>
      <c r="J797" s="25"/>
      <c r="K797" s="81"/>
      <c r="L797" s="85"/>
      <c r="M797" s="85"/>
      <c r="N797" s="85"/>
      <c r="O797" s="85"/>
      <c r="P797" s="85"/>
      <c r="Q797" s="85"/>
      <c r="R797" s="85"/>
      <c r="S797" s="85"/>
      <c r="T797" s="85"/>
      <c r="U797" s="1"/>
      <c r="V797" s="1"/>
    </row>
    <row r="798" spans="3:22" x14ac:dyDescent="0.3">
      <c r="C798" s="21"/>
      <c r="D798" s="1"/>
      <c r="E798" s="1"/>
      <c r="F798" s="1"/>
      <c r="G798" s="1"/>
      <c r="H798" s="1"/>
      <c r="I798" s="1"/>
      <c r="J798" s="1"/>
      <c r="L798" s="85"/>
      <c r="M798" s="85"/>
      <c r="N798" s="85"/>
      <c r="O798" s="85"/>
      <c r="P798" s="85"/>
      <c r="Q798" s="85"/>
      <c r="R798" s="85"/>
      <c r="S798" s="85"/>
      <c r="T798" s="85"/>
      <c r="U798" s="1"/>
      <c r="V798" s="1"/>
    </row>
    <row r="799" spans="3:22" x14ac:dyDescent="0.3">
      <c r="C799" s="21"/>
      <c r="D799" s="1"/>
      <c r="E799" s="1"/>
      <c r="F799" s="1"/>
      <c r="G799" s="1"/>
      <c r="H799" s="1"/>
      <c r="I799" s="1"/>
      <c r="J799" s="1"/>
      <c r="L799" s="85"/>
      <c r="M799" s="85"/>
      <c r="N799" s="85"/>
      <c r="O799" s="85"/>
      <c r="P799" s="85"/>
      <c r="Q799" s="85"/>
      <c r="R799" s="85"/>
      <c r="S799" s="85"/>
      <c r="T799" s="85"/>
      <c r="U799" s="1"/>
      <c r="V799" s="1"/>
    </row>
    <row r="800" spans="3:22" x14ac:dyDescent="0.3">
      <c r="C800" s="21"/>
      <c r="D800" s="1"/>
      <c r="E800" s="1"/>
      <c r="F800" s="1"/>
      <c r="G800" s="1"/>
      <c r="H800" s="1"/>
      <c r="I800" s="1"/>
      <c r="J800" s="1"/>
      <c r="L800" s="85"/>
      <c r="M800" s="85"/>
      <c r="N800" s="85"/>
      <c r="O800" s="85"/>
      <c r="P800" s="85"/>
      <c r="Q800" s="85"/>
      <c r="R800" s="85"/>
      <c r="S800" s="85"/>
      <c r="T800" s="85"/>
      <c r="U800" s="1"/>
      <c r="V800" s="1"/>
    </row>
    <row r="801" spans="3:22" x14ac:dyDescent="0.3">
      <c r="C801" s="21"/>
      <c r="D801" s="1"/>
      <c r="E801" s="1"/>
      <c r="F801" s="1"/>
      <c r="G801" s="1"/>
      <c r="H801" s="1"/>
      <c r="I801" s="1"/>
      <c r="J801" s="1"/>
      <c r="L801" s="85"/>
      <c r="M801" s="85"/>
      <c r="N801" s="85"/>
      <c r="O801" s="85"/>
      <c r="P801" s="85"/>
      <c r="Q801" s="85"/>
      <c r="R801" s="85"/>
      <c r="S801" s="85"/>
      <c r="T801" s="85"/>
      <c r="U801" s="1"/>
      <c r="V801" s="1"/>
    </row>
    <row r="802" spans="3:22" x14ac:dyDescent="0.3">
      <c r="C802" s="21"/>
      <c r="D802" s="1"/>
      <c r="E802" s="1"/>
      <c r="F802" s="1"/>
      <c r="G802" s="1"/>
      <c r="H802" s="1"/>
      <c r="I802" s="1"/>
      <c r="J802" s="1"/>
      <c r="L802" s="85"/>
      <c r="M802" s="85"/>
      <c r="N802" s="85"/>
      <c r="O802" s="85"/>
      <c r="P802" s="85"/>
      <c r="Q802" s="85"/>
      <c r="R802" s="85"/>
      <c r="S802" s="85"/>
      <c r="T802" s="85"/>
      <c r="U802" s="1"/>
      <c r="V802" s="1"/>
    </row>
    <row r="803" spans="3:22" x14ac:dyDescent="0.3">
      <c r="C803" s="21"/>
      <c r="D803" s="1"/>
      <c r="E803" s="1"/>
      <c r="F803" s="1"/>
      <c r="G803" s="1"/>
      <c r="H803" s="1"/>
      <c r="I803" s="1"/>
      <c r="J803" s="1"/>
      <c r="L803" s="85"/>
      <c r="M803" s="85"/>
      <c r="N803" s="85"/>
      <c r="O803" s="85"/>
      <c r="P803" s="85"/>
      <c r="Q803" s="85"/>
      <c r="R803" s="85"/>
      <c r="S803" s="85"/>
      <c r="T803" s="85"/>
      <c r="U803" s="1"/>
      <c r="V803" s="1"/>
    </row>
    <row r="804" spans="3:22" x14ac:dyDescent="0.3">
      <c r="C804" s="21"/>
      <c r="D804" s="1"/>
      <c r="E804" s="1"/>
      <c r="F804" s="1"/>
      <c r="G804" s="1"/>
      <c r="H804" s="1"/>
      <c r="I804" s="1"/>
      <c r="J804" s="1"/>
      <c r="L804" s="85"/>
      <c r="M804" s="85"/>
      <c r="N804" s="85"/>
      <c r="O804" s="85"/>
      <c r="P804" s="85"/>
      <c r="Q804" s="85"/>
      <c r="R804" s="85"/>
      <c r="S804" s="85"/>
      <c r="T804" s="85"/>
      <c r="U804" s="1"/>
      <c r="V804" s="1"/>
    </row>
    <row r="805" spans="3:22" x14ac:dyDescent="0.3">
      <c r="C805" s="21"/>
      <c r="D805" s="1"/>
      <c r="E805" s="1"/>
      <c r="F805" s="1"/>
      <c r="G805" s="1"/>
      <c r="H805" s="1"/>
      <c r="I805" s="1"/>
      <c r="J805" s="1"/>
      <c r="L805" s="85"/>
      <c r="M805" s="85"/>
      <c r="N805" s="85"/>
      <c r="O805" s="85"/>
      <c r="P805" s="85"/>
      <c r="Q805" s="85"/>
      <c r="R805" s="85"/>
      <c r="S805" s="85"/>
      <c r="T805" s="85"/>
      <c r="U805" s="1"/>
      <c r="V805" s="1"/>
    </row>
    <row r="806" spans="3:22" x14ac:dyDescent="0.3">
      <c r="C806" s="21"/>
      <c r="D806" s="1"/>
      <c r="E806" s="1"/>
      <c r="F806" s="1"/>
      <c r="G806" s="1"/>
      <c r="H806" s="1"/>
      <c r="I806" s="1"/>
      <c r="J806" s="25"/>
      <c r="K806" s="81"/>
      <c r="L806" s="85"/>
      <c r="M806" s="85"/>
      <c r="N806" s="85"/>
      <c r="O806" s="85"/>
      <c r="P806" s="85"/>
      <c r="Q806" s="85"/>
      <c r="R806" s="85"/>
      <c r="S806" s="85"/>
      <c r="T806" s="85"/>
      <c r="U806" s="1"/>
      <c r="V806" s="1"/>
    </row>
    <row r="807" spans="3:22" x14ac:dyDescent="0.3">
      <c r="C807" s="21"/>
      <c r="D807" s="1"/>
      <c r="E807" s="1"/>
      <c r="F807" s="1"/>
      <c r="G807" s="1"/>
      <c r="H807" s="1"/>
      <c r="I807" s="1"/>
      <c r="J807" s="25"/>
      <c r="K807" s="81"/>
      <c r="L807" s="85"/>
      <c r="M807" s="85"/>
      <c r="N807" s="85"/>
      <c r="O807" s="85"/>
      <c r="P807" s="85"/>
      <c r="Q807" s="85"/>
      <c r="R807" s="85"/>
      <c r="S807" s="85"/>
      <c r="T807" s="85"/>
      <c r="U807" s="1"/>
      <c r="V807" s="1"/>
    </row>
    <row r="808" spans="3:22" x14ac:dyDescent="0.3">
      <c r="C808" s="21"/>
      <c r="D808" s="1"/>
      <c r="E808" s="1"/>
      <c r="F808" s="1"/>
      <c r="G808" s="1"/>
      <c r="H808" s="1"/>
      <c r="I808" s="1"/>
      <c r="J808" s="25"/>
      <c r="K808" s="81"/>
      <c r="L808" s="85"/>
      <c r="M808" s="85"/>
      <c r="N808" s="85"/>
      <c r="O808" s="85"/>
      <c r="P808" s="85"/>
      <c r="Q808" s="85"/>
      <c r="R808" s="85"/>
      <c r="S808" s="85"/>
      <c r="T808" s="85"/>
      <c r="U808" s="1"/>
      <c r="V808" s="1"/>
    </row>
    <row r="809" spans="3:22" x14ac:dyDescent="0.3">
      <c r="C809" s="21"/>
      <c r="D809" s="1"/>
      <c r="E809" s="1"/>
      <c r="F809" s="1"/>
      <c r="G809" s="1"/>
      <c r="H809" s="1"/>
      <c r="I809" s="1"/>
      <c r="J809" s="25"/>
      <c r="K809" s="81"/>
      <c r="L809" s="85"/>
      <c r="M809" s="85"/>
      <c r="N809" s="85"/>
      <c r="O809" s="85"/>
      <c r="P809" s="85"/>
      <c r="Q809" s="85"/>
      <c r="R809" s="85"/>
      <c r="S809" s="85"/>
      <c r="T809" s="85"/>
      <c r="U809" s="1"/>
      <c r="V809" s="1"/>
    </row>
    <row r="810" spans="3:22" x14ac:dyDescent="0.3">
      <c r="C810" s="21"/>
      <c r="D810" s="1"/>
      <c r="E810" s="1"/>
      <c r="F810" s="1"/>
      <c r="G810" s="1"/>
      <c r="H810" s="1"/>
      <c r="I810" s="1"/>
      <c r="J810" s="25"/>
      <c r="K810" s="81"/>
      <c r="L810" s="85"/>
      <c r="M810" s="85"/>
      <c r="N810" s="85"/>
      <c r="O810" s="85"/>
      <c r="P810" s="85"/>
      <c r="Q810" s="85"/>
      <c r="R810" s="85"/>
      <c r="S810" s="85"/>
      <c r="T810" s="85"/>
      <c r="U810" s="1"/>
      <c r="V810" s="1"/>
    </row>
    <row r="811" spans="3:22" x14ac:dyDescent="0.3">
      <c r="C811" s="21"/>
      <c r="D811" s="1"/>
      <c r="E811" s="1"/>
      <c r="F811" s="1"/>
      <c r="G811" s="1"/>
      <c r="H811" s="1"/>
      <c r="I811" s="1"/>
      <c r="J811" s="25"/>
      <c r="K811" s="81"/>
      <c r="L811" s="85"/>
      <c r="M811" s="85"/>
      <c r="N811" s="85"/>
      <c r="O811" s="85"/>
      <c r="P811" s="85"/>
      <c r="Q811" s="85"/>
      <c r="R811" s="85"/>
      <c r="S811" s="85"/>
      <c r="T811" s="85"/>
      <c r="U811" s="1"/>
      <c r="V811" s="1"/>
    </row>
    <row r="812" spans="3:22" x14ac:dyDescent="0.3">
      <c r="C812" s="21"/>
      <c r="D812" s="1"/>
      <c r="E812" s="1"/>
      <c r="F812" s="1"/>
      <c r="G812" s="1"/>
      <c r="H812" s="1"/>
      <c r="I812" s="1"/>
      <c r="J812" s="25"/>
      <c r="K812" s="81"/>
      <c r="L812" s="85"/>
      <c r="M812" s="85"/>
      <c r="N812" s="85"/>
      <c r="O812" s="85"/>
      <c r="P812" s="85"/>
      <c r="Q812" s="85"/>
      <c r="R812" s="85"/>
      <c r="S812" s="85"/>
      <c r="T812" s="85"/>
      <c r="U812" s="1"/>
      <c r="V812" s="1"/>
    </row>
    <row r="813" spans="3:22" x14ac:dyDescent="0.3">
      <c r="C813" s="21"/>
      <c r="D813" s="1"/>
      <c r="E813" s="1"/>
      <c r="F813" s="1"/>
      <c r="G813" s="1"/>
      <c r="H813" s="1"/>
      <c r="I813" s="1"/>
      <c r="J813" s="25"/>
      <c r="K813" s="81"/>
      <c r="L813" s="85"/>
      <c r="M813" s="85"/>
      <c r="N813" s="85"/>
      <c r="O813" s="85"/>
      <c r="P813" s="85"/>
      <c r="Q813" s="85"/>
      <c r="R813" s="85"/>
      <c r="S813" s="85"/>
      <c r="T813" s="85"/>
      <c r="U813" s="1"/>
      <c r="V813" s="1"/>
    </row>
    <row r="814" spans="3:22" x14ac:dyDescent="0.3">
      <c r="C814" s="21"/>
      <c r="D814" s="1"/>
      <c r="E814" s="1"/>
      <c r="F814" s="1"/>
      <c r="G814" s="1"/>
      <c r="H814" s="1"/>
      <c r="I814" s="1"/>
      <c r="J814" s="25"/>
      <c r="K814" s="81"/>
      <c r="L814" s="85"/>
      <c r="M814" s="85"/>
      <c r="N814" s="85"/>
      <c r="O814" s="85"/>
      <c r="P814" s="85"/>
      <c r="Q814" s="85"/>
      <c r="R814" s="85"/>
      <c r="S814" s="85"/>
      <c r="T814" s="85"/>
      <c r="U814" s="1"/>
      <c r="V814" s="1"/>
    </row>
    <row r="815" spans="3:22" x14ac:dyDescent="0.3">
      <c r="C815" s="21"/>
      <c r="D815" s="1"/>
      <c r="E815" s="1"/>
      <c r="F815" s="1"/>
      <c r="G815" s="1"/>
      <c r="H815" s="1"/>
      <c r="I815" s="1"/>
      <c r="J815" s="1"/>
      <c r="L815" s="85"/>
      <c r="M815" s="85"/>
      <c r="N815" s="85"/>
      <c r="O815" s="85"/>
      <c r="P815" s="85"/>
      <c r="Q815" s="85"/>
      <c r="R815" s="85"/>
      <c r="S815" s="85"/>
      <c r="T815" s="85"/>
      <c r="U815" s="1"/>
      <c r="V815" s="1"/>
    </row>
    <row r="816" spans="3:22" x14ac:dyDescent="0.3">
      <c r="C816" s="21"/>
      <c r="D816" s="1"/>
      <c r="E816" s="1"/>
      <c r="F816" s="1"/>
      <c r="G816" s="1"/>
      <c r="H816" s="1"/>
      <c r="I816" s="1"/>
      <c r="J816" s="1"/>
      <c r="L816" s="85"/>
      <c r="M816" s="85"/>
      <c r="N816" s="85"/>
      <c r="O816" s="85"/>
      <c r="P816" s="85"/>
      <c r="Q816" s="85"/>
      <c r="R816" s="85"/>
      <c r="S816" s="85"/>
      <c r="T816" s="85"/>
      <c r="U816" s="1"/>
      <c r="V816" s="1"/>
    </row>
    <row r="817" spans="3:22" x14ac:dyDescent="0.3">
      <c r="C817" s="21"/>
      <c r="D817" s="1"/>
      <c r="E817" s="1"/>
      <c r="F817" s="1"/>
      <c r="G817" s="1"/>
      <c r="H817" s="1"/>
      <c r="I817" s="1"/>
      <c r="J817" s="1"/>
      <c r="L817" s="85"/>
      <c r="M817" s="85"/>
      <c r="N817" s="85"/>
      <c r="O817" s="85"/>
      <c r="P817" s="85"/>
      <c r="Q817" s="85"/>
      <c r="R817" s="85"/>
      <c r="S817" s="85"/>
      <c r="T817" s="85"/>
      <c r="U817" s="1"/>
      <c r="V817" s="1"/>
    </row>
    <row r="818" spans="3:22" x14ac:dyDescent="0.3">
      <c r="C818" s="21"/>
      <c r="D818" s="1"/>
      <c r="E818" s="1"/>
      <c r="F818" s="1"/>
      <c r="G818" s="1"/>
      <c r="H818" s="1"/>
      <c r="I818" s="1"/>
      <c r="J818" s="1"/>
      <c r="L818" s="85"/>
      <c r="M818" s="85"/>
      <c r="N818" s="85"/>
      <c r="O818" s="85"/>
      <c r="P818" s="85"/>
      <c r="Q818" s="85"/>
      <c r="R818" s="85"/>
      <c r="S818" s="85"/>
      <c r="T818" s="85"/>
      <c r="U818" s="1"/>
      <c r="V818" s="1"/>
    </row>
    <row r="819" spans="3:22" x14ac:dyDescent="0.3">
      <c r="C819" s="21"/>
      <c r="D819" s="1"/>
      <c r="E819" s="1"/>
      <c r="F819" s="1"/>
      <c r="G819" s="1"/>
      <c r="H819" s="1"/>
      <c r="I819" s="1"/>
      <c r="J819" s="1"/>
      <c r="L819" s="85"/>
      <c r="M819" s="85"/>
      <c r="N819" s="85"/>
      <c r="O819" s="85"/>
      <c r="P819" s="85"/>
      <c r="Q819" s="85"/>
      <c r="R819" s="85"/>
      <c r="S819" s="85"/>
      <c r="T819" s="85"/>
      <c r="U819" s="1"/>
      <c r="V819" s="1"/>
    </row>
    <row r="820" spans="3:22" x14ac:dyDescent="0.3">
      <c r="C820" s="21"/>
      <c r="D820" s="1"/>
      <c r="E820" s="1"/>
      <c r="F820" s="1"/>
      <c r="G820" s="1"/>
      <c r="H820" s="1"/>
      <c r="I820" s="1"/>
      <c r="J820" s="1"/>
      <c r="L820" s="85"/>
      <c r="M820" s="85"/>
      <c r="N820" s="85"/>
      <c r="O820" s="85"/>
      <c r="P820" s="85"/>
      <c r="Q820" s="85"/>
      <c r="R820" s="85"/>
      <c r="S820" s="85"/>
      <c r="T820" s="85"/>
      <c r="U820" s="1"/>
      <c r="V820" s="1"/>
    </row>
    <row r="821" spans="3:22" x14ac:dyDescent="0.3">
      <c r="C821" s="21"/>
      <c r="D821" s="1"/>
      <c r="E821" s="1"/>
      <c r="F821" s="1"/>
      <c r="G821" s="1"/>
      <c r="H821" s="1"/>
      <c r="I821" s="1"/>
      <c r="J821" s="1"/>
      <c r="L821" s="85"/>
      <c r="M821" s="85"/>
      <c r="N821" s="85"/>
      <c r="O821" s="85"/>
      <c r="P821" s="85"/>
      <c r="Q821" s="85"/>
      <c r="R821" s="85"/>
      <c r="S821" s="85"/>
      <c r="T821" s="85"/>
      <c r="U821" s="1"/>
      <c r="V821" s="1"/>
    </row>
    <row r="822" spans="3:22" x14ac:dyDescent="0.3">
      <c r="C822" s="21"/>
      <c r="D822" s="1"/>
      <c r="E822" s="1"/>
      <c r="F822" s="1"/>
      <c r="G822" s="1"/>
      <c r="H822" s="1"/>
      <c r="I822" s="1"/>
      <c r="J822" s="1"/>
      <c r="L822" s="85"/>
      <c r="M822" s="85"/>
      <c r="N822" s="85"/>
      <c r="O822" s="85"/>
      <c r="P822" s="85"/>
      <c r="Q822" s="85"/>
      <c r="R822" s="85"/>
      <c r="S822" s="85"/>
      <c r="T822" s="85"/>
      <c r="U822" s="1"/>
      <c r="V822" s="1"/>
    </row>
    <row r="823" spans="3:22" x14ac:dyDescent="0.3">
      <c r="C823" s="21"/>
      <c r="D823" s="1"/>
      <c r="E823" s="1"/>
      <c r="F823" s="1"/>
      <c r="G823" s="1"/>
      <c r="H823" s="1"/>
      <c r="I823" s="1"/>
      <c r="J823" s="1"/>
      <c r="L823" s="85"/>
      <c r="M823" s="85"/>
      <c r="N823" s="85"/>
      <c r="O823" s="85"/>
      <c r="P823" s="85"/>
      <c r="Q823" s="85"/>
      <c r="R823" s="85"/>
      <c r="S823" s="85"/>
      <c r="T823" s="85"/>
      <c r="U823" s="1"/>
      <c r="V823" s="1"/>
    </row>
    <row r="824" spans="3:22" x14ac:dyDescent="0.3">
      <c r="C824" s="21"/>
      <c r="D824" s="1"/>
      <c r="E824" s="1"/>
      <c r="F824" s="1"/>
      <c r="G824" s="1"/>
      <c r="H824" s="1"/>
      <c r="I824" s="1"/>
      <c r="J824" s="1"/>
      <c r="L824" s="85"/>
      <c r="M824" s="85"/>
      <c r="N824" s="85"/>
      <c r="O824" s="85"/>
      <c r="P824" s="85"/>
      <c r="Q824" s="85"/>
      <c r="R824" s="85"/>
      <c r="S824" s="85"/>
      <c r="T824" s="85"/>
      <c r="U824" s="1"/>
      <c r="V824" s="1"/>
    </row>
    <row r="825" spans="3:22" x14ac:dyDescent="0.3">
      <c r="C825" s="21"/>
      <c r="D825" s="1"/>
      <c r="E825" s="1"/>
      <c r="F825" s="1"/>
      <c r="G825" s="1"/>
      <c r="H825" s="1"/>
      <c r="I825" s="1"/>
      <c r="J825" s="1"/>
      <c r="L825" s="85"/>
      <c r="M825" s="85"/>
      <c r="N825" s="85"/>
      <c r="O825" s="85"/>
      <c r="P825" s="85"/>
      <c r="Q825" s="85"/>
      <c r="R825" s="85"/>
      <c r="S825" s="85"/>
      <c r="T825" s="85"/>
      <c r="U825" s="1"/>
      <c r="V825" s="1"/>
    </row>
    <row r="826" spans="3:22" x14ac:dyDescent="0.3">
      <c r="C826" s="21"/>
      <c r="D826" s="1"/>
      <c r="E826" s="1"/>
      <c r="F826" s="1"/>
      <c r="G826" s="1"/>
      <c r="H826" s="1"/>
      <c r="I826" s="1"/>
      <c r="J826" s="1"/>
      <c r="L826" s="85"/>
      <c r="M826" s="85"/>
      <c r="N826" s="85"/>
      <c r="O826" s="85"/>
      <c r="P826" s="85"/>
      <c r="Q826" s="85"/>
      <c r="R826" s="85"/>
      <c r="S826" s="85"/>
      <c r="T826" s="85"/>
      <c r="U826" s="1"/>
      <c r="V826" s="1"/>
    </row>
    <row r="827" spans="3:22" x14ac:dyDescent="0.3">
      <c r="C827" s="21"/>
      <c r="D827" s="1"/>
      <c r="E827" s="1"/>
      <c r="F827" s="1"/>
      <c r="G827" s="1"/>
      <c r="H827" s="1"/>
      <c r="I827" s="1"/>
      <c r="J827" s="1"/>
      <c r="L827" s="85"/>
      <c r="M827" s="85"/>
      <c r="N827" s="85"/>
      <c r="O827" s="85"/>
      <c r="P827" s="85"/>
      <c r="Q827" s="85"/>
      <c r="R827" s="85"/>
      <c r="S827" s="85"/>
      <c r="T827" s="85"/>
      <c r="U827" s="1"/>
      <c r="V827" s="1"/>
    </row>
    <row r="828" spans="3:22" x14ac:dyDescent="0.3">
      <c r="C828" s="21"/>
      <c r="D828" s="1"/>
      <c r="E828" s="1"/>
      <c r="F828" s="1"/>
      <c r="G828" s="1"/>
      <c r="H828" s="1"/>
      <c r="I828" s="1"/>
      <c r="J828" s="1"/>
      <c r="L828" s="85"/>
      <c r="M828" s="85"/>
      <c r="N828" s="85"/>
      <c r="O828" s="85"/>
      <c r="P828" s="85"/>
      <c r="Q828" s="85"/>
      <c r="R828" s="85"/>
      <c r="S828" s="85"/>
      <c r="T828" s="85"/>
      <c r="U828" s="1"/>
      <c r="V828" s="1"/>
    </row>
    <row r="829" spans="3:22" x14ac:dyDescent="0.3">
      <c r="C829" s="21"/>
      <c r="D829" s="1"/>
      <c r="E829" s="1"/>
      <c r="F829" s="1"/>
      <c r="G829" s="1"/>
      <c r="H829" s="1"/>
      <c r="I829" s="1"/>
      <c r="J829" s="1"/>
      <c r="L829" s="85"/>
      <c r="M829" s="85"/>
      <c r="N829" s="85"/>
      <c r="O829" s="85"/>
      <c r="P829" s="85"/>
      <c r="Q829" s="85"/>
      <c r="R829" s="85"/>
      <c r="S829" s="85"/>
      <c r="T829" s="85"/>
      <c r="U829" s="1"/>
      <c r="V829" s="1"/>
    </row>
    <row r="830" spans="3:22" x14ac:dyDescent="0.3">
      <c r="C830" s="21"/>
      <c r="D830" s="1"/>
      <c r="E830" s="1"/>
      <c r="F830" s="1"/>
      <c r="G830" s="1"/>
      <c r="H830" s="1"/>
      <c r="I830" s="1"/>
      <c r="J830" s="1"/>
      <c r="L830" s="85"/>
      <c r="M830" s="85"/>
      <c r="N830" s="85"/>
      <c r="O830" s="85"/>
      <c r="P830" s="85"/>
      <c r="Q830" s="85"/>
      <c r="R830" s="85"/>
      <c r="S830" s="85"/>
      <c r="T830" s="85"/>
      <c r="U830" s="1"/>
      <c r="V830" s="1"/>
    </row>
    <row r="831" spans="3:22" x14ac:dyDescent="0.3">
      <c r="C831" s="21"/>
      <c r="D831" s="1"/>
      <c r="E831" s="1"/>
      <c r="F831" s="1"/>
      <c r="G831" s="1"/>
      <c r="H831" s="1"/>
      <c r="I831" s="1"/>
      <c r="J831" s="1"/>
      <c r="L831" s="85"/>
      <c r="M831" s="85"/>
      <c r="N831" s="85"/>
      <c r="O831" s="85"/>
      <c r="P831" s="85"/>
      <c r="Q831" s="85"/>
      <c r="R831" s="85"/>
      <c r="S831" s="85"/>
      <c r="T831" s="85"/>
      <c r="U831" s="1"/>
      <c r="V831" s="1"/>
    </row>
    <row r="832" spans="3:22" x14ac:dyDescent="0.3">
      <c r="C832" s="21"/>
      <c r="D832" s="1"/>
      <c r="E832" s="1"/>
      <c r="F832" s="1"/>
      <c r="G832" s="1"/>
      <c r="H832" s="1"/>
      <c r="I832" s="1"/>
      <c r="J832" s="1"/>
      <c r="L832" s="85"/>
      <c r="M832" s="85"/>
      <c r="N832" s="85"/>
      <c r="O832" s="85"/>
      <c r="P832" s="85"/>
      <c r="Q832" s="85"/>
      <c r="R832" s="85"/>
      <c r="S832" s="85"/>
      <c r="T832" s="85"/>
      <c r="U832" s="1"/>
      <c r="V832" s="1"/>
    </row>
    <row r="833" spans="3:22" x14ac:dyDescent="0.3">
      <c r="C833" s="21"/>
      <c r="D833" s="1"/>
      <c r="E833" s="1"/>
      <c r="F833" s="1"/>
      <c r="G833" s="1"/>
      <c r="H833" s="1"/>
      <c r="I833" s="1"/>
      <c r="J833" s="1"/>
      <c r="L833" s="85"/>
      <c r="M833" s="85"/>
      <c r="N833" s="85"/>
      <c r="O833" s="85"/>
      <c r="P833" s="85"/>
      <c r="Q833" s="85"/>
      <c r="R833" s="85"/>
      <c r="S833" s="85"/>
      <c r="T833" s="85"/>
      <c r="U833" s="1"/>
      <c r="V833" s="1"/>
    </row>
    <row r="834" spans="3:22" x14ac:dyDescent="0.3">
      <c r="C834" s="21"/>
      <c r="D834" s="1"/>
      <c r="E834" s="1"/>
      <c r="F834" s="1"/>
      <c r="G834" s="1"/>
      <c r="H834" s="1"/>
      <c r="I834" s="1"/>
      <c r="J834" s="1"/>
      <c r="L834" s="85"/>
      <c r="M834" s="85"/>
      <c r="N834" s="85"/>
      <c r="O834" s="85"/>
      <c r="P834" s="85"/>
      <c r="Q834" s="85"/>
      <c r="R834" s="85"/>
      <c r="S834" s="85"/>
      <c r="T834" s="85"/>
      <c r="U834" s="1"/>
      <c r="V834" s="1"/>
    </row>
    <row r="835" spans="3:22" x14ac:dyDescent="0.3">
      <c r="C835" s="21"/>
      <c r="D835" s="1"/>
      <c r="E835" s="1"/>
      <c r="F835" s="1"/>
      <c r="G835" s="1"/>
      <c r="H835" s="1"/>
      <c r="I835" s="1"/>
      <c r="J835" s="1"/>
      <c r="L835" s="85"/>
      <c r="M835" s="85"/>
      <c r="N835" s="85"/>
      <c r="O835" s="85"/>
      <c r="P835" s="85"/>
      <c r="Q835" s="85"/>
      <c r="R835" s="85"/>
      <c r="S835" s="85"/>
      <c r="T835" s="85"/>
      <c r="U835" s="1"/>
      <c r="V835" s="1"/>
    </row>
    <row r="836" spans="3:22" x14ac:dyDescent="0.3">
      <c r="C836" s="21"/>
      <c r="D836" s="1"/>
      <c r="E836" s="1"/>
      <c r="F836" s="1"/>
      <c r="G836" s="1"/>
      <c r="H836" s="1"/>
      <c r="I836" s="1"/>
      <c r="J836" s="1"/>
      <c r="L836" s="85"/>
      <c r="M836" s="85"/>
      <c r="N836" s="85"/>
      <c r="O836" s="85"/>
      <c r="P836" s="85"/>
      <c r="Q836" s="85"/>
      <c r="R836" s="85"/>
      <c r="S836" s="85"/>
      <c r="T836" s="85"/>
      <c r="U836" s="1"/>
      <c r="V836" s="1"/>
    </row>
    <row r="837" spans="3:22" x14ac:dyDescent="0.3">
      <c r="C837" s="21"/>
      <c r="D837" s="1"/>
      <c r="E837" s="1"/>
      <c r="F837" s="1"/>
      <c r="G837" s="1"/>
      <c r="H837" s="1"/>
      <c r="I837" s="1"/>
      <c r="J837" s="1"/>
      <c r="L837" s="85"/>
      <c r="M837" s="85"/>
      <c r="N837" s="85"/>
      <c r="O837" s="85"/>
      <c r="P837" s="85"/>
      <c r="Q837" s="85"/>
      <c r="R837" s="85"/>
      <c r="S837" s="85"/>
      <c r="T837" s="85"/>
      <c r="U837" s="1"/>
      <c r="V837" s="1"/>
    </row>
    <row r="838" spans="3:22" x14ac:dyDescent="0.3">
      <c r="C838" s="21"/>
      <c r="D838" s="1"/>
      <c r="E838" s="1"/>
      <c r="F838" s="1"/>
      <c r="G838" s="1"/>
      <c r="H838" s="1"/>
      <c r="I838" s="1"/>
      <c r="J838" s="1"/>
      <c r="L838" s="85"/>
      <c r="M838" s="85"/>
      <c r="N838" s="85"/>
      <c r="O838" s="85"/>
      <c r="P838" s="85"/>
      <c r="Q838" s="85"/>
      <c r="R838" s="85"/>
      <c r="S838" s="85"/>
      <c r="T838" s="85"/>
      <c r="U838" s="1"/>
      <c r="V838" s="1"/>
    </row>
    <row r="839" spans="3:22" x14ac:dyDescent="0.3">
      <c r="C839" s="21"/>
      <c r="D839" s="1"/>
      <c r="E839" s="1"/>
      <c r="F839" s="1"/>
      <c r="G839" s="1"/>
      <c r="H839" s="1"/>
      <c r="I839" s="1"/>
      <c r="J839" s="1"/>
      <c r="L839" s="85"/>
      <c r="M839" s="85"/>
      <c r="N839" s="85"/>
      <c r="O839" s="85"/>
      <c r="P839" s="85"/>
      <c r="Q839" s="85"/>
      <c r="R839" s="85"/>
      <c r="S839" s="85"/>
      <c r="T839" s="85"/>
      <c r="U839" s="1"/>
      <c r="V839" s="1"/>
    </row>
    <row r="840" spans="3:22" x14ac:dyDescent="0.3">
      <c r="C840" s="21"/>
      <c r="D840" s="1"/>
      <c r="E840" s="1"/>
      <c r="F840" s="1"/>
      <c r="G840" s="1"/>
      <c r="H840" s="1"/>
      <c r="I840" s="1"/>
      <c r="J840" s="1"/>
      <c r="L840" s="85"/>
      <c r="M840" s="85"/>
      <c r="N840" s="85"/>
      <c r="O840" s="85"/>
      <c r="P840" s="85"/>
      <c r="Q840" s="85"/>
      <c r="R840" s="85"/>
      <c r="S840" s="85"/>
      <c r="T840" s="85"/>
      <c r="U840" s="1"/>
      <c r="V840" s="1"/>
    </row>
    <row r="841" spans="3:22" x14ac:dyDescent="0.3">
      <c r="C841" s="21"/>
      <c r="D841" s="1"/>
      <c r="E841" s="1"/>
      <c r="F841" s="1"/>
      <c r="G841" s="1"/>
      <c r="H841" s="1"/>
      <c r="I841" s="1"/>
      <c r="J841" s="1"/>
      <c r="L841" s="85"/>
      <c r="M841" s="85"/>
      <c r="N841" s="85"/>
      <c r="O841" s="85"/>
      <c r="P841" s="85"/>
      <c r="Q841" s="85"/>
      <c r="R841" s="85"/>
      <c r="S841" s="85"/>
      <c r="T841" s="85"/>
      <c r="U841" s="1"/>
      <c r="V841" s="1"/>
    </row>
    <row r="842" spans="3:22" x14ac:dyDescent="0.3">
      <c r="C842" s="21"/>
      <c r="D842" s="1"/>
      <c r="E842" s="1"/>
      <c r="F842" s="1"/>
      <c r="G842" s="1"/>
      <c r="H842" s="1"/>
      <c r="I842" s="1"/>
      <c r="J842" s="1"/>
      <c r="L842" s="85"/>
      <c r="M842" s="85"/>
      <c r="N842" s="85"/>
      <c r="O842" s="85"/>
      <c r="P842" s="85"/>
      <c r="Q842" s="85"/>
      <c r="R842" s="85"/>
      <c r="S842" s="85"/>
      <c r="T842" s="85"/>
      <c r="U842" s="1"/>
      <c r="V842" s="1"/>
    </row>
    <row r="843" spans="3:22" x14ac:dyDescent="0.3">
      <c r="C843" s="21"/>
      <c r="D843" s="1"/>
      <c r="E843" s="1"/>
      <c r="F843" s="1"/>
      <c r="G843" s="1"/>
      <c r="H843" s="1"/>
      <c r="I843" s="1"/>
      <c r="J843" s="1"/>
      <c r="L843" s="85"/>
      <c r="M843" s="85"/>
      <c r="N843" s="85"/>
      <c r="O843" s="85"/>
      <c r="P843" s="85"/>
      <c r="Q843" s="85"/>
      <c r="R843" s="85"/>
      <c r="S843" s="85"/>
      <c r="T843" s="85"/>
      <c r="U843" s="1"/>
      <c r="V843" s="1"/>
    </row>
    <row r="844" spans="3:22" x14ac:dyDescent="0.3">
      <c r="C844" s="21"/>
      <c r="D844" s="1"/>
      <c r="E844" s="1"/>
      <c r="F844" s="1"/>
      <c r="G844" s="1"/>
      <c r="H844" s="1"/>
      <c r="I844" s="1"/>
      <c r="J844" s="1"/>
      <c r="L844" s="85"/>
      <c r="M844" s="85"/>
      <c r="N844" s="85"/>
      <c r="O844" s="85"/>
      <c r="P844" s="85"/>
      <c r="Q844" s="85"/>
      <c r="R844" s="85"/>
      <c r="S844" s="85"/>
      <c r="T844" s="85"/>
      <c r="U844" s="1"/>
      <c r="V844" s="1"/>
    </row>
    <row r="845" spans="3:22" x14ac:dyDescent="0.3">
      <c r="C845" s="21"/>
      <c r="D845" s="1"/>
      <c r="E845" s="1"/>
      <c r="F845" s="1"/>
      <c r="G845" s="1"/>
      <c r="H845" s="1"/>
      <c r="I845" s="1"/>
      <c r="J845" s="1"/>
      <c r="L845" s="85"/>
      <c r="M845" s="85"/>
      <c r="N845" s="85"/>
      <c r="O845" s="85"/>
      <c r="P845" s="85"/>
      <c r="Q845" s="85"/>
      <c r="R845" s="85"/>
      <c r="S845" s="85"/>
      <c r="T845" s="85"/>
      <c r="U845" s="1"/>
      <c r="V845" s="1"/>
    </row>
    <row r="846" spans="3:22" x14ac:dyDescent="0.3">
      <c r="C846" s="21"/>
      <c r="D846" s="1"/>
      <c r="E846" s="1"/>
      <c r="F846" s="1"/>
      <c r="G846" s="1"/>
      <c r="H846" s="1"/>
      <c r="I846" s="1"/>
      <c r="J846" s="1"/>
      <c r="L846" s="85"/>
      <c r="M846" s="85"/>
      <c r="N846" s="85"/>
      <c r="O846" s="85"/>
      <c r="P846" s="85"/>
      <c r="Q846" s="85"/>
      <c r="R846" s="85"/>
      <c r="S846" s="85"/>
      <c r="T846" s="85"/>
      <c r="U846" s="1"/>
      <c r="V846" s="1"/>
    </row>
    <row r="847" spans="3:22" x14ac:dyDescent="0.3">
      <c r="C847" s="21"/>
      <c r="D847" s="1"/>
      <c r="E847" s="1"/>
      <c r="F847" s="1"/>
      <c r="G847" s="1"/>
      <c r="H847" s="1"/>
      <c r="I847" s="1"/>
      <c r="J847" s="1"/>
      <c r="L847" s="85"/>
      <c r="M847" s="85"/>
      <c r="N847" s="85"/>
      <c r="O847" s="85"/>
      <c r="P847" s="85"/>
      <c r="Q847" s="85"/>
      <c r="R847" s="85"/>
      <c r="S847" s="85"/>
      <c r="T847" s="85"/>
      <c r="U847" s="1"/>
      <c r="V847" s="1"/>
    </row>
    <row r="848" spans="3:22" x14ac:dyDescent="0.3">
      <c r="C848" s="21"/>
      <c r="D848" s="1"/>
      <c r="E848" s="1"/>
      <c r="F848" s="1"/>
      <c r="G848" s="1"/>
      <c r="H848" s="1"/>
      <c r="I848" s="1"/>
      <c r="J848" s="1"/>
      <c r="L848" s="85"/>
      <c r="M848" s="85"/>
      <c r="N848" s="85"/>
      <c r="O848" s="85"/>
      <c r="P848" s="85"/>
      <c r="Q848" s="85"/>
      <c r="R848" s="85"/>
      <c r="S848" s="85"/>
      <c r="T848" s="85"/>
      <c r="U848" s="1"/>
      <c r="V848" s="1"/>
    </row>
    <row r="849" spans="3:22" x14ac:dyDescent="0.3">
      <c r="C849" s="21"/>
      <c r="D849" s="1"/>
      <c r="E849" s="1"/>
      <c r="F849" s="1"/>
      <c r="G849" s="1"/>
      <c r="H849" s="1"/>
      <c r="I849" s="1"/>
      <c r="J849" s="1"/>
      <c r="L849" s="85"/>
      <c r="M849" s="85"/>
      <c r="N849" s="85"/>
      <c r="O849" s="85"/>
      <c r="P849" s="85"/>
      <c r="Q849" s="85"/>
      <c r="R849" s="85"/>
      <c r="S849" s="85"/>
      <c r="T849" s="85"/>
      <c r="U849" s="1"/>
      <c r="V849" s="1"/>
    </row>
    <row r="850" spans="3:22" x14ac:dyDescent="0.3">
      <c r="C850" s="21"/>
      <c r="D850" s="1"/>
      <c r="E850" s="1"/>
      <c r="F850" s="1"/>
      <c r="G850" s="1"/>
      <c r="H850" s="1"/>
      <c r="I850" s="1"/>
      <c r="J850" s="1"/>
      <c r="L850" s="85"/>
      <c r="M850" s="85"/>
      <c r="N850" s="85"/>
      <c r="O850" s="85"/>
      <c r="P850" s="85"/>
      <c r="Q850" s="85"/>
      <c r="R850" s="85"/>
      <c r="S850" s="85"/>
      <c r="T850" s="85"/>
      <c r="U850" s="1"/>
      <c r="V850" s="1"/>
    </row>
    <row r="851" spans="3:22" x14ac:dyDescent="0.3">
      <c r="C851" s="21"/>
      <c r="D851" s="1"/>
      <c r="E851" s="1"/>
      <c r="F851" s="1"/>
      <c r="G851" s="1"/>
      <c r="H851" s="1"/>
      <c r="I851" s="1"/>
      <c r="J851" s="1"/>
      <c r="L851" s="85"/>
      <c r="M851" s="85"/>
      <c r="N851" s="85"/>
      <c r="O851" s="85"/>
      <c r="P851" s="85"/>
      <c r="Q851" s="85"/>
      <c r="R851" s="85"/>
      <c r="S851" s="85"/>
      <c r="T851" s="85"/>
      <c r="U851" s="1"/>
      <c r="V851" s="1"/>
    </row>
    <row r="852" spans="3:22" x14ac:dyDescent="0.3">
      <c r="C852" s="21"/>
      <c r="D852" s="1"/>
      <c r="E852" s="1"/>
      <c r="F852" s="1"/>
      <c r="G852" s="1"/>
      <c r="H852" s="1"/>
      <c r="I852" s="1"/>
      <c r="J852" s="1"/>
      <c r="L852" s="85"/>
      <c r="M852" s="85"/>
      <c r="N852" s="85"/>
      <c r="O852" s="85"/>
      <c r="P852" s="85"/>
      <c r="Q852" s="85"/>
      <c r="R852" s="85"/>
      <c r="S852" s="85"/>
      <c r="T852" s="85"/>
      <c r="U852" s="1"/>
      <c r="V852" s="1"/>
    </row>
    <row r="853" spans="3:22" x14ac:dyDescent="0.3">
      <c r="C853" s="21"/>
      <c r="D853" s="1"/>
      <c r="E853" s="1"/>
      <c r="F853" s="1"/>
      <c r="G853" s="1"/>
      <c r="H853" s="1"/>
      <c r="I853" s="1"/>
      <c r="J853" s="25"/>
      <c r="K853" s="81"/>
      <c r="L853" s="85"/>
      <c r="M853" s="85"/>
      <c r="N853" s="85"/>
      <c r="O853" s="85"/>
      <c r="P853" s="85"/>
      <c r="Q853" s="85"/>
      <c r="R853" s="85"/>
      <c r="S853" s="85"/>
      <c r="T853" s="85"/>
      <c r="U853" s="1"/>
      <c r="V853" s="1"/>
    </row>
    <row r="854" spans="3:22" x14ac:dyDescent="0.3">
      <c r="C854" s="21"/>
      <c r="D854" s="1"/>
      <c r="E854" s="1"/>
      <c r="F854" s="1"/>
      <c r="G854" s="1"/>
      <c r="H854" s="1"/>
      <c r="I854" s="1"/>
      <c r="J854" s="25"/>
      <c r="K854" s="81"/>
      <c r="L854" s="85"/>
      <c r="M854" s="85"/>
      <c r="N854" s="85"/>
      <c r="O854" s="85"/>
      <c r="P854" s="85"/>
      <c r="Q854" s="85"/>
      <c r="R854" s="85"/>
      <c r="S854" s="85"/>
      <c r="T854" s="85"/>
      <c r="U854" s="1"/>
      <c r="V854" s="1"/>
    </row>
    <row r="855" spans="3:22" x14ac:dyDescent="0.3">
      <c r="C855" s="21"/>
      <c r="D855" s="1"/>
      <c r="E855" s="1"/>
      <c r="F855" s="1"/>
      <c r="G855" s="1"/>
      <c r="H855" s="1"/>
      <c r="I855" s="1"/>
      <c r="J855" s="25"/>
      <c r="K855" s="81"/>
      <c r="L855" s="85"/>
      <c r="M855" s="85"/>
      <c r="N855" s="85"/>
      <c r="O855" s="85"/>
      <c r="P855" s="85"/>
      <c r="Q855" s="85"/>
      <c r="R855" s="85"/>
      <c r="S855" s="85"/>
      <c r="T855" s="85"/>
      <c r="U855" s="1"/>
      <c r="V855" s="1"/>
    </row>
    <row r="856" spans="3:22" x14ac:dyDescent="0.3">
      <c r="C856" s="21"/>
      <c r="D856" s="1"/>
      <c r="E856" s="1"/>
      <c r="F856" s="1"/>
      <c r="G856" s="1"/>
      <c r="H856" s="1"/>
      <c r="I856" s="1"/>
      <c r="J856" s="25"/>
      <c r="K856" s="81"/>
      <c r="L856" s="85"/>
      <c r="M856" s="85"/>
      <c r="N856" s="85"/>
      <c r="O856" s="85"/>
      <c r="P856" s="85"/>
      <c r="Q856" s="85"/>
      <c r="R856" s="85"/>
      <c r="S856" s="85"/>
      <c r="T856" s="85"/>
      <c r="U856" s="1"/>
      <c r="V856" s="1"/>
    </row>
    <row r="857" spans="3:22" x14ac:dyDescent="0.3">
      <c r="C857" s="21"/>
      <c r="D857" s="1"/>
      <c r="E857" s="1"/>
      <c r="F857" s="1"/>
      <c r="G857" s="1"/>
      <c r="H857" s="1"/>
      <c r="I857" s="1"/>
      <c r="J857" s="25"/>
      <c r="K857" s="81"/>
      <c r="L857" s="85"/>
      <c r="M857" s="85"/>
      <c r="N857" s="85"/>
      <c r="O857" s="85"/>
      <c r="P857" s="85"/>
      <c r="Q857" s="85"/>
      <c r="R857" s="85"/>
      <c r="S857" s="85"/>
      <c r="T857" s="85"/>
      <c r="U857" s="1"/>
      <c r="V857" s="1"/>
    </row>
    <row r="858" spans="3:22" x14ac:dyDescent="0.3">
      <c r="C858" s="21"/>
      <c r="D858" s="1"/>
      <c r="E858" s="1"/>
      <c r="F858" s="1"/>
      <c r="G858" s="1"/>
      <c r="H858" s="1"/>
      <c r="I858" s="1"/>
      <c r="J858" s="25"/>
      <c r="K858" s="81"/>
      <c r="L858" s="85"/>
      <c r="M858" s="85"/>
      <c r="N858" s="85"/>
      <c r="O858" s="85"/>
      <c r="P858" s="85"/>
      <c r="Q858" s="85"/>
      <c r="R858" s="85"/>
      <c r="S858" s="85"/>
      <c r="T858" s="85"/>
      <c r="U858" s="1"/>
      <c r="V858" s="1"/>
    </row>
    <row r="859" spans="3:22" x14ac:dyDescent="0.3">
      <c r="C859" s="21"/>
      <c r="D859" s="1"/>
      <c r="E859" s="1"/>
      <c r="F859" s="1"/>
      <c r="G859" s="1"/>
      <c r="H859" s="1"/>
      <c r="I859" s="1"/>
      <c r="J859" s="25"/>
      <c r="K859" s="81"/>
      <c r="L859" s="85"/>
      <c r="M859" s="85"/>
      <c r="N859" s="85"/>
      <c r="O859" s="85"/>
      <c r="P859" s="85"/>
      <c r="Q859" s="85"/>
      <c r="R859" s="85"/>
      <c r="S859" s="85"/>
      <c r="T859" s="85"/>
      <c r="U859" s="1"/>
      <c r="V859" s="1"/>
    </row>
    <row r="860" spans="3:22" x14ac:dyDescent="0.3">
      <c r="C860" s="21"/>
      <c r="D860" s="1"/>
      <c r="E860" s="1"/>
      <c r="F860" s="1"/>
      <c r="G860" s="1"/>
      <c r="H860" s="1"/>
      <c r="I860" s="1"/>
      <c r="J860" s="25"/>
      <c r="K860" s="81"/>
      <c r="L860" s="85"/>
      <c r="M860" s="85"/>
      <c r="N860" s="85"/>
      <c r="O860" s="85"/>
      <c r="P860" s="85"/>
      <c r="Q860" s="85"/>
      <c r="R860" s="85"/>
      <c r="S860" s="85"/>
      <c r="T860" s="85"/>
      <c r="U860" s="1"/>
      <c r="V860" s="1"/>
    </row>
    <row r="861" spans="3:22" x14ac:dyDescent="0.3">
      <c r="C861" s="21"/>
      <c r="D861" s="1"/>
      <c r="E861" s="1"/>
      <c r="F861" s="1"/>
      <c r="G861" s="1"/>
      <c r="H861" s="1"/>
      <c r="I861" s="1"/>
      <c r="J861" s="25"/>
      <c r="K861" s="81"/>
      <c r="L861" s="85"/>
      <c r="M861" s="85"/>
      <c r="N861" s="85"/>
      <c r="O861" s="85"/>
      <c r="P861" s="85"/>
      <c r="Q861" s="85"/>
      <c r="R861" s="85"/>
      <c r="S861" s="85"/>
      <c r="T861" s="85"/>
      <c r="U861" s="1"/>
      <c r="V861" s="1"/>
    </row>
    <row r="862" spans="3:22" x14ac:dyDescent="0.3">
      <c r="C862" s="21"/>
      <c r="D862" s="1"/>
      <c r="E862" s="1"/>
      <c r="F862" s="1"/>
      <c r="G862" s="1"/>
      <c r="H862" s="1"/>
      <c r="I862" s="1"/>
      <c r="J862" s="25"/>
      <c r="K862" s="81"/>
      <c r="L862" s="85"/>
      <c r="M862" s="85"/>
      <c r="N862" s="85"/>
      <c r="O862" s="85"/>
      <c r="P862" s="85"/>
      <c r="Q862" s="85"/>
      <c r="R862" s="85"/>
      <c r="S862" s="85"/>
      <c r="T862" s="85"/>
      <c r="U862" s="1"/>
      <c r="V862" s="1"/>
    </row>
    <row r="863" spans="3:22" x14ac:dyDescent="0.3">
      <c r="C863" s="21"/>
      <c r="D863" s="1"/>
      <c r="E863" s="1"/>
      <c r="F863" s="1"/>
      <c r="G863" s="1"/>
      <c r="H863" s="1"/>
      <c r="I863" s="1"/>
      <c r="J863" s="1"/>
      <c r="L863" s="85"/>
      <c r="M863" s="85"/>
      <c r="N863" s="85"/>
      <c r="O863" s="85"/>
      <c r="P863" s="85"/>
      <c r="Q863" s="85"/>
      <c r="R863" s="85"/>
      <c r="S863" s="85"/>
      <c r="T863" s="85"/>
      <c r="U863" s="1"/>
      <c r="V863" s="1"/>
    </row>
    <row r="864" spans="3:22" x14ac:dyDescent="0.3">
      <c r="C864" s="21"/>
      <c r="D864" s="1"/>
      <c r="E864" s="1"/>
      <c r="F864" s="1"/>
      <c r="G864" s="1"/>
      <c r="H864" s="1"/>
      <c r="I864" s="1"/>
      <c r="J864" s="1"/>
      <c r="L864" s="85"/>
      <c r="M864" s="85"/>
      <c r="N864" s="85"/>
      <c r="O864" s="85"/>
      <c r="P864" s="85"/>
      <c r="Q864" s="85"/>
      <c r="R864" s="85"/>
      <c r="S864" s="85"/>
      <c r="T864" s="85"/>
      <c r="U864" s="1"/>
      <c r="V864" s="1"/>
    </row>
    <row r="865" spans="3:22" x14ac:dyDescent="0.3">
      <c r="C865" s="21"/>
      <c r="D865" s="1"/>
      <c r="E865" s="1"/>
      <c r="F865" s="1"/>
      <c r="G865" s="1"/>
      <c r="H865" s="1"/>
      <c r="I865" s="1"/>
      <c r="J865" s="1"/>
      <c r="L865" s="85"/>
      <c r="M865" s="85"/>
      <c r="N865" s="85"/>
      <c r="O865" s="85"/>
      <c r="P865" s="85"/>
      <c r="Q865" s="85"/>
      <c r="R865" s="85"/>
      <c r="S865" s="85"/>
      <c r="T865" s="85"/>
      <c r="U865" s="1"/>
      <c r="V865" s="1"/>
    </row>
    <row r="866" spans="3:22" x14ac:dyDescent="0.3">
      <c r="C866" s="21"/>
      <c r="D866" s="1"/>
      <c r="E866" s="1"/>
      <c r="F866" s="1"/>
      <c r="G866" s="1"/>
      <c r="H866" s="1"/>
      <c r="I866" s="1"/>
      <c r="J866" s="1"/>
      <c r="L866" s="85"/>
      <c r="M866" s="85"/>
      <c r="N866" s="85"/>
      <c r="O866" s="85"/>
      <c r="P866" s="85"/>
      <c r="Q866" s="85"/>
      <c r="R866" s="85"/>
      <c r="S866" s="85"/>
      <c r="T866" s="85"/>
      <c r="U866" s="1"/>
      <c r="V866" s="1"/>
    </row>
    <row r="867" spans="3:22" x14ac:dyDescent="0.3">
      <c r="C867" s="21"/>
      <c r="D867" s="1"/>
      <c r="E867" s="1"/>
      <c r="F867" s="1"/>
      <c r="G867" s="1"/>
      <c r="H867" s="1"/>
      <c r="I867" s="1"/>
      <c r="J867" s="1"/>
      <c r="L867" s="85"/>
      <c r="M867" s="85"/>
      <c r="N867" s="85"/>
      <c r="O867" s="85"/>
      <c r="P867" s="85"/>
      <c r="Q867" s="85"/>
      <c r="R867" s="85"/>
      <c r="S867" s="85"/>
      <c r="T867" s="85"/>
      <c r="U867" s="1"/>
      <c r="V867" s="1"/>
    </row>
    <row r="868" spans="3:22" x14ac:dyDescent="0.3">
      <c r="C868" s="21"/>
      <c r="D868" s="1"/>
      <c r="E868" s="1"/>
      <c r="F868" s="1"/>
      <c r="G868" s="1"/>
      <c r="H868" s="1"/>
      <c r="I868" s="1"/>
      <c r="J868" s="1"/>
      <c r="L868" s="85"/>
      <c r="M868" s="85"/>
      <c r="N868" s="85"/>
      <c r="O868" s="85"/>
      <c r="P868" s="85"/>
      <c r="Q868" s="85"/>
      <c r="R868" s="85"/>
      <c r="S868" s="85"/>
      <c r="T868" s="85"/>
      <c r="U868" s="1"/>
      <c r="V868" s="1"/>
    </row>
    <row r="869" spans="3:22" x14ac:dyDescent="0.3">
      <c r="C869" s="21"/>
      <c r="D869" s="1"/>
      <c r="E869" s="1"/>
      <c r="F869" s="1"/>
      <c r="G869" s="1"/>
      <c r="H869" s="1"/>
      <c r="I869" s="1"/>
      <c r="J869" s="1"/>
      <c r="L869" s="85"/>
      <c r="M869" s="85"/>
      <c r="N869" s="85"/>
      <c r="O869" s="85"/>
      <c r="P869" s="85"/>
      <c r="Q869" s="85"/>
      <c r="R869" s="85"/>
      <c r="S869" s="85"/>
      <c r="T869" s="85"/>
      <c r="U869" s="1"/>
      <c r="V869" s="1"/>
    </row>
    <row r="870" spans="3:22" x14ac:dyDescent="0.3">
      <c r="C870" s="21"/>
      <c r="D870" s="1"/>
      <c r="E870" s="1"/>
      <c r="F870" s="1"/>
      <c r="G870" s="1"/>
      <c r="H870" s="1"/>
      <c r="I870" s="1"/>
      <c r="J870" s="1"/>
      <c r="L870" s="85"/>
      <c r="M870" s="85"/>
      <c r="N870" s="85"/>
      <c r="O870" s="85"/>
      <c r="P870" s="85"/>
      <c r="Q870" s="85"/>
      <c r="R870" s="85"/>
      <c r="S870" s="85"/>
      <c r="T870" s="85"/>
      <c r="U870" s="1"/>
      <c r="V870" s="1"/>
    </row>
    <row r="871" spans="3:22" x14ac:dyDescent="0.3">
      <c r="C871" s="21"/>
      <c r="D871" s="1"/>
      <c r="E871" s="1"/>
      <c r="F871" s="1"/>
      <c r="G871" s="1"/>
      <c r="H871" s="1"/>
      <c r="I871" s="1"/>
      <c r="J871" s="1"/>
      <c r="L871" s="85"/>
      <c r="M871" s="85"/>
      <c r="N871" s="85"/>
      <c r="O871" s="85"/>
      <c r="P871" s="85"/>
      <c r="Q871" s="85"/>
      <c r="R871" s="85"/>
      <c r="S871" s="85"/>
      <c r="T871" s="85"/>
      <c r="U871" s="1"/>
      <c r="V871" s="1"/>
    </row>
    <row r="872" spans="3:22" x14ac:dyDescent="0.3">
      <c r="C872" s="21"/>
      <c r="D872" s="1"/>
      <c r="E872" s="1"/>
      <c r="F872" s="1"/>
      <c r="G872" s="1"/>
      <c r="H872" s="1"/>
      <c r="I872" s="1"/>
      <c r="J872" s="1"/>
      <c r="L872" s="85"/>
      <c r="M872" s="85"/>
      <c r="N872" s="85"/>
      <c r="O872" s="85"/>
      <c r="P872" s="85"/>
      <c r="Q872" s="85"/>
      <c r="R872" s="85"/>
      <c r="S872" s="85"/>
      <c r="T872" s="85"/>
      <c r="U872" s="1"/>
      <c r="V872" s="1"/>
    </row>
    <row r="873" spans="3:22" x14ac:dyDescent="0.3">
      <c r="C873" s="21"/>
      <c r="D873" s="1"/>
      <c r="E873" s="1"/>
      <c r="F873" s="1"/>
      <c r="G873" s="1"/>
      <c r="H873" s="1"/>
      <c r="I873" s="1"/>
      <c r="J873" s="1"/>
      <c r="L873" s="85"/>
      <c r="M873" s="85"/>
      <c r="N873" s="85"/>
      <c r="O873" s="85"/>
      <c r="P873" s="85"/>
      <c r="Q873" s="85"/>
      <c r="R873" s="85"/>
      <c r="S873" s="85"/>
      <c r="T873" s="85"/>
      <c r="U873" s="1"/>
      <c r="V873" s="1"/>
    </row>
    <row r="874" spans="3:22" x14ac:dyDescent="0.3">
      <c r="C874" s="21"/>
      <c r="D874" s="1"/>
      <c r="E874" s="1"/>
      <c r="F874" s="1"/>
      <c r="G874" s="1"/>
      <c r="H874" s="1"/>
      <c r="I874" s="1"/>
      <c r="J874" s="1"/>
      <c r="L874" s="85"/>
      <c r="M874" s="85"/>
      <c r="N874" s="85"/>
      <c r="O874" s="85"/>
      <c r="P874" s="85"/>
      <c r="Q874" s="85"/>
      <c r="R874" s="85"/>
      <c r="S874" s="85"/>
      <c r="T874" s="85"/>
      <c r="U874" s="1"/>
      <c r="V874" s="1"/>
    </row>
    <row r="875" spans="3:22" x14ac:dyDescent="0.3">
      <c r="C875" s="21"/>
      <c r="D875" s="1"/>
      <c r="E875" s="1"/>
      <c r="F875" s="1"/>
      <c r="G875" s="1"/>
      <c r="H875" s="1"/>
      <c r="I875" s="1"/>
      <c r="J875" s="1"/>
      <c r="L875" s="85"/>
      <c r="M875" s="85"/>
      <c r="N875" s="85"/>
      <c r="O875" s="85"/>
      <c r="P875" s="85"/>
      <c r="Q875" s="85"/>
      <c r="R875" s="85"/>
      <c r="S875" s="85"/>
      <c r="T875" s="85"/>
      <c r="U875" s="1"/>
      <c r="V875" s="1"/>
    </row>
    <row r="876" spans="3:22" x14ac:dyDescent="0.3">
      <c r="C876" s="21"/>
      <c r="D876" s="1"/>
      <c r="E876" s="1"/>
      <c r="F876" s="1"/>
      <c r="G876" s="1"/>
      <c r="H876" s="1"/>
      <c r="I876" s="1"/>
      <c r="J876" s="1"/>
      <c r="L876" s="85"/>
      <c r="M876" s="85"/>
      <c r="N876" s="85"/>
      <c r="O876" s="85"/>
      <c r="P876" s="85"/>
      <c r="Q876" s="85"/>
      <c r="R876" s="85"/>
      <c r="S876" s="85"/>
      <c r="T876" s="85"/>
      <c r="U876" s="1"/>
      <c r="V876" s="1"/>
    </row>
    <row r="877" spans="3:22" x14ac:dyDescent="0.3">
      <c r="C877" s="21"/>
      <c r="D877" s="1"/>
      <c r="E877" s="1"/>
      <c r="F877" s="1"/>
      <c r="G877" s="1"/>
      <c r="H877" s="1"/>
      <c r="I877" s="1"/>
      <c r="J877" s="1"/>
      <c r="L877" s="85"/>
      <c r="M877" s="85"/>
      <c r="N877" s="85"/>
      <c r="O877" s="85"/>
      <c r="P877" s="85"/>
      <c r="Q877" s="85"/>
      <c r="R877" s="85"/>
      <c r="S877" s="85"/>
      <c r="T877" s="85"/>
      <c r="U877" s="1"/>
      <c r="V877" s="1"/>
    </row>
    <row r="878" spans="3:22" x14ac:dyDescent="0.3">
      <c r="C878" s="21"/>
      <c r="D878" s="1"/>
      <c r="E878" s="1"/>
      <c r="F878" s="1"/>
      <c r="G878" s="1"/>
      <c r="H878" s="1"/>
      <c r="I878" s="1"/>
      <c r="J878" s="1"/>
      <c r="L878" s="85"/>
      <c r="M878" s="85"/>
      <c r="N878" s="85"/>
      <c r="O878" s="85"/>
      <c r="P878" s="85"/>
      <c r="Q878" s="85"/>
      <c r="R878" s="85"/>
      <c r="S878" s="85"/>
      <c r="T878" s="85"/>
      <c r="U878" s="1"/>
      <c r="V878" s="1"/>
    </row>
    <row r="879" spans="3:22" x14ac:dyDescent="0.3">
      <c r="C879" s="21"/>
      <c r="D879" s="1"/>
      <c r="E879" s="1"/>
      <c r="F879" s="1"/>
      <c r="G879" s="1"/>
      <c r="H879" s="1"/>
      <c r="I879" s="1"/>
      <c r="J879" s="1"/>
      <c r="L879" s="85"/>
      <c r="M879" s="85"/>
      <c r="N879" s="85"/>
      <c r="O879" s="85"/>
      <c r="P879" s="85"/>
      <c r="Q879" s="85"/>
      <c r="R879" s="85"/>
      <c r="S879" s="85"/>
      <c r="T879" s="85"/>
      <c r="U879" s="1"/>
      <c r="V879" s="1"/>
    </row>
    <row r="880" spans="3:22" x14ac:dyDescent="0.3">
      <c r="C880" s="21"/>
      <c r="D880" s="1"/>
      <c r="E880" s="1"/>
      <c r="F880" s="1"/>
      <c r="G880" s="1"/>
      <c r="H880" s="1"/>
      <c r="I880" s="1"/>
      <c r="J880" s="1"/>
      <c r="L880" s="85"/>
      <c r="M880" s="85"/>
      <c r="N880" s="85"/>
      <c r="O880" s="85"/>
      <c r="P880" s="85"/>
      <c r="Q880" s="85"/>
      <c r="R880" s="85"/>
      <c r="S880" s="85"/>
      <c r="T880" s="85"/>
      <c r="U880" s="1"/>
      <c r="V880" s="1"/>
    </row>
    <row r="881" spans="3:22" x14ac:dyDescent="0.3">
      <c r="C881" s="21"/>
      <c r="D881" s="1"/>
      <c r="E881" s="1"/>
      <c r="F881" s="1"/>
      <c r="G881" s="1"/>
      <c r="H881" s="1"/>
      <c r="I881" s="1"/>
      <c r="J881" s="1"/>
      <c r="L881" s="85"/>
      <c r="M881" s="85"/>
      <c r="N881" s="85"/>
      <c r="O881" s="85"/>
      <c r="P881" s="85"/>
      <c r="Q881" s="85"/>
      <c r="R881" s="85"/>
      <c r="S881" s="85"/>
      <c r="T881" s="85"/>
      <c r="U881" s="1"/>
      <c r="V881" s="1"/>
    </row>
    <row r="882" spans="3:22" x14ac:dyDescent="0.3">
      <c r="C882" s="21"/>
      <c r="D882" s="1"/>
      <c r="E882" s="1"/>
      <c r="F882" s="1"/>
      <c r="G882" s="1"/>
      <c r="H882" s="1"/>
      <c r="I882" s="1"/>
      <c r="J882" s="1"/>
      <c r="L882" s="85"/>
      <c r="M882" s="85"/>
      <c r="N882" s="85"/>
      <c r="O882" s="85"/>
      <c r="P882" s="85"/>
      <c r="Q882" s="85"/>
      <c r="R882" s="85"/>
      <c r="S882" s="85"/>
      <c r="T882" s="85"/>
      <c r="U882" s="1"/>
      <c r="V882" s="1"/>
    </row>
    <row r="883" spans="3:22" x14ac:dyDescent="0.3">
      <c r="C883" s="21"/>
      <c r="D883" s="1"/>
      <c r="E883" s="1"/>
      <c r="F883" s="1"/>
      <c r="G883" s="1"/>
      <c r="H883" s="1"/>
      <c r="I883" s="1"/>
      <c r="J883" s="1"/>
      <c r="L883" s="85"/>
      <c r="M883" s="85"/>
      <c r="N883" s="85"/>
      <c r="O883" s="85"/>
      <c r="P883" s="85"/>
      <c r="Q883" s="85"/>
      <c r="R883" s="85"/>
      <c r="S883" s="85"/>
      <c r="T883" s="85"/>
      <c r="U883" s="1"/>
      <c r="V883" s="1"/>
    </row>
    <row r="884" spans="3:22" x14ac:dyDescent="0.3">
      <c r="C884" s="21"/>
      <c r="D884" s="1"/>
      <c r="E884" s="1"/>
      <c r="F884" s="1"/>
      <c r="G884" s="1"/>
      <c r="H884" s="1"/>
      <c r="I884" s="1"/>
      <c r="J884" s="1"/>
      <c r="L884" s="85"/>
      <c r="M884" s="85"/>
      <c r="N884" s="85"/>
      <c r="O884" s="85"/>
      <c r="P884" s="85"/>
      <c r="Q884" s="85"/>
      <c r="R884" s="85"/>
      <c r="S884" s="85"/>
      <c r="T884" s="85"/>
      <c r="U884" s="1"/>
      <c r="V884" s="1"/>
    </row>
    <row r="885" spans="3:22" x14ac:dyDescent="0.3">
      <c r="C885" s="21"/>
      <c r="D885" s="1"/>
      <c r="E885" s="1"/>
      <c r="F885" s="1"/>
      <c r="G885" s="1"/>
      <c r="H885" s="1"/>
      <c r="I885" s="1"/>
      <c r="J885" s="1"/>
      <c r="L885" s="85"/>
      <c r="M885" s="85"/>
      <c r="N885" s="85"/>
      <c r="O885" s="85"/>
      <c r="P885" s="85"/>
      <c r="Q885" s="85"/>
      <c r="R885" s="85"/>
      <c r="S885" s="85"/>
      <c r="T885" s="85"/>
      <c r="U885" s="1"/>
      <c r="V885" s="1"/>
    </row>
    <row r="886" spans="3:22" x14ac:dyDescent="0.3">
      <c r="C886" s="21"/>
      <c r="D886" s="1"/>
      <c r="E886" s="1"/>
      <c r="F886" s="1"/>
      <c r="G886" s="1"/>
      <c r="H886" s="1"/>
      <c r="I886" s="1"/>
      <c r="J886" s="1"/>
      <c r="L886" s="85"/>
      <c r="M886" s="85"/>
      <c r="N886" s="85"/>
      <c r="O886" s="85"/>
      <c r="P886" s="85"/>
      <c r="Q886" s="85"/>
      <c r="R886" s="85"/>
      <c r="S886" s="85"/>
      <c r="T886" s="85"/>
      <c r="U886" s="1"/>
      <c r="V886" s="1"/>
    </row>
    <row r="887" spans="3:22" x14ac:dyDescent="0.3">
      <c r="C887" s="21"/>
      <c r="D887" s="1"/>
      <c r="E887" s="1"/>
      <c r="F887" s="1"/>
      <c r="G887" s="1"/>
      <c r="H887" s="1"/>
      <c r="I887" s="1"/>
      <c r="J887" s="1"/>
      <c r="L887" s="85"/>
      <c r="M887" s="85"/>
      <c r="N887" s="85"/>
      <c r="O887" s="85"/>
      <c r="P887" s="85"/>
      <c r="Q887" s="85"/>
      <c r="R887" s="85"/>
      <c r="S887" s="85"/>
      <c r="T887" s="85"/>
      <c r="U887" s="1"/>
      <c r="V887" s="1"/>
    </row>
    <row r="888" spans="3:22" x14ac:dyDescent="0.3">
      <c r="C888" s="21"/>
      <c r="D888" s="1"/>
      <c r="E888" s="1"/>
      <c r="F888" s="1"/>
      <c r="G888" s="1"/>
      <c r="H888" s="1"/>
      <c r="I888" s="1"/>
      <c r="J888" s="1"/>
      <c r="L888" s="85"/>
      <c r="M888" s="85"/>
      <c r="N888" s="85"/>
      <c r="O888" s="85"/>
      <c r="P888" s="85"/>
      <c r="Q888" s="85"/>
      <c r="R888" s="85"/>
      <c r="S888" s="85"/>
      <c r="T888" s="85"/>
      <c r="U888" s="1"/>
      <c r="V888" s="1"/>
    </row>
    <row r="889" spans="3:22" x14ac:dyDescent="0.3">
      <c r="C889" s="21"/>
      <c r="D889" s="1"/>
      <c r="E889" s="1"/>
      <c r="F889" s="1"/>
      <c r="G889" s="1"/>
      <c r="H889" s="1"/>
      <c r="I889" s="1"/>
      <c r="J889" s="1"/>
      <c r="L889" s="85"/>
      <c r="M889" s="85"/>
      <c r="N889" s="85"/>
      <c r="O889" s="85"/>
      <c r="P889" s="85"/>
      <c r="Q889" s="85"/>
      <c r="R889" s="85"/>
      <c r="S889" s="85"/>
      <c r="T889" s="85"/>
      <c r="U889" s="1"/>
      <c r="V889" s="1"/>
    </row>
    <row r="890" spans="3:22" x14ac:dyDescent="0.3">
      <c r="C890" s="21"/>
      <c r="D890" s="1"/>
      <c r="E890" s="1"/>
      <c r="F890" s="1"/>
      <c r="G890" s="1"/>
      <c r="H890" s="1"/>
      <c r="I890" s="1"/>
      <c r="J890" s="1"/>
      <c r="L890" s="85"/>
      <c r="M890" s="85"/>
      <c r="N890" s="85"/>
      <c r="O890" s="85"/>
      <c r="P890" s="85"/>
      <c r="Q890" s="85"/>
      <c r="R890" s="85"/>
      <c r="S890" s="85"/>
      <c r="T890" s="85"/>
      <c r="U890" s="1"/>
      <c r="V890" s="1"/>
    </row>
    <row r="891" spans="3:22" x14ac:dyDescent="0.3">
      <c r="C891" s="21"/>
      <c r="D891" s="1"/>
      <c r="E891" s="1"/>
      <c r="F891" s="1"/>
      <c r="G891" s="1"/>
      <c r="H891" s="1"/>
      <c r="I891" s="1"/>
      <c r="J891" s="1"/>
      <c r="L891" s="85"/>
      <c r="M891" s="85"/>
      <c r="N891" s="85"/>
      <c r="O891" s="85"/>
      <c r="P891" s="85"/>
      <c r="Q891" s="85"/>
      <c r="R891" s="85"/>
      <c r="S891" s="85"/>
      <c r="T891" s="85"/>
      <c r="U891" s="1"/>
      <c r="V891" s="1"/>
    </row>
    <row r="892" spans="3:22" x14ac:dyDescent="0.3">
      <c r="C892" s="21"/>
      <c r="D892" s="1"/>
      <c r="E892" s="1"/>
      <c r="F892" s="1"/>
      <c r="G892" s="1"/>
      <c r="H892" s="1"/>
      <c r="I892" s="1"/>
      <c r="J892" s="1"/>
      <c r="L892" s="85"/>
      <c r="M892" s="85"/>
      <c r="N892" s="85"/>
      <c r="O892" s="85"/>
      <c r="P892" s="85"/>
      <c r="Q892" s="85"/>
      <c r="R892" s="85"/>
      <c r="S892" s="85"/>
      <c r="T892" s="85"/>
      <c r="U892" s="1"/>
      <c r="V892" s="1"/>
    </row>
    <row r="893" spans="3:22" x14ac:dyDescent="0.3">
      <c r="C893" s="21"/>
      <c r="D893" s="1"/>
      <c r="E893" s="1"/>
      <c r="F893" s="1"/>
      <c r="G893" s="1"/>
      <c r="H893" s="1"/>
      <c r="I893" s="1"/>
      <c r="J893" s="1"/>
      <c r="L893" s="85"/>
      <c r="M893" s="85"/>
      <c r="N893" s="85"/>
      <c r="O893" s="85"/>
      <c r="P893" s="85"/>
      <c r="Q893" s="85"/>
      <c r="R893" s="85"/>
      <c r="S893" s="85"/>
      <c r="T893" s="85"/>
      <c r="U893" s="1"/>
      <c r="V893" s="1"/>
    </row>
    <row r="894" spans="3:22" x14ac:dyDescent="0.3">
      <c r="C894" s="21"/>
      <c r="D894" s="1"/>
      <c r="E894" s="1"/>
      <c r="F894" s="1"/>
      <c r="G894" s="1"/>
      <c r="H894" s="1"/>
      <c r="I894" s="1"/>
      <c r="J894" s="1"/>
      <c r="L894" s="85"/>
      <c r="M894" s="85"/>
      <c r="N894" s="85"/>
      <c r="O894" s="85"/>
      <c r="P894" s="85"/>
      <c r="Q894" s="85"/>
      <c r="R894" s="85"/>
      <c r="S894" s="85"/>
      <c r="T894" s="85"/>
      <c r="U894" s="1"/>
      <c r="V894" s="1"/>
    </row>
    <row r="895" spans="3:22" x14ac:dyDescent="0.3">
      <c r="C895" s="21"/>
      <c r="D895" s="1"/>
      <c r="E895" s="1"/>
      <c r="F895" s="1"/>
      <c r="G895" s="1"/>
      <c r="H895" s="1"/>
      <c r="I895" s="1"/>
      <c r="J895" s="1"/>
      <c r="L895" s="85"/>
      <c r="M895" s="85"/>
      <c r="N895" s="85"/>
      <c r="O895" s="85"/>
      <c r="P895" s="85"/>
      <c r="Q895" s="85"/>
      <c r="R895" s="85"/>
      <c r="S895" s="85"/>
      <c r="T895" s="85"/>
      <c r="U895" s="1"/>
      <c r="V895" s="1"/>
    </row>
    <row r="896" spans="3:22" x14ac:dyDescent="0.3">
      <c r="C896" s="21"/>
      <c r="D896" s="1"/>
      <c r="E896" s="1"/>
      <c r="F896" s="1"/>
      <c r="G896" s="1"/>
      <c r="H896" s="1"/>
      <c r="I896" s="1"/>
      <c r="J896" s="1"/>
      <c r="L896" s="85"/>
      <c r="M896" s="85"/>
      <c r="N896" s="85"/>
      <c r="O896" s="85"/>
      <c r="P896" s="85"/>
      <c r="Q896" s="85"/>
      <c r="R896" s="85"/>
      <c r="S896" s="85"/>
      <c r="T896" s="85"/>
      <c r="U896" s="1"/>
      <c r="V896" s="1"/>
    </row>
    <row r="897" spans="3:22" x14ac:dyDescent="0.3">
      <c r="C897" s="21"/>
      <c r="D897" s="1"/>
      <c r="E897" s="1"/>
      <c r="F897" s="1"/>
      <c r="G897" s="1"/>
      <c r="H897" s="1"/>
      <c r="I897" s="1"/>
      <c r="J897" s="1"/>
      <c r="L897" s="85"/>
      <c r="M897" s="85"/>
      <c r="N897" s="85"/>
      <c r="O897" s="85"/>
      <c r="P897" s="85"/>
      <c r="Q897" s="85"/>
      <c r="R897" s="85"/>
      <c r="S897" s="85"/>
      <c r="T897" s="85"/>
      <c r="U897" s="1"/>
      <c r="V897" s="1"/>
    </row>
    <row r="898" spans="3:22" x14ac:dyDescent="0.3">
      <c r="C898" s="21"/>
      <c r="D898" s="1"/>
      <c r="E898" s="1"/>
      <c r="F898" s="1"/>
      <c r="G898" s="1"/>
      <c r="H898" s="1"/>
      <c r="I898" s="1"/>
      <c r="J898" s="1"/>
      <c r="L898" s="85"/>
      <c r="M898" s="85"/>
      <c r="N898" s="85"/>
      <c r="O898" s="85"/>
      <c r="P898" s="85"/>
      <c r="Q898" s="85"/>
      <c r="R898" s="85"/>
      <c r="S898" s="85"/>
      <c r="T898" s="85"/>
      <c r="U898" s="1"/>
      <c r="V898" s="1"/>
    </row>
    <row r="899" spans="3:22" x14ac:dyDescent="0.3">
      <c r="C899" s="21"/>
      <c r="D899" s="1"/>
      <c r="E899" s="1"/>
      <c r="F899" s="1"/>
      <c r="G899" s="1"/>
      <c r="H899" s="1"/>
      <c r="I899" s="1"/>
      <c r="J899" s="1"/>
      <c r="L899" s="85"/>
      <c r="M899" s="85"/>
      <c r="N899" s="85"/>
      <c r="O899" s="85"/>
      <c r="P899" s="85"/>
      <c r="Q899" s="85"/>
      <c r="R899" s="85"/>
      <c r="S899" s="85"/>
      <c r="T899" s="85"/>
      <c r="U899" s="1"/>
      <c r="V899" s="1"/>
    </row>
    <row r="900" spans="3:22" x14ac:dyDescent="0.3">
      <c r="C900" s="21"/>
      <c r="D900" s="1"/>
      <c r="E900" s="1"/>
      <c r="F900" s="1"/>
      <c r="G900" s="1"/>
      <c r="H900" s="1"/>
      <c r="I900" s="1"/>
      <c r="J900" s="1"/>
      <c r="L900" s="85"/>
      <c r="M900" s="85"/>
      <c r="N900" s="85"/>
      <c r="O900" s="85"/>
      <c r="P900" s="85"/>
      <c r="Q900" s="85"/>
      <c r="R900" s="85"/>
      <c r="S900" s="85"/>
      <c r="T900" s="85"/>
      <c r="U900" s="1"/>
      <c r="V900" s="1"/>
    </row>
    <row r="901" spans="3:22" x14ac:dyDescent="0.3">
      <c r="C901" s="21"/>
      <c r="D901" s="1"/>
      <c r="E901" s="1"/>
      <c r="F901" s="1"/>
      <c r="G901" s="1"/>
      <c r="H901" s="1"/>
      <c r="I901" s="1"/>
      <c r="J901" s="1"/>
      <c r="L901" s="85"/>
      <c r="M901" s="85"/>
      <c r="N901" s="85"/>
      <c r="O901" s="85"/>
      <c r="P901" s="85"/>
      <c r="Q901" s="85"/>
      <c r="R901" s="85"/>
      <c r="S901" s="85"/>
      <c r="T901" s="85"/>
      <c r="U901" s="1"/>
      <c r="V901" s="1"/>
    </row>
    <row r="902" spans="3:22" x14ac:dyDescent="0.3">
      <c r="C902" s="21"/>
      <c r="D902" s="1"/>
      <c r="E902" s="1"/>
      <c r="F902" s="1"/>
      <c r="G902" s="1"/>
      <c r="H902" s="1"/>
      <c r="I902" s="1"/>
      <c r="J902" s="1"/>
      <c r="L902" s="85"/>
      <c r="M902" s="85"/>
      <c r="N902" s="85"/>
      <c r="O902" s="85"/>
      <c r="P902" s="85"/>
      <c r="Q902" s="85"/>
      <c r="R902" s="85"/>
      <c r="S902" s="85"/>
      <c r="T902" s="85"/>
      <c r="U902" s="1"/>
      <c r="V902" s="1"/>
    </row>
    <row r="903" spans="3:22" x14ac:dyDescent="0.3">
      <c r="C903" s="21"/>
      <c r="D903" s="1"/>
      <c r="E903" s="1"/>
      <c r="F903" s="1"/>
      <c r="G903" s="1"/>
      <c r="H903" s="1"/>
      <c r="I903" s="1"/>
      <c r="J903" s="1"/>
      <c r="L903" s="85"/>
      <c r="M903" s="85"/>
      <c r="N903" s="85"/>
      <c r="O903" s="85"/>
      <c r="P903" s="85"/>
      <c r="Q903" s="85"/>
      <c r="R903" s="85"/>
      <c r="S903" s="85"/>
      <c r="T903" s="85"/>
      <c r="U903" s="1"/>
      <c r="V903" s="1"/>
    </row>
    <row r="904" spans="3:22" x14ac:dyDescent="0.3">
      <c r="C904" s="21"/>
      <c r="D904" s="1"/>
      <c r="E904" s="1"/>
      <c r="F904" s="1"/>
      <c r="G904" s="1"/>
      <c r="H904" s="1"/>
      <c r="I904" s="1"/>
      <c r="J904" s="1"/>
      <c r="L904" s="85"/>
      <c r="M904" s="85"/>
      <c r="N904" s="85"/>
      <c r="O904" s="85"/>
      <c r="P904" s="85"/>
      <c r="Q904" s="85"/>
      <c r="R904" s="85"/>
      <c r="S904" s="85"/>
      <c r="T904" s="85"/>
      <c r="U904" s="1"/>
      <c r="V904" s="1"/>
    </row>
    <row r="905" spans="3:22" x14ac:dyDescent="0.3">
      <c r="C905" s="21"/>
      <c r="D905" s="1"/>
      <c r="E905" s="1"/>
      <c r="F905" s="1"/>
      <c r="G905" s="1"/>
      <c r="H905" s="1"/>
      <c r="I905" s="1"/>
      <c r="J905" s="1"/>
      <c r="L905" s="85"/>
      <c r="M905" s="85"/>
      <c r="N905" s="85"/>
      <c r="O905" s="85"/>
      <c r="P905" s="85"/>
      <c r="Q905" s="85"/>
      <c r="R905" s="85"/>
      <c r="S905" s="85"/>
      <c r="T905" s="85"/>
      <c r="U905" s="1"/>
      <c r="V905" s="1"/>
    </row>
    <row r="906" spans="3:22" x14ac:dyDescent="0.3">
      <c r="C906" s="21"/>
      <c r="D906" s="1"/>
      <c r="E906" s="1"/>
      <c r="F906" s="1"/>
      <c r="G906" s="1"/>
      <c r="H906" s="1"/>
      <c r="I906" s="1"/>
      <c r="J906" s="1"/>
      <c r="L906" s="85"/>
      <c r="M906" s="85"/>
      <c r="N906" s="85"/>
      <c r="O906" s="85"/>
      <c r="P906" s="85"/>
      <c r="Q906" s="85"/>
      <c r="R906" s="85"/>
      <c r="S906" s="85"/>
      <c r="T906" s="85"/>
      <c r="U906" s="1"/>
      <c r="V906" s="1"/>
    </row>
    <row r="907" spans="3:22" x14ac:dyDescent="0.3">
      <c r="C907" s="21"/>
      <c r="D907" s="1"/>
      <c r="E907" s="1"/>
      <c r="F907" s="1"/>
      <c r="G907" s="1"/>
      <c r="H907" s="1"/>
      <c r="I907" s="1"/>
      <c r="J907" s="1"/>
      <c r="L907" s="85"/>
      <c r="M907" s="85"/>
      <c r="N907" s="85"/>
      <c r="O907" s="85"/>
      <c r="P907" s="85"/>
      <c r="Q907" s="85"/>
      <c r="R907" s="85"/>
      <c r="S907" s="85"/>
      <c r="T907" s="85"/>
      <c r="U907" s="1"/>
      <c r="V907" s="1"/>
    </row>
    <row r="908" spans="3:22" x14ac:dyDescent="0.3">
      <c r="C908" s="21"/>
      <c r="D908" s="1"/>
      <c r="E908" s="1"/>
      <c r="F908" s="1"/>
      <c r="G908" s="1"/>
      <c r="H908" s="1"/>
      <c r="I908" s="1"/>
      <c r="J908" s="1"/>
      <c r="L908" s="85"/>
      <c r="M908" s="85"/>
      <c r="N908" s="85"/>
      <c r="O908" s="85"/>
      <c r="P908" s="85"/>
      <c r="Q908" s="85"/>
      <c r="R908" s="85"/>
      <c r="S908" s="85"/>
      <c r="T908" s="85"/>
      <c r="U908" s="1"/>
      <c r="V908" s="1"/>
    </row>
    <row r="909" spans="3:22" x14ac:dyDescent="0.3">
      <c r="C909" s="21"/>
      <c r="D909" s="1"/>
      <c r="E909" s="1"/>
      <c r="F909" s="1"/>
      <c r="G909" s="1"/>
      <c r="H909" s="1"/>
      <c r="I909" s="1"/>
      <c r="J909" s="1"/>
      <c r="L909" s="85"/>
      <c r="M909" s="85"/>
      <c r="N909" s="85"/>
      <c r="O909" s="85"/>
      <c r="P909" s="85"/>
      <c r="Q909" s="85"/>
      <c r="R909" s="85"/>
      <c r="S909" s="85"/>
      <c r="T909" s="85"/>
      <c r="U909" s="1"/>
      <c r="V909" s="1"/>
    </row>
    <row r="910" spans="3:22" x14ac:dyDescent="0.3">
      <c r="C910" s="21"/>
      <c r="D910" s="1"/>
      <c r="E910" s="1"/>
      <c r="F910" s="1"/>
      <c r="G910" s="1"/>
      <c r="H910" s="1"/>
      <c r="I910" s="1"/>
      <c r="J910" s="1"/>
      <c r="L910" s="85"/>
      <c r="M910" s="85"/>
      <c r="N910" s="85"/>
      <c r="O910" s="85"/>
      <c r="P910" s="85"/>
      <c r="Q910" s="85"/>
      <c r="R910" s="85"/>
      <c r="S910" s="85"/>
      <c r="T910" s="85"/>
      <c r="U910" s="1"/>
      <c r="V910" s="1"/>
    </row>
    <row r="911" spans="3:22" x14ac:dyDescent="0.3">
      <c r="C911" s="21"/>
      <c r="D911" s="1"/>
      <c r="E911" s="1"/>
      <c r="F911" s="1"/>
      <c r="G911" s="1"/>
      <c r="H911" s="1"/>
      <c r="I911" s="1"/>
      <c r="J911" s="1"/>
      <c r="L911" s="85"/>
      <c r="M911" s="85"/>
      <c r="N911" s="85"/>
      <c r="O911" s="85"/>
      <c r="P911" s="85"/>
      <c r="Q911" s="85"/>
      <c r="R911" s="85"/>
      <c r="S911" s="85"/>
      <c r="T911" s="85"/>
      <c r="U911" s="1"/>
      <c r="V911" s="1"/>
    </row>
    <row r="912" spans="3:22" x14ac:dyDescent="0.3">
      <c r="C912" s="21"/>
      <c r="D912" s="1"/>
      <c r="E912" s="1"/>
      <c r="F912" s="1"/>
      <c r="G912" s="1"/>
      <c r="H912" s="1"/>
      <c r="I912" s="1"/>
      <c r="J912" s="1"/>
      <c r="L912" s="85"/>
      <c r="M912" s="85"/>
      <c r="N912" s="85"/>
      <c r="O912" s="85"/>
      <c r="P912" s="85"/>
      <c r="Q912" s="85"/>
      <c r="R912" s="85"/>
      <c r="S912" s="85"/>
      <c r="T912" s="85"/>
      <c r="U912" s="1"/>
      <c r="V912" s="1"/>
    </row>
    <row r="913" spans="3:22" x14ac:dyDescent="0.3">
      <c r="C913" s="21"/>
      <c r="D913" s="1"/>
      <c r="E913" s="1"/>
      <c r="F913" s="1"/>
      <c r="G913" s="1"/>
      <c r="H913" s="1"/>
      <c r="I913" s="1"/>
      <c r="J913" s="1"/>
      <c r="L913" s="85"/>
      <c r="M913" s="85"/>
      <c r="N913" s="85"/>
      <c r="O913" s="85"/>
      <c r="P913" s="85"/>
      <c r="Q913" s="85"/>
      <c r="R913" s="85"/>
      <c r="S913" s="85"/>
      <c r="T913" s="85"/>
      <c r="U913" s="1"/>
      <c r="V913" s="1"/>
    </row>
    <row r="914" spans="3:22" x14ac:dyDescent="0.3">
      <c r="C914" s="21"/>
      <c r="D914" s="1"/>
      <c r="E914" s="1"/>
      <c r="F914" s="1"/>
      <c r="G914" s="1"/>
      <c r="H914" s="1"/>
      <c r="I914" s="1"/>
      <c r="J914" s="1"/>
      <c r="L914" s="85"/>
      <c r="M914" s="85"/>
      <c r="N914" s="85"/>
      <c r="O914" s="85"/>
      <c r="P914" s="85"/>
      <c r="Q914" s="85"/>
      <c r="R914" s="85"/>
      <c r="S914" s="85"/>
      <c r="T914" s="85"/>
      <c r="U914" s="1"/>
      <c r="V914" s="1"/>
    </row>
    <row r="915" spans="3:22" x14ac:dyDescent="0.3">
      <c r="C915" s="21"/>
      <c r="D915" s="1"/>
      <c r="E915" s="1"/>
      <c r="F915" s="1"/>
      <c r="G915" s="1"/>
      <c r="H915" s="1"/>
      <c r="I915" s="1"/>
      <c r="J915" s="1"/>
      <c r="L915" s="85"/>
      <c r="M915" s="85"/>
      <c r="N915" s="85"/>
      <c r="O915" s="85"/>
      <c r="P915" s="85"/>
      <c r="Q915" s="85"/>
      <c r="R915" s="85"/>
      <c r="S915" s="85"/>
      <c r="T915" s="85"/>
      <c r="U915" s="1"/>
      <c r="V915" s="1"/>
    </row>
    <row r="916" spans="3:22" x14ac:dyDescent="0.3">
      <c r="C916" s="21"/>
      <c r="D916" s="1"/>
      <c r="E916" s="1"/>
      <c r="F916" s="1"/>
      <c r="G916" s="1"/>
      <c r="H916" s="1"/>
      <c r="I916" s="1"/>
      <c r="J916" s="1"/>
      <c r="L916" s="85"/>
      <c r="M916" s="85"/>
      <c r="N916" s="85"/>
      <c r="O916" s="85"/>
      <c r="P916" s="85"/>
      <c r="Q916" s="85"/>
      <c r="R916" s="85"/>
      <c r="S916" s="85"/>
      <c r="T916" s="85"/>
      <c r="U916" s="1"/>
      <c r="V916" s="1"/>
    </row>
    <row r="917" spans="3:22" x14ac:dyDescent="0.3">
      <c r="C917" s="21"/>
      <c r="D917" s="1"/>
      <c r="E917" s="1"/>
      <c r="F917" s="1"/>
      <c r="G917" s="1"/>
      <c r="H917" s="1"/>
      <c r="I917" s="1"/>
      <c r="J917" s="1"/>
      <c r="L917" s="85"/>
      <c r="M917" s="85"/>
      <c r="N917" s="85"/>
      <c r="O917" s="85"/>
      <c r="P917" s="85"/>
      <c r="Q917" s="85"/>
      <c r="R917" s="85"/>
      <c r="S917" s="85"/>
      <c r="T917" s="85"/>
      <c r="U917" s="1"/>
      <c r="V917" s="1"/>
    </row>
    <row r="918" spans="3:22" x14ac:dyDescent="0.3">
      <c r="C918" s="21"/>
      <c r="D918" s="1"/>
      <c r="E918" s="1"/>
      <c r="F918" s="1"/>
      <c r="G918" s="1"/>
      <c r="H918" s="1"/>
      <c r="I918" s="1"/>
      <c r="J918" s="1"/>
      <c r="L918" s="85"/>
      <c r="M918" s="85"/>
      <c r="N918" s="85"/>
      <c r="O918" s="85"/>
      <c r="P918" s="85"/>
      <c r="Q918" s="85"/>
      <c r="R918" s="85"/>
      <c r="S918" s="85"/>
      <c r="T918" s="85"/>
      <c r="U918" s="1"/>
      <c r="V918" s="1"/>
    </row>
    <row r="919" spans="3:22" x14ac:dyDescent="0.3">
      <c r="C919" s="21"/>
      <c r="D919" s="1"/>
      <c r="E919" s="1"/>
      <c r="F919" s="1"/>
      <c r="G919" s="1"/>
      <c r="H919" s="1"/>
      <c r="I919" s="1"/>
      <c r="J919" s="1"/>
      <c r="L919" s="85"/>
      <c r="M919" s="85"/>
      <c r="N919" s="85"/>
      <c r="O919" s="85"/>
      <c r="P919" s="85"/>
      <c r="Q919" s="85"/>
      <c r="R919" s="85"/>
      <c r="S919" s="85"/>
      <c r="T919" s="85"/>
      <c r="U919" s="1"/>
      <c r="V919" s="1"/>
    </row>
    <row r="920" spans="3:22" x14ac:dyDescent="0.3">
      <c r="C920" s="21"/>
      <c r="D920" s="1"/>
      <c r="E920" s="1"/>
      <c r="F920" s="1"/>
      <c r="G920" s="1"/>
      <c r="H920" s="1"/>
      <c r="I920" s="1"/>
      <c r="J920" s="1"/>
      <c r="L920" s="85"/>
      <c r="M920" s="85"/>
      <c r="N920" s="85"/>
      <c r="O920" s="85"/>
      <c r="P920" s="85"/>
      <c r="Q920" s="85"/>
      <c r="R920" s="85"/>
      <c r="S920" s="85"/>
      <c r="T920" s="85"/>
      <c r="U920" s="1"/>
      <c r="V920" s="1"/>
    </row>
    <row r="921" spans="3:22" x14ac:dyDescent="0.3">
      <c r="C921" s="21"/>
      <c r="D921" s="1"/>
      <c r="E921" s="1"/>
      <c r="F921" s="1"/>
      <c r="G921" s="1"/>
      <c r="H921" s="1"/>
      <c r="I921" s="1"/>
      <c r="J921" s="1"/>
      <c r="L921" s="85"/>
      <c r="M921" s="85"/>
      <c r="N921" s="85"/>
      <c r="O921" s="85"/>
      <c r="P921" s="85"/>
      <c r="Q921" s="85"/>
      <c r="R921" s="85"/>
      <c r="S921" s="85"/>
      <c r="T921" s="85"/>
      <c r="U921" s="1"/>
      <c r="V921" s="1"/>
    </row>
    <row r="922" spans="3:22" x14ac:dyDescent="0.3">
      <c r="C922" s="21"/>
      <c r="D922" s="1"/>
      <c r="E922" s="1"/>
      <c r="F922" s="1"/>
      <c r="G922" s="1"/>
      <c r="H922" s="1"/>
      <c r="I922" s="1"/>
      <c r="J922" s="1"/>
      <c r="L922" s="85"/>
      <c r="M922" s="85"/>
      <c r="N922" s="85"/>
      <c r="O922" s="85"/>
      <c r="P922" s="85"/>
      <c r="Q922" s="85"/>
      <c r="R922" s="85"/>
      <c r="S922" s="85"/>
      <c r="T922" s="85"/>
      <c r="U922" s="1"/>
      <c r="V922" s="1"/>
    </row>
    <row r="923" spans="3:22" x14ac:dyDescent="0.3">
      <c r="C923" s="21"/>
      <c r="D923" s="1"/>
      <c r="E923" s="1"/>
      <c r="F923" s="1"/>
      <c r="G923" s="1"/>
      <c r="H923" s="1"/>
      <c r="I923" s="1"/>
      <c r="J923" s="1"/>
      <c r="L923" s="85"/>
      <c r="M923" s="85"/>
      <c r="N923" s="85"/>
      <c r="O923" s="85"/>
      <c r="P923" s="85"/>
      <c r="Q923" s="85"/>
      <c r="R923" s="85"/>
      <c r="S923" s="85"/>
      <c r="T923" s="85"/>
      <c r="U923" s="1"/>
      <c r="V923" s="1"/>
    </row>
    <row r="924" spans="3:22" x14ac:dyDescent="0.3">
      <c r="C924" s="21"/>
      <c r="D924" s="1"/>
      <c r="E924" s="1"/>
      <c r="F924" s="1"/>
      <c r="G924" s="1"/>
      <c r="H924" s="1"/>
      <c r="I924" s="1"/>
      <c r="J924" s="1"/>
      <c r="L924" s="85"/>
      <c r="M924" s="85"/>
      <c r="N924" s="85"/>
      <c r="O924" s="85"/>
      <c r="P924" s="85"/>
      <c r="Q924" s="85"/>
      <c r="R924" s="85"/>
      <c r="S924" s="85"/>
      <c r="T924" s="85"/>
      <c r="U924" s="1"/>
      <c r="V924" s="1"/>
    </row>
    <row r="925" spans="3:22" x14ac:dyDescent="0.3">
      <c r="C925" s="21"/>
      <c r="D925" s="1"/>
      <c r="E925" s="1"/>
      <c r="F925" s="1"/>
      <c r="G925" s="1"/>
      <c r="H925" s="1"/>
      <c r="I925" s="1"/>
      <c r="J925" s="1"/>
      <c r="L925" s="85"/>
      <c r="M925" s="85"/>
      <c r="N925" s="85"/>
      <c r="O925" s="85"/>
      <c r="P925" s="85"/>
      <c r="Q925" s="85"/>
      <c r="R925" s="85"/>
      <c r="S925" s="85"/>
      <c r="T925" s="85"/>
      <c r="U925" s="1"/>
      <c r="V925" s="1"/>
    </row>
    <row r="926" spans="3:22" x14ac:dyDescent="0.3">
      <c r="C926" s="21"/>
      <c r="D926" s="1"/>
      <c r="E926" s="1"/>
      <c r="F926" s="1"/>
      <c r="G926" s="1"/>
      <c r="H926" s="1"/>
      <c r="I926" s="1"/>
      <c r="J926" s="1"/>
      <c r="L926" s="85"/>
      <c r="M926" s="85"/>
      <c r="N926" s="85"/>
      <c r="O926" s="85"/>
      <c r="P926" s="85"/>
      <c r="Q926" s="85"/>
      <c r="R926" s="85"/>
      <c r="S926" s="85"/>
      <c r="T926" s="85"/>
      <c r="U926" s="1"/>
      <c r="V926" s="1"/>
    </row>
    <row r="927" spans="3:22" x14ac:dyDescent="0.3">
      <c r="C927" s="21"/>
      <c r="D927" s="1"/>
      <c r="E927" s="1"/>
      <c r="F927" s="1"/>
      <c r="G927" s="1"/>
      <c r="H927" s="1"/>
      <c r="I927" s="1"/>
      <c r="J927" s="1"/>
      <c r="L927" s="85"/>
      <c r="M927" s="85"/>
      <c r="N927" s="85"/>
      <c r="O927" s="85"/>
      <c r="P927" s="85"/>
      <c r="Q927" s="85"/>
      <c r="R927" s="85"/>
      <c r="S927" s="85"/>
      <c r="T927" s="85"/>
      <c r="U927" s="1"/>
      <c r="V927" s="1"/>
    </row>
    <row r="928" spans="3:22" x14ac:dyDescent="0.3">
      <c r="C928" s="21"/>
      <c r="D928" s="1"/>
      <c r="E928" s="1"/>
      <c r="F928" s="1"/>
      <c r="G928" s="1"/>
      <c r="H928" s="1"/>
      <c r="I928" s="1"/>
      <c r="J928" s="1"/>
      <c r="L928" s="85"/>
      <c r="M928" s="85"/>
      <c r="N928" s="85"/>
      <c r="O928" s="85"/>
      <c r="P928" s="85"/>
      <c r="Q928" s="85"/>
      <c r="R928" s="85"/>
      <c r="S928" s="85"/>
      <c r="T928" s="85"/>
      <c r="U928" s="1"/>
      <c r="V928" s="1"/>
    </row>
    <row r="929" spans="3:22" x14ac:dyDescent="0.3">
      <c r="C929" s="21"/>
      <c r="D929" s="1"/>
      <c r="E929" s="1"/>
      <c r="F929" s="1"/>
      <c r="G929" s="1"/>
      <c r="H929" s="1"/>
      <c r="I929" s="1"/>
      <c r="J929" s="1"/>
      <c r="L929" s="85"/>
      <c r="M929" s="85"/>
      <c r="N929" s="85"/>
      <c r="O929" s="85"/>
      <c r="P929" s="85"/>
      <c r="Q929" s="85"/>
      <c r="R929" s="85"/>
      <c r="S929" s="85"/>
      <c r="T929" s="85"/>
      <c r="U929" s="1"/>
      <c r="V929" s="1"/>
    </row>
    <row r="930" spans="3:22" x14ac:dyDescent="0.3">
      <c r="C930" s="21"/>
      <c r="D930" s="1"/>
      <c r="E930" s="1"/>
      <c r="F930" s="1"/>
      <c r="G930" s="1"/>
      <c r="H930" s="1"/>
      <c r="I930" s="1"/>
      <c r="J930" s="1"/>
      <c r="L930" s="85"/>
      <c r="M930" s="85"/>
      <c r="N930" s="85"/>
      <c r="O930" s="85"/>
      <c r="P930" s="85"/>
      <c r="Q930" s="85"/>
      <c r="R930" s="85"/>
      <c r="S930" s="85"/>
      <c r="T930" s="85"/>
      <c r="U930" s="1"/>
      <c r="V930" s="1"/>
    </row>
    <row r="931" spans="3:22" x14ac:dyDescent="0.3">
      <c r="C931" s="21"/>
      <c r="D931" s="1"/>
      <c r="E931" s="1"/>
      <c r="F931" s="1"/>
      <c r="G931" s="1"/>
      <c r="H931" s="1"/>
      <c r="I931" s="1"/>
      <c r="J931" s="1"/>
      <c r="L931" s="85"/>
      <c r="M931" s="85"/>
      <c r="N931" s="85"/>
      <c r="O931" s="85"/>
      <c r="P931" s="85"/>
      <c r="Q931" s="85"/>
      <c r="R931" s="85"/>
      <c r="S931" s="85"/>
      <c r="T931" s="85"/>
      <c r="U931" s="1"/>
      <c r="V931" s="1"/>
    </row>
    <row r="932" spans="3:22" x14ac:dyDescent="0.3">
      <c r="C932" s="21"/>
      <c r="D932" s="1"/>
      <c r="E932" s="1"/>
      <c r="F932" s="1"/>
      <c r="G932" s="1"/>
      <c r="H932" s="1"/>
      <c r="I932" s="1"/>
      <c r="J932" s="1"/>
      <c r="L932" s="85"/>
      <c r="M932" s="85"/>
      <c r="N932" s="85"/>
      <c r="O932" s="85"/>
      <c r="P932" s="85"/>
      <c r="Q932" s="85"/>
      <c r="R932" s="85"/>
      <c r="S932" s="85"/>
      <c r="T932" s="85"/>
      <c r="U932" s="1"/>
      <c r="V932" s="1"/>
    </row>
    <row r="933" spans="3:22" x14ac:dyDescent="0.3">
      <c r="C933" s="21"/>
      <c r="D933" s="1"/>
      <c r="E933" s="1"/>
      <c r="F933" s="1"/>
      <c r="G933" s="1"/>
      <c r="H933" s="1"/>
      <c r="I933" s="1"/>
      <c r="J933" s="1"/>
      <c r="L933" s="85"/>
      <c r="M933" s="85"/>
      <c r="N933" s="85"/>
      <c r="O933" s="85"/>
      <c r="P933" s="85"/>
      <c r="Q933" s="85"/>
      <c r="R933" s="85"/>
      <c r="S933" s="85"/>
      <c r="T933" s="85"/>
      <c r="U933" s="1"/>
      <c r="V933" s="1"/>
    </row>
    <row r="934" spans="3:22" x14ac:dyDescent="0.3">
      <c r="C934" s="21"/>
      <c r="D934" s="1"/>
      <c r="E934" s="1"/>
      <c r="F934" s="1"/>
      <c r="G934" s="1"/>
      <c r="H934" s="1"/>
      <c r="I934" s="1"/>
      <c r="J934" s="1"/>
      <c r="L934" s="85"/>
      <c r="M934" s="85"/>
      <c r="N934" s="85"/>
      <c r="O934" s="85"/>
      <c r="P934" s="85"/>
      <c r="Q934" s="85"/>
      <c r="R934" s="85"/>
      <c r="S934" s="85"/>
      <c r="T934" s="85"/>
      <c r="U934" s="1"/>
      <c r="V934" s="1"/>
    </row>
    <row r="935" spans="3:22" x14ac:dyDescent="0.3">
      <c r="C935" s="21"/>
      <c r="D935" s="1"/>
      <c r="E935" s="1"/>
      <c r="F935" s="1"/>
      <c r="G935" s="1"/>
      <c r="H935" s="1"/>
      <c r="I935" s="1"/>
      <c r="J935" s="1"/>
      <c r="L935" s="85"/>
      <c r="M935" s="85"/>
      <c r="N935" s="85"/>
      <c r="O935" s="85"/>
      <c r="P935" s="85"/>
      <c r="Q935" s="85"/>
      <c r="R935" s="85"/>
      <c r="S935" s="85"/>
      <c r="T935" s="85"/>
      <c r="U935" s="1"/>
      <c r="V935" s="1"/>
    </row>
    <row r="936" spans="3:22" x14ac:dyDescent="0.3">
      <c r="C936" s="21"/>
      <c r="D936" s="1"/>
      <c r="E936" s="1"/>
      <c r="F936" s="1"/>
      <c r="G936" s="1"/>
      <c r="H936" s="1"/>
      <c r="I936" s="1"/>
      <c r="J936" s="1"/>
      <c r="L936" s="85"/>
      <c r="M936" s="85"/>
      <c r="N936" s="85"/>
      <c r="O936" s="85"/>
      <c r="P936" s="85"/>
      <c r="Q936" s="85"/>
      <c r="R936" s="85"/>
      <c r="S936" s="85"/>
      <c r="T936" s="85"/>
      <c r="U936" s="1"/>
      <c r="V936" s="1"/>
    </row>
    <row r="937" spans="3:22" x14ac:dyDescent="0.3">
      <c r="C937" s="21"/>
      <c r="D937" s="1"/>
      <c r="E937" s="1"/>
      <c r="F937" s="1"/>
      <c r="G937" s="1"/>
      <c r="H937" s="1"/>
      <c r="I937" s="1"/>
      <c r="J937" s="1"/>
      <c r="L937" s="85"/>
      <c r="M937" s="85"/>
      <c r="N937" s="85"/>
      <c r="O937" s="85"/>
      <c r="P937" s="85"/>
      <c r="Q937" s="85"/>
      <c r="R937" s="85"/>
      <c r="S937" s="85"/>
      <c r="T937" s="85"/>
      <c r="U937" s="1"/>
      <c r="V937" s="1"/>
    </row>
    <row r="938" spans="3:22" x14ac:dyDescent="0.3">
      <c r="C938" s="21"/>
      <c r="D938" s="1"/>
      <c r="E938" s="1"/>
      <c r="F938" s="1"/>
      <c r="G938" s="1"/>
      <c r="H938" s="1"/>
      <c r="I938" s="1"/>
      <c r="J938" s="1"/>
      <c r="L938" s="85"/>
      <c r="M938" s="85"/>
      <c r="N938" s="85"/>
      <c r="O938" s="85"/>
      <c r="P938" s="85"/>
      <c r="Q938" s="85"/>
      <c r="R938" s="85"/>
      <c r="S938" s="85"/>
      <c r="T938" s="85"/>
      <c r="U938" s="1"/>
      <c r="V938" s="1"/>
    </row>
    <row r="939" spans="3:22" x14ac:dyDescent="0.3">
      <c r="C939" s="21"/>
      <c r="D939" s="1"/>
      <c r="E939" s="1"/>
      <c r="F939" s="1"/>
      <c r="G939" s="1"/>
      <c r="H939" s="1"/>
      <c r="I939" s="1"/>
      <c r="J939" s="1"/>
      <c r="L939" s="85"/>
      <c r="M939" s="85"/>
      <c r="N939" s="85"/>
      <c r="O939" s="85"/>
      <c r="P939" s="85"/>
      <c r="Q939" s="85"/>
      <c r="R939" s="85"/>
      <c r="S939" s="85"/>
      <c r="T939" s="85"/>
      <c r="U939" s="1"/>
      <c r="V939" s="1"/>
    </row>
    <row r="940" spans="3:22" x14ac:dyDescent="0.3">
      <c r="C940" s="21"/>
      <c r="D940" s="1"/>
      <c r="E940" s="1"/>
      <c r="F940" s="1"/>
      <c r="G940" s="1"/>
      <c r="H940" s="1"/>
      <c r="I940" s="1"/>
      <c r="J940" s="1"/>
      <c r="L940" s="85"/>
      <c r="M940" s="85"/>
      <c r="N940" s="85"/>
      <c r="O940" s="85"/>
      <c r="P940" s="85"/>
      <c r="Q940" s="85"/>
      <c r="R940" s="85"/>
      <c r="S940" s="85"/>
      <c r="T940" s="85"/>
      <c r="U940" s="1"/>
      <c r="V940" s="1"/>
    </row>
    <row r="941" spans="3:22" x14ac:dyDescent="0.3">
      <c r="C941" s="21"/>
      <c r="D941" s="1"/>
      <c r="E941" s="1"/>
      <c r="F941" s="1"/>
      <c r="G941" s="1"/>
      <c r="H941" s="1"/>
      <c r="I941" s="1"/>
      <c r="J941" s="1"/>
      <c r="L941" s="85"/>
      <c r="M941" s="85"/>
      <c r="N941" s="85"/>
      <c r="O941" s="85"/>
      <c r="P941" s="85"/>
      <c r="Q941" s="85"/>
      <c r="R941" s="85"/>
      <c r="S941" s="85"/>
      <c r="T941" s="85"/>
      <c r="U941" s="1"/>
      <c r="V941" s="1"/>
    </row>
    <row r="942" spans="3:22" x14ac:dyDescent="0.3">
      <c r="C942" s="21"/>
      <c r="D942" s="1"/>
      <c r="E942" s="1"/>
      <c r="F942" s="1"/>
      <c r="G942" s="1"/>
      <c r="H942" s="1"/>
      <c r="I942" s="1"/>
      <c r="J942" s="1"/>
      <c r="L942" s="85"/>
      <c r="M942" s="85"/>
      <c r="N942" s="85"/>
      <c r="O942" s="85"/>
      <c r="P942" s="85"/>
      <c r="Q942" s="85"/>
      <c r="R942" s="85"/>
      <c r="S942" s="85"/>
      <c r="T942" s="85"/>
      <c r="U942" s="1"/>
      <c r="V942" s="1"/>
    </row>
    <row r="943" spans="3:22" x14ac:dyDescent="0.3">
      <c r="C943" s="21"/>
      <c r="D943" s="1"/>
      <c r="E943" s="1"/>
      <c r="F943" s="1"/>
      <c r="G943" s="1"/>
      <c r="H943" s="1"/>
      <c r="I943" s="1"/>
      <c r="J943" s="1"/>
      <c r="L943" s="85"/>
      <c r="M943" s="85"/>
      <c r="N943" s="85"/>
      <c r="O943" s="85"/>
      <c r="P943" s="85"/>
      <c r="Q943" s="85"/>
      <c r="R943" s="85"/>
      <c r="S943" s="85"/>
      <c r="T943" s="85"/>
      <c r="U943" s="1"/>
      <c r="V943" s="1"/>
    </row>
    <row r="944" spans="3:22" x14ac:dyDescent="0.3">
      <c r="C944" s="21"/>
      <c r="D944" s="1"/>
      <c r="E944" s="1"/>
      <c r="F944" s="1"/>
      <c r="G944" s="1"/>
      <c r="H944" s="1"/>
      <c r="I944" s="1"/>
      <c r="J944" s="1"/>
      <c r="L944" s="85"/>
      <c r="M944" s="85"/>
      <c r="N944" s="85"/>
      <c r="O944" s="85"/>
      <c r="P944" s="85"/>
      <c r="Q944" s="85"/>
      <c r="R944" s="85"/>
      <c r="S944" s="85"/>
      <c r="T944" s="85"/>
      <c r="U944" s="1"/>
      <c r="V944" s="1"/>
    </row>
    <row r="945" spans="3:22" x14ac:dyDescent="0.3">
      <c r="C945" s="21"/>
      <c r="D945" s="1"/>
      <c r="E945" s="1"/>
      <c r="F945" s="1"/>
      <c r="G945" s="1"/>
      <c r="H945" s="1"/>
      <c r="I945" s="1"/>
      <c r="J945" s="1"/>
      <c r="L945" s="85"/>
      <c r="M945" s="85"/>
      <c r="N945" s="85"/>
      <c r="O945" s="85"/>
      <c r="P945" s="85"/>
      <c r="Q945" s="85"/>
      <c r="R945" s="85"/>
      <c r="S945" s="85"/>
      <c r="T945" s="85"/>
      <c r="U945" s="1"/>
      <c r="V945" s="1"/>
    </row>
    <row r="946" spans="3:22" x14ac:dyDescent="0.3">
      <c r="C946" s="21"/>
      <c r="D946" s="1"/>
      <c r="E946" s="1"/>
      <c r="F946" s="1"/>
      <c r="G946" s="1"/>
      <c r="H946" s="1"/>
      <c r="I946" s="1"/>
      <c r="J946" s="1"/>
      <c r="L946" s="85"/>
      <c r="M946" s="85"/>
      <c r="N946" s="85"/>
      <c r="O946" s="85"/>
      <c r="P946" s="85"/>
      <c r="Q946" s="85"/>
      <c r="R946" s="85"/>
      <c r="S946" s="85"/>
      <c r="T946" s="85"/>
      <c r="U946" s="1"/>
      <c r="V946" s="1"/>
    </row>
    <row r="947" spans="3:22" x14ac:dyDescent="0.3">
      <c r="C947" s="21"/>
      <c r="D947" s="1"/>
      <c r="E947" s="1"/>
      <c r="F947" s="1"/>
      <c r="G947" s="1"/>
      <c r="H947" s="1"/>
      <c r="I947" s="1"/>
      <c r="J947" s="1"/>
      <c r="L947" s="85"/>
      <c r="M947" s="85"/>
      <c r="N947" s="85"/>
      <c r="O947" s="85"/>
      <c r="P947" s="85"/>
      <c r="Q947" s="85"/>
      <c r="R947" s="85"/>
      <c r="S947" s="85"/>
      <c r="T947" s="85"/>
      <c r="U947" s="1"/>
      <c r="V947" s="1"/>
    </row>
    <row r="948" spans="3:22" x14ac:dyDescent="0.3">
      <c r="C948" s="21"/>
      <c r="D948" s="1"/>
      <c r="E948" s="1"/>
      <c r="F948" s="1"/>
      <c r="G948" s="1"/>
      <c r="H948" s="1"/>
      <c r="I948" s="1"/>
      <c r="J948" s="1"/>
      <c r="L948" s="85"/>
      <c r="M948" s="85"/>
      <c r="N948" s="85"/>
      <c r="O948" s="85"/>
      <c r="P948" s="85"/>
      <c r="Q948" s="85"/>
      <c r="R948" s="85"/>
      <c r="S948" s="85"/>
      <c r="T948" s="85"/>
      <c r="U948" s="1"/>
      <c r="V948" s="1"/>
    </row>
    <row r="949" spans="3:22" x14ac:dyDescent="0.3">
      <c r="C949" s="21"/>
      <c r="D949" s="1"/>
      <c r="E949" s="1"/>
      <c r="F949" s="1"/>
      <c r="G949" s="1"/>
      <c r="H949" s="1"/>
      <c r="I949" s="1"/>
      <c r="J949" s="1"/>
      <c r="L949" s="85"/>
      <c r="M949" s="85"/>
      <c r="N949" s="85"/>
      <c r="O949" s="85"/>
      <c r="P949" s="85"/>
      <c r="Q949" s="85"/>
      <c r="R949" s="85"/>
      <c r="S949" s="85"/>
      <c r="T949" s="85"/>
      <c r="U949" s="1"/>
      <c r="V949" s="1"/>
    </row>
    <row r="950" spans="3:22" x14ac:dyDescent="0.3">
      <c r="C950" s="21"/>
      <c r="D950" s="1"/>
      <c r="E950" s="1"/>
      <c r="F950" s="1"/>
      <c r="G950" s="1"/>
      <c r="H950" s="1"/>
      <c r="I950" s="1"/>
      <c r="J950" s="1"/>
      <c r="L950" s="85"/>
      <c r="M950" s="85"/>
      <c r="N950" s="85"/>
      <c r="O950" s="85"/>
      <c r="P950" s="85"/>
      <c r="Q950" s="85"/>
      <c r="R950" s="85"/>
      <c r="S950" s="85"/>
      <c r="T950" s="85"/>
      <c r="U950" s="1"/>
      <c r="V950" s="1"/>
    </row>
    <row r="951" spans="3:22" x14ac:dyDescent="0.3">
      <c r="C951" s="21"/>
      <c r="D951" s="1"/>
      <c r="E951" s="1"/>
      <c r="F951" s="1"/>
      <c r="G951" s="1"/>
      <c r="H951" s="1"/>
      <c r="I951" s="1"/>
      <c r="J951" s="1"/>
      <c r="L951" s="85"/>
      <c r="M951" s="85"/>
      <c r="N951" s="85"/>
      <c r="O951" s="85"/>
      <c r="P951" s="85"/>
      <c r="Q951" s="85"/>
      <c r="R951" s="85"/>
      <c r="S951" s="85"/>
      <c r="T951" s="85"/>
      <c r="U951" s="1"/>
      <c r="V951" s="1"/>
    </row>
    <row r="952" spans="3:22" x14ac:dyDescent="0.3">
      <c r="C952" s="21"/>
      <c r="D952" s="1"/>
      <c r="E952" s="1"/>
      <c r="F952" s="1"/>
      <c r="G952" s="1"/>
      <c r="H952" s="1"/>
      <c r="I952" s="1"/>
      <c r="J952" s="1"/>
      <c r="L952" s="85"/>
      <c r="M952" s="85"/>
      <c r="N952" s="85"/>
      <c r="O952" s="85"/>
      <c r="P952" s="85"/>
      <c r="Q952" s="85"/>
      <c r="R952" s="85"/>
      <c r="S952" s="85"/>
      <c r="T952" s="85"/>
      <c r="U952" s="1"/>
      <c r="V952" s="1"/>
    </row>
    <row r="953" spans="3:22" x14ac:dyDescent="0.3">
      <c r="C953" s="21"/>
      <c r="D953" s="1"/>
      <c r="E953" s="1"/>
      <c r="F953" s="1"/>
      <c r="G953" s="1"/>
      <c r="H953" s="1"/>
      <c r="I953" s="1"/>
      <c r="J953" s="1"/>
      <c r="L953" s="85"/>
      <c r="M953" s="85"/>
      <c r="N953" s="85"/>
      <c r="O953" s="85"/>
      <c r="P953" s="85"/>
      <c r="Q953" s="85"/>
      <c r="R953" s="85"/>
      <c r="S953" s="85"/>
      <c r="T953" s="85"/>
      <c r="U953" s="1"/>
      <c r="V953" s="1"/>
    </row>
    <row r="954" spans="3:22" x14ac:dyDescent="0.3">
      <c r="C954" s="21"/>
      <c r="D954" s="1"/>
      <c r="E954" s="1"/>
      <c r="F954" s="1"/>
      <c r="G954" s="1"/>
      <c r="H954" s="1"/>
      <c r="I954" s="1"/>
      <c r="J954" s="1"/>
      <c r="L954" s="85"/>
      <c r="M954" s="85"/>
      <c r="N954" s="85"/>
      <c r="O954" s="85"/>
      <c r="P954" s="85"/>
      <c r="Q954" s="85"/>
      <c r="R954" s="85"/>
      <c r="S954" s="85"/>
      <c r="T954" s="85"/>
      <c r="U954" s="1"/>
      <c r="V954" s="1"/>
    </row>
    <row r="955" spans="3:22" x14ac:dyDescent="0.3">
      <c r="C955" s="21"/>
      <c r="D955" s="1"/>
      <c r="E955" s="1"/>
      <c r="F955" s="1"/>
      <c r="G955" s="1"/>
      <c r="H955" s="1"/>
      <c r="I955" s="1"/>
      <c r="J955" s="1"/>
      <c r="L955" s="85"/>
      <c r="M955" s="85"/>
      <c r="N955" s="85"/>
      <c r="O955" s="85"/>
      <c r="P955" s="85"/>
      <c r="Q955" s="85"/>
      <c r="R955" s="85"/>
      <c r="S955" s="85"/>
      <c r="T955" s="85"/>
      <c r="U955" s="1"/>
      <c r="V955" s="1"/>
    </row>
    <row r="956" spans="3:22" x14ac:dyDescent="0.3">
      <c r="C956" s="21"/>
      <c r="D956" s="1"/>
      <c r="E956" s="1"/>
      <c r="F956" s="1"/>
      <c r="G956" s="1"/>
      <c r="H956" s="1"/>
      <c r="I956" s="1"/>
      <c r="J956" s="1"/>
      <c r="L956" s="85"/>
      <c r="M956" s="85"/>
      <c r="N956" s="85"/>
      <c r="O956" s="85"/>
      <c r="P956" s="85"/>
      <c r="Q956" s="85"/>
      <c r="R956" s="85"/>
      <c r="S956" s="85"/>
      <c r="T956" s="85"/>
      <c r="U956" s="1"/>
      <c r="V956" s="1"/>
    </row>
    <row r="957" spans="3:22" x14ac:dyDescent="0.3">
      <c r="C957" s="21"/>
      <c r="D957" s="1"/>
      <c r="E957" s="1"/>
      <c r="F957" s="1"/>
      <c r="G957" s="1"/>
      <c r="H957" s="1"/>
      <c r="I957" s="1"/>
      <c r="J957" s="1"/>
      <c r="L957" s="85"/>
      <c r="M957" s="85"/>
      <c r="N957" s="85"/>
      <c r="O957" s="85"/>
      <c r="P957" s="85"/>
      <c r="Q957" s="85"/>
      <c r="R957" s="85"/>
      <c r="S957" s="85"/>
      <c r="T957" s="85"/>
      <c r="U957" s="1"/>
      <c r="V957" s="1"/>
    </row>
    <row r="958" spans="3:22" x14ac:dyDescent="0.3">
      <c r="C958" s="21"/>
      <c r="D958" s="1"/>
      <c r="E958" s="1"/>
      <c r="F958" s="1"/>
      <c r="G958" s="1"/>
      <c r="H958" s="1"/>
      <c r="I958" s="1"/>
      <c r="J958" s="1"/>
      <c r="L958" s="85"/>
      <c r="M958" s="85"/>
      <c r="N958" s="85"/>
      <c r="O958" s="85"/>
      <c r="P958" s="85"/>
      <c r="Q958" s="85"/>
      <c r="R958" s="85"/>
      <c r="S958" s="85"/>
      <c r="T958" s="85"/>
      <c r="U958" s="1"/>
      <c r="V958" s="1"/>
    </row>
    <row r="959" spans="3:22" x14ac:dyDescent="0.3">
      <c r="C959" s="21"/>
      <c r="D959" s="1"/>
      <c r="E959" s="1"/>
      <c r="F959" s="1"/>
      <c r="G959" s="1"/>
      <c r="H959" s="1"/>
      <c r="I959" s="1"/>
      <c r="J959" s="1"/>
      <c r="L959" s="85"/>
      <c r="M959" s="85"/>
      <c r="N959" s="85"/>
      <c r="O959" s="85"/>
      <c r="P959" s="85"/>
      <c r="Q959" s="85"/>
      <c r="R959" s="85"/>
      <c r="S959" s="85"/>
      <c r="T959" s="85"/>
      <c r="U959" s="1"/>
      <c r="V959" s="1"/>
    </row>
    <row r="960" spans="3:22" x14ac:dyDescent="0.3">
      <c r="C960" s="21"/>
      <c r="D960" s="1"/>
      <c r="E960" s="1"/>
      <c r="F960" s="1"/>
      <c r="G960" s="1"/>
      <c r="H960" s="1"/>
      <c r="I960" s="1"/>
      <c r="J960" s="1"/>
      <c r="L960" s="85"/>
      <c r="M960" s="85"/>
      <c r="N960" s="85"/>
      <c r="O960" s="85"/>
      <c r="P960" s="85"/>
      <c r="Q960" s="85"/>
      <c r="R960" s="85"/>
      <c r="S960" s="85"/>
      <c r="T960" s="85"/>
      <c r="U960" s="1"/>
      <c r="V960" s="1"/>
    </row>
    <row r="961" spans="3:22" x14ac:dyDescent="0.3">
      <c r="C961" s="21"/>
      <c r="D961" s="1"/>
      <c r="E961" s="1"/>
      <c r="F961" s="1"/>
      <c r="G961" s="1"/>
      <c r="H961" s="1"/>
      <c r="I961" s="1"/>
      <c r="J961" s="1"/>
      <c r="L961" s="85"/>
      <c r="M961" s="85"/>
      <c r="N961" s="85"/>
      <c r="O961" s="85"/>
      <c r="P961" s="85"/>
      <c r="Q961" s="85"/>
      <c r="R961" s="85"/>
      <c r="S961" s="85"/>
      <c r="T961" s="85"/>
      <c r="U961" s="1"/>
      <c r="V961" s="1"/>
    </row>
    <row r="962" spans="3:22" x14ac:dyDescent="0.3">
      <c r="C962" s="21"/>
      <c r="D962" s="1"/>
      <c r="E962" s="1"/>
      <c r="F962" s="1"/>
      <c r="G962" s="1"/>
      <c r="H962" s="1"/>
      <c r="I962" s="1"/>
      <c r="J962" s="1"/>
      <c r="L962" s="85"/>
      <c r="M962" s="85"/>
      <c r="N962" s="85"/>
      <c r="O962" s="85"/>
      <c r="P962" s="85"/>
      <c r="Q962" s="85"/>
      <c r="R962" s="85"/>
      <c r="S962" s="85"/>
      <c r="T962" s="85"/>
      <c r="U962" s="1"/>
      <c r="V962" s="1"/>
    </row>
    <row r="963" spans="3:22" x14ac:dyDescent="0.3">
      <c r="C963" s="21"/>
      <c r="D963" s="1"/>
      <c r="E963" s="1"/>
      <c r="F963" s="1"/>
      <c r="G963" s="1"/>
      <c r="H963" s="1"/>
      <c r="I963" s="1"/>
      <c r="J963" s="1"/>
      <c r="L963" s="85"/>
      <c r="M963" s="85"/>
      <c r="N963" s="85"/>
      <c r="O963" s="85"/>
      <c r="P963" s="85"/>
      <c r="Q963" s="85"/>
      <c r="R963" s="85"/>
      <c r="S963" s="85"/>
      <c r="T963" s="85"/>
      <c r="U963" s="1"/>
      <c r="V963" s="1"/>
    </row>
    <row r="964" spans="3:22" x14ac:dyDescent="0.3">
      <c r="C964" s="21"/>
      <c r="D964" s="1"/>
      <c r="E964" s="1"/>
      <c r="F964" s="1"/>
      <c r="G964" s="1"/>
      <c r="H964" s="1"/>
      <c r="I964" s="1"/>
      <c r="J964" s="1"/>
      <c r="L964" s="85"/>
      <c r="M964" s="85"/>
      <c r="N964" s="85"/>
      <c r="O964" s="85"/>
      <c r="P964" s="85"/>
      <c r="Q964" s="85"/>
      <c r="R964" s="85"/>
      <c r="S964" s="85"/>
      <c r="T964" s="85"/>
      <c r="U964" s="1"/>
      <c r="V964" s="1"/>
    </row>
    <row r="965" spans="3:22" x14ac:dyDescent="0.3">
      <c r="C965" s="21"/>
      <c r="D965" s="1"/>
      <c r="E965" s="1"/>
      <c r="F965" s="1"/>
      <c r="G965" s="1"/>
      <c r="H965" s="1"/>
      <c r="I965" s="1"/>
      <c r="J965" s="1"/>
      <c r="L965" s="85"/>
      <c r="M965" s="85"/>
      <c r="N965" s="85"/>
      <c r="O965" s="85"/>
      <c r="P965" s="85"/>
      <c r="Q965" s="85"/>
      <c r="R965" s="85"/>
      <c r="S965" s="85"/>
      <c r="T965" s="85"/>
      <c r="U965" s="1"/>
      <c r="V965" s="1"/>
    </row>
    <row r="966" spans="3:22" x14ac:dyDescent="0.3">
      <c r="C966" s="21"/>
      <c r="D966" s="1"/>
      <c r="E966" s="1"/>
      <c r="F966" s="1"/>
      <c r="G966" s="1"/>
      <c r="H966" s="1"/>
      <c r="I966" s="1"/>
      <c r="J966" s="1"/>
      <c r="L966" s="85"/>
      <c r="M966" s="85"/>
      <c r="N966" s="85"/>
      <c r="O966" s="85"/>
      <c r="P966" s="85"/>
      <c r="Q966" s="85"/>
      <c r="R966" s="85"/>
      <c r="S966" s="85"/>
      <c r="T966" s="85"/>
      <c r="U966" s="1"/>
      <c r="V966" s="1"/>
    </row>
    <row r="967" spans="3:22" x14ac:dyDescent="0.3">
      <c r="C967" s="21"/>
      <c r="D967" s="1"/>
      <c r="E967" s="1"/>
      <c r="F967" s="1"/>
      <c r="G967" s="1"/>
      <c r="H967" s="1"/>
      <c r="I967" s="1"/>
      <c r="J967" s="1"/>
      <c r="L967" s="85"/>
      <c r="M967" s="85"/>
      <c r="N967" s="85"/>
      <c r="O967" s="85"/>
      <c r="P967" s="85"/>
      <c r="Q967" s="85"/>
      <c r="R967" s="85"/>
      <c r="S967" s="85"/>
      <c r="T967" s="85"/>
      <c r="U967" s="1"/>
      <c r="V967" s="1"/>
    </row>
    <row r="968" spans="3:22" x14ac:dyDescent="0.3">
      <c r="C968" s="21"/>
      <c r="D968" s="1"/>
      <c r="E968" s="1"/>
      <c r="F968" s="1"/>
      <c r="G968" s="1"/>
      <c r="H968" s="1"/>
      <c r="I968" s="1"/>
      <c r="J968" s="1"/>
      <c r="L968" s="85"/>
      <c r="M968" s="85"/>
      <c r="N968" s="85"/>
      <c r="O968" s="85"/>
      <c r="P968" s="85"/>
      <c r="Q968" s="85"/>
      <c r="R968" s="85"/>
      <c r="S968" s="85"/>
      <c r="T968" s="85"/>
      <c r="U968" s="1"/>
      <c r="V968" s="1"/>
    </row>
    <row r="969" spans="3:22" x14ac:dyDescent="0.3">
      <c r="C969" s="21"/>
      <c r="D969" s="1"/>
      <c r="E969" s="1"/>
      <c r="F969" s="1"/>
      <c r="G969" s="1"/>
      <c r="H969" s="1"/>
      <c r="I969" s="1"/>
      <c r="J969" s="1"/>
      <c r="L969" s="85"/>
      <c r="M969" s="85"/>
      <c r="N969" s="85"/>
      <c r="O969" s="85"/>
      <c r="P969" s="85"/>
      <c r="Q969" s="85"/>
      <c r="R969" s="85"/>
      <c r="S969" s="85"/>
      <c r="T969" s="85"/>
      <c r="U969" s="1"/>
      <c r="V969" s="1"/>
    </row>
    <row r="970" spans="3:22" x14ac:dyDescent="0.3">
      <c r="C970" s="21"/>
      <c r="D970" s="1"/>
      <c r="E970" s="1"/>
      <c r="F970" s="1"/>
      <c r="G970" s="1"/>
      <c r="H970" s="1"/>
      <c r="I970" s="1"/>
      <c r="J970" s="1"/>
      <c r="L970" s="85"/>
      <c r="M970" s="85"/>
      <c r="N970" s="85"/>
      <c r="O970" s="85"/>
      <c r="P970" s="85"/>
      <c r="Q970" s="85"/>
      <c r="R970" s="85"/>
      <c r="S970" s="85"/>
      <c r="T970" s="85"/>
      <c r="U970" s="1"/>
      <c r="V970" s="1"/>
    </row>
    <row r="971" spans="3:22" x14ac:dyDescent="0.3">
      <c r="C971" s="21"/>
      <c r="D971" s="1"/>
      <c r="E971" s="1"/>
      <c r="F971" s="1"/>
      <c r="G971" s="1"/>
      <c r="H971" s="1"/>
      <c r="I971" s="1"/>
      <c r="J971" s="1"/>
      <c r="L971" s="85"/>
      <c r="M971" s="85"/>
      <c r="N971" s="85"/>
      <c r="O971" s="85"/>
      <c r="P971" s="85"/>
      <c r="Q971" s="85"/>
      <c r="R971" s="85"/>
      <c r="S971" s="85"/>
      <c r="T971" s="85"/>
      <c r="U971" s="1"/>
      <c r="V971" s="1"/>
    </row>
    <row r="972" spans="3:22" x14ac:dyDescent="0.3">
      <c r="C972" s="21"/>
      <c r="D972" s="1"/>
      <c r="E972" s="1"/>
      <c r="F972" s="1"/>
      <c r="G972" s="1"/>
      <c r="H972" s="1"/>
      <c r="I972" s="1"/>
      <c r="J972" s="1"/>
      <c r="L972" s="85"/>
      <c r="M972" s="85"/>
      <c r="N972" s="85"/>
      <c r="O972" s="85"/>
      <c r="P972" s="85"/>
      <c r="Q972" s="85"/>
      <c r="R972" s="85"/>
      <c r="S972" s="85"/>
      <c r="T972" s="85"/>
      <c r="U972" s="1"/>
      <c r="V972" s="1"/>
    </row>
    <row r="973" spans="3:22" x14ac:dyDescent="0.3">
      <c r="C973" s="21"/>
      <c r="D973" s="1"/>
      <c r="E973" s="1"/>
      <c r="F973" s="1"/>
      <c r="G973" s="1"/>
      <c r="H973" s="1"/>
      <c r="I973" s="1"/>
      <c r="J973" s="1"/>
      <c r="L973" s="85"/>
      <c r="M973" s="85"/>
      <c r="N973" s="85"/>
      <c r="O973" s="85"/>
      <c r="P973" s="85"/>
      <c r="Q973" s="85"/>
      <c r="R973" s="85"/>
      <c r="S973" s="85"/>
      <c r="T973" s="85"/>
      <c r="U973" s="1"/>
      <c r="V973" s="1"/>
    </row>
    <row r="974" spans="3:22" x14ac:dyDescent="0.3">
      <c r="C974" s="21"/>
      <c r="D974" s="1"/>
      <c r="E974" s="1"/>
      <c r="F974" s="1"/>
      <c r="G974" s="1"/>
      <c r="H974" s="1"/>
      <c r="I974" s="1"/>
      <c r="J974" s="1"/>
      <c r="L974" s="85"/>
      <c r="M974" s="85"/>
      <c r="N974" s="85"/>
      <c r="O974" s="85"/>
      <c r="P974" s="85"/>
      <c r="Q974" s="85"/>
      <c r="R974" s="85"/>
      <c r="S974" s="85"/>
      <c r="T974" s="85"/>
      <c r="U974" s="1"/>
      <c r="V974" s="1"/>
    </row>
    <row r="975" spans="3:22" x14ac:dyDescent="0.3">
      <c r="C975" s="21"/>
      <c r="D975" s="1"/>
      <c r="E975" s="1"/>
      <c r="F975" s="1"/>
      <c r="G975" s="1"/>
      <c r="H975" s="1"/>
      <c r="I975" s="1"/>
      <c r="J975" s="1"/>
      <c r="L975" s="85"/>
      <c r="M975" s="85"/>
      <c r="N975" s="85"/>
      <c r="O975" s="85"/>
      <c r="P975" s="85"/>
      <c r="Q975" s="85"/>
      <c r="R975" s="85"/>
      <c r="S975" s="85"/>
      <c r="T975" s="85"/>
      <c r="U975" s="1"/>
      <c r="V975" s="1"/>
    </row>
    <row r="976" spans="3:22" x14ac:dyDescent="0.3">
      <c r="C976" s="21"/>
      <c r="D976" s="1"/>
      <c r="E976" s="1"/>
      <c r="F976" s="1"/>
      <c r="G976" s="1"/>
      <c r="H976" s="1"/>
      <c r="I976" s="1"/>
      <c r="J976" s="1"/>
      <c r="L976" s="85"/>
      <c r="M976" s="85"/>
      <c r="N976" s="85"/>
      <c r="O976" s="85"/>
      <c r="P976" s="85"/>
      <c r="Q976" s="85"/>
      <c r="R976" s="85"/>
      <c r="S976" s="85"/>
      <c r="T976" s="85"/>
      <c r="U976" s="1"/>
      <c r="V976" s="1"/>
    </row>
    <row r="977" spans="3:22" x14ac:dyDescent="0.3">
      <c r="C977" s="21"/>
      <c r="D977" s="1"/>
      <c r="E977" s="1"/>
      <c r="F977" s="1"/>
      <c r="G977" s="1"/>
      <c r="H977" s="1"/>
      <c r="I977" s="1"/>
      <c r="J977" s="1"/>
      <c r="L977" s="85"/>
      <c r="M977" s="85"/>
      <c r="N977" s="85"/>
      <c r="O977" s="85"/>
      <c r="P977" s="85"/>
      <c r="Q977" s="85"/>
      <c r="R977" s="85"/>
      <c r="S977" s="85"/>
      <c r="T977" s="85"/>
      <c r="U977" s="1"/>
      <c r="V977" s="1"/>
    </row>
    <row r="978" spans="3:22" x14ac:dyDescent="0.3">
      <c r="C978" s="21"/>
      <c r="D978" s="1"/>
      <c r="E978" s="1"/>
      <c r="F978" s="1"/>
      <c r="G978" s="1"/>
      <c r="H978" s="1"/>
      <c r="I978" s="1"/>
      <c r="J978" s="1"/>
      <c r="L978" s="85"/>
      <c r="M978" s="85"/>
      <c r="N978" s="85"/>
      <c r="O978" s="85"/>
      <c r="P978" s="85"/>
      <c r="Q978" s="85"/>
      <c r="R978" s="85"/>
      <c r="S978" s="85"/>
      <c r="T978" s="85"/>
      <c r="U978" s="1"/>
      <c r="V978" s="1"/>
    </row>
    <row r="979" spans="3:22" x14ac:dyDescent="0.3">
      <c r="C979" s="21"/>
      <c r="D979" s="1"/>
      <c r="E979" s="1"/>
      <c r="F979" s="1"/>
      <c r="G979" s="1"/>
      <c r="H979" s="1"/>
      <c r="I979" s="1"/>
      <c r="J979" s="1"/>
      <c r="L979" s="85"/>
      <c r="M979" s="85"/>
      <c r="N979" s="85"/>
      <c r="O979" s="85"/>
      <c r="P979" s="85"/>
      <c r="Q979" s="85"/>
      <c r="R979" s="85"/>
      <c r="S979" s="85"/>
      <c r="T979" s="85"/>
      <c r="U979" s="1"/>
      <c r="V979" s="1"/>
    </row>
    <row r="980" spans="3:22" x14ac:dyDescent="0.3">
      <c r="C980" s="21"/>
      <c r="D980" s="1"/>
      <c r="E980" s="1"/>
      <c r="F980" s="1"/>
      <c r="G980" s="1"/>
      <c r="H980" s="1"/>
      <c r="I980" s="1"/>
      <c r="J980" s="1"/>
      <c r="L980" s="85"/>
      <c r="M980" s="85"/>
      <c r="N980" s="85"/>
      <c r="O980" s="85"/>
      <c r="P980" s="85"/>
      <c r="Q980" s="85"/>
      <c r="R980" s="85"/>
      <c r="S980" s="85"/>
      <c r="T980" s="85"/>
      <c r="U980" s="1"/>
      <c r="V980" s="1"/>
    </row>
    <row r="981" spans="3:22" x14ac:dyDescent="0.3">
      <c r="C981" s="21"/>
      <c r="D981" s="1"/>
      <c r="E981" s="1"/>
      <c r="F981" s="1"/>
      <c r="G981" s="1"/>
      <c r="H981" s="1"/>
      <c r="I981" s="1"/>
      <c r="J981" s="1"/>
      <c r="L981" s="85"/>
      <c r="M981" s="85"/>
      <c r="N981" s="85"/>
      <c r="O981" s="85"/>
      <c r="P981" s="85"/>
      <c r="Q981" s="85"/>
      <c r="R981" s="85"/>
      <c r="S981" s="85"/>
      <c r="T981" s="85"/>
      <c r="U981" s="1"/>
      <c r="V981" s="1"/>
    </row>
    <row r="982" spans="3:22" x14ac:dyDescent="0.3">
      <c r="C982" s="21"/>
      <c r="D982" s="1"/>
      <c r="E982" s="1"/>
      <c r="F982" s="1"/>
      <c r="G982" s="1"/>
      <c r="H982" s="1"/>
      <c r="I982" s="1"/>
      <c r="J982" s="1"/>
      <c r="L982" s="85"/>
      <c r="M982" s="85"/>
      <c r="N982" s="85"/>
      <c r="O982" s="85"/>
      <c r="P982" s="85"/>
      <c r="Q982" s="85"/>
      <c r="R982" s="85"/>
      <c r="S982" s="85"/>
      <c r="T982" s="85"/>
      <c r="U982" s="1"/>
      <c r="V982" s="1"/>
    </row>
    <row r="983" spans="3:22" x14ac:dyDescent="0.3">
      <c r="C983" s="21"/>
      <c r="D983" s="1"/>
      <c r="E983" s="1"/>
      <c r="F983" s="1"/>
      <c r="G983" s="1"/>
      <c r="H983" s="1"/>
      <c r="I983" s="1"/>
      <c r="J983" s="1"/>
      <c r="L983" s="85"/>
      <c r="M983" s="85"/>
      <c r="N983" s="85"/>
      <c r="O983" s="85"/>
      <c r="P983" s="85"/>
      <c r="Q983" s="85"/>
      <c r="R983" s="85"/>
      <c r="S983" s="85"/>
      <c r="T983" s="85"/>
      <c r="U983" s="1"/>
      <c r="V983" s="1"/>
    </row>
    <row r="984" spans="3:22" x14ac:dyDescent="0.3">
      <c r="C984" s="21"/>
      <c r="D984" s="1"/>
      <c r="E984" s="1"/>
      <c r="F984" s="1"/>
      <c r="G984" s="1"/>
      <c r="H984" s="1"/>
      <c r="I984" s="1"/>
      <c r="J984" s="1"/>
      <c r="L984" s="85"/>
      <c r="M984" s="85"/>
      <c r="N984" s="85"/>
      <c r="O984" s="85"/>
      <c r="P984" s="85"/>
      <c r="Q984" s="85"/>
      <c r="R984" s="85"/>
      <c r="S984" s="85"/>
      <c r="T984" s="85"/>
      <c r="U984" s="1"/>
      <c r="V984" s="1"/>
    </row>
    <row r="985" spans="3:22" x14ac:dyDescent="0.3">
      <c r="C985" s="21"/>
      <c r="D985" s="1"/>
      <c r="E985" s="1"/>
      <c r="F985" s="1"/>
      <c r="G985" s="1"/>
      <c r="H985" s="1"/>
      <c r="I985" s="1"/>
      <c r="J985" s="1"/>
      <c r="L985" s="85"/>
      <c r="M985" s="85"/>
      <c r="N985" s="85"/>
      <c r="O985" s="85"/>
      <c r="P985" s="85"/>
      <c r="Q985" s="85"/>
      <c r="R985" s="85"/>
      <c r="S985" s="85"/>
      <c r="T985" s="85"/>
      <c r="U985" s="1"/>
      <c r="V985" s="1"/>
    </row>
    <row r="986" spans="3:22" x14ac:dyDescent="0.3">
      <c r="C986" s="21"/>
      <c r="D986" s="1"/>
      <c r="E986" s="1"/>
      <c r="F986" s="1"/>
      <c r="G986" s="1"/>
      <c r="H986" s="1"/>
      <c r="I986" s="1"/>
      <c r="J986" s="1"/>
      <c r="L986" s="85"/>
      <c r="M986" s="85"/>
      <c r="N986" s="85"/>
      <c r="O986" s="85"/>
      <c r="P986" s="85"/>
      <c r="Q986" s="85"/>
      <c r="R986" s="85"/>
      <c r="S986" s="85"/>
      <c r="T986" s="85"/>
      <c r="U986" s="1"/>
      <c r="V986" s="1"/>
    </row>
    <row r="987" spans="3:22" x14ac:dyDescent="0.3">
      <c r="C987" s="21"/>
      <c r="D987" s="1"/>
      <c r="E987" s="1"/>
      <c r="F987" s="1"/>
      <c r="G987" s="1"/>
      <c r="H987" s="1"/>
      <c r="I987" s="1"/>
      <c r="J987" s="1"/>
      <c r="L987" s="85"/>
      <c r="M987" s="85"/>
      <c r="N987" s="85"/>
      <c r="O987" s="85"/>
      <c r="P987" s="85"/>
      <c r="Q987" s="85"/>
      <c r="R987" s="85"/>
      <c r="S987" s="85"/>
      <c r="T987" s="85"/>
      <c r="U987" s="1"/>
      <c r="V987" s="1"/>
    </row>
    <row r="988" spans="3:22" x14ac:dyDescent="0.3">
      <c r="C988" s="21"/>
      <c r="D988" s="1"/>
      <c r="E988" s="1"/>
      <c r="F988" s="1"/>
      <c r="G988" s="1"/>
      <c r="H988" s="1"/>
      <c r="I988" s="1"/>
      <c r="J988" s="1"/>
      <c r="L988" s="85"/>
      <c r="M988" s="85"/>
      <c r="N988" s="85"/>
      <c r="O988" s="85"/>
      <c r="P988" s="85"/>
      <c r="Q988" s="85"/>
      <c r="R988" s="85"/>
      <c r="S988" s="85"/>
      <c r="T988" s="85"/>
      <c r="U988" s="1"/>
      <c r="V988" s="1"/>
    </row>
    <row r="989" spans="3:22" x14ac:dyDescent="0.3">
      <c r="C989" s="21"/>
      <c r="D989" s="1"/>
      <c r="E989" s="1"/>
      <c r="F989" s="1"/>
      <c r="G989" s="1"/>
      <c r="H989" s="1"/>
      <c r="I989" s="1"/>
      <c r="J989" s="1"/>
      <c r="L989" s="85"/>
      <c r="M989" s="85"/>
      <c r="N989" s="85"/>
      <c r="O989" s="85"/>
      <c r="P989" s="85"/>
      <c r="Q989" s="85"/>
      <c r="R989" s="85"/>
      <c r="S989" s="85"/>
      <c r="T989" s="85"/>
      <c r="U989" s="1"/>
      <c r="V989" s="1"/>
    </row>
    <row r="990" spans="3:22" x14ac:dyDescent="0.3">
      <c r="C990" s="21"/>
      <c r="D990" s="1"/>
      <c r="E990" s="1"/>
      <c r="F990" s="1"/>
      <c r="G990" s="1"/>
      <c r="H990" s="1"/>
      <c r="I990" s="1"/>
      <c r="J990" s="1"/>
      <c r="L990" s="85"/>
      <c r="M990" s="85"/>
      <c r="N990" s="85"/>
      <c r="O990" s="85"/>
      <c r="P990" s="85"/>
      <c r="Q990" s="85"/>
      <c r="R990" s="85"/>
      <c r="S990" s="85"/>
      <c r="T990" s="85"/>
      <c r="U990" s="1"/>
      <c r="V990" s="1"/>
    </row>
    <row r="991" spans="3:22" x14ac:dyDescent="0.3">
      <c r="C991" s="21"/>
      <c r="D991" s="1"/>
      <c r="E991" s="1"/>
      <c r="F991" s="1"/>
      <c r="G991" s="1"/>
      <c r="H991" s="1"/>
      <c r="I991" s="1"/>
      <c r="J991" s="1"/>
      <c r="L991" s="85"/>
      <c r="M991" s="85"/>
      <c r="N991" s="85"/>
      <c r="O991" s="85"/>
      <c r="P991" s="85"/>
      <c r="Q991" s="85"/>
      <c r="R991" s="85"/>
      <c r="S991" s="85"/>
      <c r="T991" s="85"/>
      <c r="U991" s="1"/>
      <c r="V991" s="1"/>
    </row>
    <row r="992" spans="3:22" x14ac:dyDescent="0.3">
      <c r="C992" s="21"/>
      <c r="D992" s="1"/>
      <c r="E992" s="1"/>
      <c r="F992" s="1"/>
      <c r="G992" s="1"/>
      <c r="H992" s="1"/>
      <c r="I992" s="1"/>
      <c r="J992" s="1"/>
      <c r="L992" s="85"/>
      <c r="M992" s="85"/>
      <c r="N992" s="85"/>
      <c r="O992" s="85"/>
      <c r="P992" s="85"/>
      <c r="Q992" s="85"/>
      <c r="R992" s="85"/>
      <c r="S992" s="85"/>
      <c r="T992" s="85"/>
      <c r="U992" s="1"/>
      <c r="V992" s="1"/>
    </row>
    <row r="993" spans="3:22" x14ac:dyDescent="0.3">
      <c r="C993" s="21"/>
      <c r="D993" s="1"/>
      <c r="E993" s="1"/>
      <c r="F993" s="1"/>
      <c r="G993" s="1"/>
      <c r="H993" s="1"/>
      <c r="I993" s="1"/>
      <c r="J993" s="1"/>
      <c r="L993" s="85"/>
      <c r="M993" s="85"/>
      <c r="N993" s="85"/>
      <c r="O993" s="85"/>
      <c r="P993" s="85"/>
      <c r="Q993" s="85"/>
      <c r="R993" s="85"/>
      <c r="S993" s="85"/>
      <c r="T993" s="85"/>
      <c r="U993" s="1"/>
      <c r="V993" s="1"/>
    </row>
    <row r="994" spans="3:22" x14ac:dyDescent="0.3">
      <c r="C994" s="21"/>
      <c r="D994" s="1"/>
      <c r="E994" s="1"/>
      <c r="F994" s="1"/>
      <c r="G994" s="1"/>
      <c r="H994" s="1"/>
      <c r="I994" s="1"/>
      <c r="J994" s="1"/>
      <c r="L994" s="85"/>
      <c r="M994" s="85"/>
      <c r="N994" s="85"/>
      <c r="O994" s="85"/>
      <c r="P994" s="85"/>
      <c r="Q994" s="85"/>
      <c r="R994" s="85"/>
      <c r="S994" s="85"/>
      <c r="T994" s="85"/>
      <c r="U994" s="1"/>
      <c r="V994" s="1"/>
    </row>
    <row r="995" spans="3:22" x14ac:dyDescent="0.3">
      <c r="C995" s="21"/>
      <c r="D995" s="1"/>
      <c r="E995" s="1"/>
      <c r="F995" s="1"/>
      <c r="G995" s="1"/>
      <c r="H995" s="1"/>
      <c r="I995" s="1"/>
      <c r="J995" s="1"/>
      <c r="L995" s="85"/>
      <c r="M995" s="85"/>
      <c r="N995" s="85"/>
      <c r="O995" s="85"/>
      <c r="P995" s="85"/>
      <c r="Q995" s="85"/>
      <c r="R995" s="85"/>
      <c r="S995" s="85"/>
      <c r="T995" s="85"/>
      <c r="U995" s="1"/>
      <c r="V995" s="1"/>
    </row>
    <row r="996" spans="3:22" x14ac:dyDescent="0.3">
      <c r="C996" s="21"/>
      <c r="D996" s="1"/>
      <c r="E996" s="1"/>
      <c r="F996" s="1"/>
      <c r="G996" s="1"/>
      <c r="H996" s="1"/>
      <c r="I996" s="1"/>
      <c r="J996" s="1"/>
      <c r="L996" s="85"/>
      <c r="M996" s="85"/>
      <c r="N996" s="85"/>
      <c r="O996" s="85"/>
      <c r="P996" s="85"/>
      <c r="Q996" s="85"/>
      <c r="R996" s="85"/>
      <c r="S996" s="85"/>
      <c r="T996" s="85"/>
      <c r="U996" s="1"/>
      <c r="V996" s="1"/>
    </row>
    <row r="997" spans="3:22" x14ac:dyDescent="0.3">
      <c r="C997" s="21"/>
      <c r="D997" s="1"/>
      <c r="E997" s="1"/>
      <c r="F997" s="1"/>
      <c r="G997" s="1"/>
      <c r="H997" s="1"/>
      <c r="I997" s="1"/>
      <c r="J997" s="1"/>
      <c r="L997" s="85"/>
      <c r="M997" s="85"/>
      <c r="N997" s="85"/>
      <c r="O997" s="85"/>
      <c r="P997" s="85"/>
      <c r="Q997" s="85"/>
      <c r="R997" s="85"/>
      <c r="S997" s="85"/>
      <c r="T997" s="85"/>
      <c r="U997" s="1"/>
      <c r="V997" s="1"/>
    </row>
    <row r="998" spans="3:22" x14ac:dyDescent="0.3">
      <c r="C998" s="21"/>
      <c r="D998" s="1"/>
      <c r="E998" s="1"/>
      <c r="F998" s="1"/>
      <c r="G998" s="1"/>
      <c r="H998" s="1"/>
      <c r="I998" s="1"/>
      <c r="J998" s="1"/>
      <c r="L998" s="85"/>
      <c r="M998" s="85"/>
      <c r="N998" s="85"/>
      <c r="O998" s="85"/>
      <c r="P998" s="85"/>
      <c r="Q998" s="85"/>
      <c r="R998" s="85"/>
      <c r="S998" s="85"/>
      <c r="T998" s="85"/>
      <c r="U998" s="1"/>
      <c r="V998" s="1"/>
    </row>
    <row r="999" spans="3:22" x14ac:dyDescent="0.3">
      <c r="C999" s="21"/>
      <c r="D999" s="1"/>
      <c r="E999" s="1"/>
      <c r="F999" s="1"/>
      <c r="G999" s="1"/>
      <c r="H999" s="1"/>
      <c r="I999" s="1"/>
      <c r="J999" s="1"/>
      <c r="L999" s="85"/>
      <c r="M999" s="85"/>
      <c r="N999" s="85"/>
      <c r="O999" s="85"/>
      <c r="P999" s="85"/>
      <c r="Q999" s="85"/>
      <c r="R999" s="85"/>
      <c r="S999" s="85"/>
      <c r="T999" s="85"/>
      <c r="U999" s="1"/>
      <c r="V999" s="1"/>
    </row>
    <row r="1000" spans="3:22" x14ac:dyDescent="0.3">
      <c r="C1000" s="21"/>
      <c r="D1000" s="1"/>
      <c r="E1000" s="1"/>
      <c r="F1000" s="1"/>
      <c r="G1000" s="1"/>
      <c r="H1000" s="1"/>
      <c r="I1000" s="1"/>
      <c r="J1000" s="1"/>
      <c r="L1000" s="85"/>
      <c r="M1000" s="85"/>
      <c r="N1000" s="85"/>
      <c r="O1000" s="85"/>
      <c r="P1000" s="85"/>
      <c r="Q1000" s="85"/>
      <c r="R1000" s="85"/>
      <c r="S1000" s="85"/>
      <c r="T1000" s="85"/>
      <c r="U1000" s="1"/>
      <c r="V1000" s="1"/>
    </row>
    <row r="1001" spans="3:22" x14ac:dyDescent="0.3">
      <c r="C1001" s="21"/>
      <c r="D1001" s="1"/>
      <c r="E1001" s="1"/>
      <c r="F1001" s="1"/>
      <c r="G1001" s="1"/>
      <c r="H1001" s="1"/>
      <c r="I1001" s="1"/>
      <c r="J1001" s="1"/>
      <c r="L1001" s="85"/>
      <c r="M1001" s="85"/>
      <c r="N1001" s="85"/>
      <c r="O1001" s="85"/>
      <c r="P1001" s="85"/>
      <c r="Q1001" s="85"/>
      <c r="R1001" s="85"/>
      <c r="S1001" s="85"/>
      <c r="T1001" s="85"/>
      <c r="U1001" s="1"/>
      <c r="V1001" s="1"/>
    </row>
    <row r="1002" spans="3:22" x14ac:dyDescent="0.3">
      <c r="C1002" s="21"/>
      <c r="D1002" s="1"/>
      <c r="E1002" s="1"/>
      <c r="F1002" s="1"/>
      <c r="G1002" s="1"/>
      <c r="H1002" s="1"/>
      <c r="I1002" s="1"/>
      <c r="J1002" s="1"/>
      <c r="L1002" s="85"/>
      <c r="M1002" s="85"/>
      <c r="N1002" s="85"/>
      <c r="O1002" s="85"/>
      <c r="P1002" s="85"/>
      <c r="Q1002" s="85"/>
      <c r="R1002" s="85"/>
      <c r="S1002" s="85"/>
      <c r="T1002" s="85"/>
      <c r="U1002" s="1"/>
      <c r="V1002" s="1"/>
    </row>
    <row r="1003" spans="3:22" x14ac:dyDescent="0.3">
      <c r="C1003" s="21"/>
      <c r="D1003" s="1"/>
      <c r="E1003" s="1"/>
      <c r="F1003" s="1"/>
      <c r="G1003" s="1"/>
      <c r="H1003" s="1"/>
      <c r="I1003" s="1"/>
      <c r="J1003" s="1"/>
      <c r="L1003" s="85"/>
      <c r="M1003" s="85"/>
      <c r="N1003" s="85"/>
      <c r="O1003" s="85"/>
      <c r="P1003" s="85"/>
      <c r="Q1003" s="85"/>
      <c r="R1003" s="85"/>
      <c r="S1003" s="85"/>
      <c r="T1003" s="85"/>
      <c r="U1003" s="1"/>
      <c r="V1003" s="1"/>
    </row>
    <row r="1004" spans="3:22" x14ac:dyDescent="0.3">
      <c r="C1004" s="21"/>
      <c r="D1004" s="1"/>
      <c r="E1004" s="1"/>
      <c r="F1004" s="1"/>
      <c r="G1004" s="1"/>
      <c r="H1004" s="1"/>
      <c r="I1004" s="1"/>
      <c r="J1004" s="1"/>
      <c r="L1004" s="85"/>
      <c r="M1004" s="85"/>
      <c r="N1004" s="85"/>
      <c r="O1004" s="85"/>
      <c r="P1004" s="85"/>
      <c r="Q1004" s="85"/>
      <c r="R1004" s="85"/>
      <c r="S1004" s="85"/>
      <c r="T1004" s="85"/>
      <c r="U1004" s="1"/>
      <c r="V1004" s="1"/>
    </row>
    <row r="1005" spans="3:22" x14ac:dyDescent="0.3">
      <c r="C1005" s="21"/>
      <c r="D1005" s="1"/>
      <c r="E1005" s="1"/>
      <c r="F1005" s="1"/>
      <c r="G1005" s="1"/>
      <c r="H1005" s="1"/>
      <c r="I1005" s="1"/>
      <c r="J1005" s="1"/>
      <c r="L1005" s="85"/>
      <c r="M1005" s="85"/>
      <c r="N1005" s="85"/>
      <c r="O1005" s="85"/>
      <c r="P1005" s="85"/>
      <c r="Q1005" s="85"/>
      <c r="R1005" s="85"/>
      <c r="S1005" s="85"/>
      <c r="T1005" s="85"/>
      <c r="U1005" s="1"/>
      <c r="V1005" s="1"/>
    </row>
    <row r="1006" spans="3:22" x14ac:dyDescent="0.3">
      <c r="C1006" s="21"/>
      <c r="D1006" s="1"/>
      <c r="E1006" s="1"/>
      <c r="F1006" s="1"/>
      <c r="G1006" s="1"/>
      <c r="H1006" s="1"/>
      <c r="I1006" s="1"/>
      <c r="J1006" s="1"/>
      <c r="L1006" s="85"/>
      <c r="M1006" s="85"/>
      <c r="N1006" s="85"/>
      <c r="O1006" s="85"/>
      <c r="P1006" s="85"/>
      <c r="Q1006" s="85"/>
      <c r="R1006" s="85"/>
      <c r="S1006" s="85"/>
      <c r="T1006" s="85"/>
      <c r="U1006" s="1"/>
      <c r="V1006" s="1"/>
    </row>
    <row r="1007" spans="3:22" x14ac:dyDescent="0.3">
      <c r="C1007" s="21"/>
      <c r="D1007" s="1"/>
      <c r="E1007" s="1"/>
      <c r="F1007" s="1"/>
      <c r="G1007" s="1"/>
      <c r="H1007" s="1"/>
      <c r="I1007" s="1"/>
      <c r="J1007" s="1"/>
      <c r="L1007" s="85"/>
      <c r="M1007" s="85"/>
      <c r="N1007" s="85"/>
      <c r="O1007" s="85"/>
      <c r="P1007" s="85"/>
      <c r="Q1007" s="85"/>
      <c r="R1007" s="85"/>
      <c r="S1007" s="85"/>
      <c r="T1007" s="85"/>
      <c r="U1007" s="1"/>
      <c r="V1007" s="1"/>
    </row>
    <row r="1008" spans="3:22" x14ac:dyDescent="0.3">
      <c r="C1008" s="21"/>
      <c r="D1008" s="1"/>
      <c r="E1008" s="1"/>
      <c r="F1008" s="1"/>
      <c r="G1008" s="1"/>
      <c r="H1008" s="1"/>
      <c r="I1008" s="1"/>
      <c r="J1008" s="1"/>
      <c r="L1008" s="85"/>
      <c r="M1008" s="85"/>
      <c r="N1008" s="85"/>
      <c r="O1008" s="85"/>
      <c r="P1008" s="85"/>
      <c r="Q1008" s="85"/>
      <c r="R1008" s="85"/>
      <c r="S1008" s="85"/>
      <c r="T1008" s="85"/>
      <c r="U1008" s="1"/>
      <c r="V1008" s="1"/>
    </row>
    <row r="1009" spans="3:22" x14ac:dyDescent="0.3">
      <c r="C1009" s="21"/>
      <c r="D1009" s="1"/>
      <c r="E1009" s="1"/>
      <c r="F1009" s="1"/>
      <c r="G1009" s="1"/>
      <c r="H1009" s="1"/>
      <c r="I1009" s="1"/>
      <c r="J1009" s="1"/>
      <c r="L1009" s="85"/>
      <c r="M1009" s="85"/>
      <c r="N1009" s="85"/>
      <c r="O1009" s="85"/>
      <c r="P1009" s="85"/>
      <c r="Q1009" s="85"/>
      <c r="R1009" s="85"/>
      <c r="S1009" s="85"/>
      <c r="T1009" s="85"/>
      <c r="U1009" s="1"/>
      <c r="V1009" s="1"/>
    </row>
    <row r="1010" spans="3:22" x14ac:dyDescent="0.3">
      <c r="C1010" s="21"/>
      <c r="D1010" s="1"/>
      <c r="E1010" s="1"/>
      <c r="F1010" s="1"/>
      <c r="G1010" s="1"/>
      <c r="H1010" s="1"/>
      <c r="I1010" s="1"/>
      <c r="J1010" s="1"/>
      <c r="L1010" s="85"/>
      <c r="M1010" s="85"/>
      <c r="N1010" s="85"/>
      <c r="O1010" s="85"/>
      <c r="P1010" s="85"/>
      <c r="Q1010" s="85"/>
      <c r="R1010" s="85"/>
      <c r="S1010" s="85"/>
      <c r="T1010" s="85"/>
      <c r="U1010" s="1"/>
      <c r="V1010" s="1"/>
    </row>
    <row r="1011" spans="3:22" x14ac:dyDescent="0.3">
      <c r="C1011" s="21"/>
      <c r="D1011" s="1"/>
      <c r="E1011" s="1"/>
      <c r="F1011" s="1"/>
      <c r="G1011" s="1"/>
      <c r="H1011" s="1"/>
      <c r="I1011" s="1"/>
      <c r="J1011" s="1"/>
      <c r="L1011" s="85"/>
      <c r="M1011" s="85"/>
      <c r="N1011" s="85"/>
      <c r="O1011" s="85"/>
      <c r="P1011" s="85"/>
      <c r="Q1011" s="85"/>
      <c r="R1011" s="85"/>
      <c r="S1011" s="85"/>
      <c r="T1011" s="85"/>
      <c r="U1011" s="1"/>
      <c r="V1011" s="1"/>
    </row>
    <row r="1012" spans="3:22" x14ac:dyDescent="0.3">
      <c r="C1012" s="21"/>
      <c r="D1012" s="1"/>
      <c r="E1012" s="1"/>
      <c r="F1012" s="1"/>
      <c r="G1012" s="1"/>
      <c r="H1012" s="1"/>
      <c r="I1012" s="1"/>
      <c r="J1012" s="1"/>
      <c r="L1012" s="85"/>
      <c r="M1012" s="85"/>
      <c r="N1012" s="85"/>
      <c r="O1012" s="85"/>
      <c r="P1012" s="85"/>
      <c r="Q1012" s="85"/>
      <c r="R1012" s="85"/>
      <c r="S1012" s="85"/>
      <c r="T1012" s="85"/>
      <c r="U1012" s="1"/>
      <c r="V1012" s="1"/>
    </row>
    <row r="1013" spans="3:22" x14ac:dyDescent="0.3">
      <c r="C1013" s="21"/>
      <c r="D1013" s="1"/>
      <c r="E1013" s="1"/>
      <c r="F1013" s="1"/>
      <c r="G1013" s="1"/>
      <c r="H1013" s="1"/>
      <c r="I1013" s="1"/>
      <c r="J1013" s="1"/>
      <c r="L1013" s="85"/>
      <c r="M1013" s="85"/>
      <c r="N1013" s="85"/>
      <c r="O1013" s="85"/>
      <c r="P1013" s="85"/>
      <c r="Q1013" s="85"/>
      <c r="R1013" s="85"/>
      <c r="S1013" s="85"/>
      <c r="T1013" s="85"/>
      <c r="U1013" s="1"/>
      <c r="V1013" s="1"/>
    </row>
    <row r="1014" spans="3:22" x14ac:dyDescent="0.3">
      <c r="C1014" s="21"/>
      <c r="D1014" s="1"/>
      <c r="E1014" s="1"/>
      <c r="F1014" s="1"/>
      <c r="G1014" s="1"/>
      <c r="H1014" s="1"/>
      <c r="I1014" s="1"/>
      <c r="J1014" s="1"/>
      <c r="L1014" s="85"/>
      <c r="M1014" s="85"/>
      <c r="N1014" s="85"/>
      <c r="O1014" s="85"/>
      <c r="P1014" s="85"/>
      <c r="Q1014" s="85"/>
      <c r="R1014" s="85"/>
      <c r="S1014" s="85"/>
      <c r="T1014" s="85"/>
      <c r="U1014" s="1"/>
      <c r="V1014" s="1"/>
    </row>
    <row r="1015" spans="3:22" x14ac:dyDescent="0.3">
      <c r="C1015" s="21"/>
      <c r="D1015" s="1"/>
      <c r="E1015" s="1"/>
      <c r="F1015" s="1"/>
      <c r="G1015" s="1"/>
      <c r="H1015" s="1"/>
      <c r="I1015" s="1"/>
      <c r="J1015" s="1"/>
      <c r="L1015" s="85"/>
      <c r="M1015" s="85"/>
      <c r="N1015" s="85"/>
      <c r="O1015" s="85"/>
      <c r="P1015" s="85"/>
      <c r="Q1015" s="85"/>
      <c r="R1015" s="85"/>
      <c r="S1015" s="85"/>
      <c r="T1015" s="85"/>
      <c r="U1015" s="1"/>
      <c r="V1015" s="1"/>
    </row>
    <row r="1016" spans="3:22" x14ac:dyDescent="0.3">
      <c r="C1016" s="21"/>
      <c r="D1016" s="1"/>
      <c r="E1016" s="1"/>
      <c r="F1016" s="1"/>
      <c r="G1016" s="1"/>
      <c r="H1016" s="1"/>
      <c r="I1016" s="1"/>
      <c r="J1016" s="1"/>
      <c r="L1016" s="85"/>
      <c r="M1016" s="85"/>
      <c r="N1016" s="85"/>
      <c r="O1016" s="85"/>
      <c r="P1016" s="85"/>
      <c r="Q1016" s="85"/>
      <c r="R1016" s="85"/>
      <c r="S1016" s="85"/>
      <c r="T1016" s="85"/>
      <c r="U1016" s="1"/>
      <c r="V1016" s="1"/>
    </row>
    <row r="1017" spans="3:22" x14ac:dyDescent="0.3">
      <c r="C1017" s="21"/>
      <c r="D1017" s="1"/>
      <c r="E1017" s="1"/>
      <c r="F1017" s="1"/>
      <c r="G1017" s="1"/>
      <c r="H1017" s="1"/>
      <c r="I1017" s="1"/>
      <c r="J1017" s="1"/>
      <c r="L1017" s="85"/>
      <c r="M1017" s="85"/>
      <c r="N1017" s="85"/>
      <c r="O1017" s="85"/>
      <c r="P1017" s="85"/>
      <c r="Q1017" s="85"/>
      <c r="R1017" s="85"/>
      <c r="S1017" s="85"/>
      <c r="T1017" s="85"/>
      <c r="U1017" s="1"/>
      <c r="V1017" s="1"/>
    </row>
    <row r="1018" spans="3:22" x14ac:dyDescent="0.3">
      <c r="C1018" s="21"/>
      <c r="D1018" s="1"/>
      <c r="E1018" s="1"/>
      <c r="F1018" s="1"/>
      <c r="G1018" s="1"/>
      <c r="H1018" s="1"/>
      <c r="I1018" s="1"/>
      <c r="J1018" s="1"/>
      <c r="L1018" s="85"/>
      <c r="M1018" s="85"/>
      <c r="N1018" s="85"/>
      <c r="O1018" s="85"/>
      <c r="P1018" s="85"/>
      <c r="Q1018" s="85"/>
      <c r="R1018" s="85"/>
      <c r="S1018" s="85"/>
      <c r="T1018" s="85"/>
      <c r="U1018" s="1"/>
      <c r="V1018" s="1"/>
    </row>
    <row r="1019" spans="3:22" x14ac:dyDescent="0.3">
      <c r="C1019" s="21"/>
      <c r="D1019" s="1"/>
      <c r="E1019" s="1"/>
      <c r="F1019" s="1"/>
      <c r="G1019" s="1"/>
      <c r="H1019" s="1"/>
      <c r="I1019" s="1"/>
      <c r="J1019" s="1"/>
      <c r="L1019" s="85"/>
      <c r="M1019" s="85"/>
      <c r="N1019" s="85"/>
      <c r="O1019" s="85"/>
      <c r="P1019" s="85"/>
      <c r="Q1019" s="85"/>
      <c r="R1019" s="85"/>
      <c r="S1019" s="85"/>
      <c r="T1019" s="85"/>
      <c r="U1019" s="1"/>
      <c r="V1019" s="1"/>
    </row>
    <row r="1020" spans="3:22" x14ac:dyDescent="0.3">
      <c r="C1020" s="21"/>
      <c r="D1020" s="1"/>
      <c r="E1020" s="1"/>
      <c r="F1020" s="1"/>
      <c r="G1020" s="1"/>
      <c r="H1020" s="1"/>
      <c r="I1020" s="1"/>
      <c r="J1020" s="1"/>
      <c r="L1020" s="85"/>
      <c r="M1020" s="85"/>
      <c r="N1020" s="85"/>
      <c r="O1020" s="85"/>
      <c r="P1020" s="85"/>
      <c r="Q1020" s="85"/>
      <c r="R1020" s="85"/>
      <c r="S1020" s="85"/>
      <c r="T1020" s="85"/>
      <c r="U1020" s="1"/>
      <c r="V1020" s="1"/>
    </row>
    <row r="1021" spans="3:22" x14ac:dyDescent="0.3">
      <c r="C1021" s="21"/>
      <c r="D1021" s="1"/>
      <c r="E1021" s="1"/>
      <c r="F1021" s="1"/>
      <c r="G1021" s="1"/>
      <c r="H1021" s="1"/>
      <c r="I1021" s="1"/>
      <c r="J1021" s="1"/>
      <c r="L1021" s="85"/>
      <c r="M1021" s="85"/>
      <c r="N1021" s="85"/>
      <c r="O1021" s="85"/>
      <c r="P1021" s="85"/>
      <c r="Q1021" s="85"/>
      <c r="R1021" s="85"/>
      <c r="S1021" s="85"/>
      <c r="T1021" s="85"/>
      <c r="U1021" s="1"/>
      <c r="V1021" s="1"/>
    </row>
    <row r="1022" spans="3:22" x14ac:dyDescent="0.3">
      <c r="C1022" s="21"/>
      <c r="D1022" s="1"/>
      <c r="E1022" s="1"/>
      <c r="F1022" s="1"/>
      <c r="G1022" s="1"/>
      <c r="H1022" s="1"/>
      <c r="I1022" s="1"/>
      <c r="J1022" s="1"/>
      <c r="L1022" s="85"/>
      <c r="M1022" s="85"/>
      <c r="N1022" s="85"/>
      <c r="O1022" s="85"/>
      <c r="P1022" s="85"/>
      <c r="Q1022" s="85"/>
      <c r="R1022" s="85"/>
      <c r="S1022" s="85"/>
      <c r="T1022" s="85"/>
      <c r="U1022" s="1"/>
      <c r="V1022" s="1"/>
    </row>
    <row r="1023" spans="3:22" x14ac:dyDescent="0.3">
      <c r="C1023" s="21"/>
      <c r="D1023" s="1"/>
      <c r="E1023" s="1"/>
      <c r="F1023" s="1"/>
      <c r="G1023" s="1"/>
      <c r="H1023" s="1"/>
      <c r="I1023" s="1"/>
      <c r="J1023" s="1"/>
      <c r="L1023" s="85"/>
      <c r="M1023" s="85"/>
      <c r="N1023" s="85"/>
      <c r="O1023" s="85"/>
      <c r="P1023" s="85"/>
      <c r="Q1023" s="85"/>
      <c r="R1023" s="85"/>
      <c r="S1023" s="85"/>
      <c r="T1023" s="85"/>
      <c r="U1023" s="1"/>
      <c r="V1023" s="1"/>
    </row>
    <row r="1024" spans="3:22" x14ac:dyDescent="0.3">
      <c r="C1024" s="21"/>
      <c r="D1024" s="1"/>
      <c r="E1024" s="1"/>
      <c r="F1024" s="1"/>
      <c r="G1024" s="1"/>
      <c r="H1024" s="1"/>
      <c r="I1024" s="1"/>
      <c r="J1024" s="1"/>
      <c r="L1024" s="85"/>
      <c r="M1024" s="85"/>
      <c r="N1024" s="85"/>
      <c r="O1024" s="85"/>
      <c r="P1024" s="85"/>
      <c r="Q1024" s="85"/>
      <c r="R1024" s="85"/>
      <c r="S1024" s="85"/>
      <c r="T1024" s="85"/>
      <c r="U1024" s="1"/>
      <c r="V1024" s="1"/>
    </row>
    <row r="1025" spans="3:22" x14ac:dyDescent="0.3">
      <c r="C1025" s="21"/>
      <c r="D1025" s="1"/>
      <c r="E1025" s="1"/>
      <c r="F1025" s="1"/>
      <c r="G1025" s="1"/>
      <c r="H1025" s="1"/>
      <c r="I1025" s="1"/>
      <c r="J1025" s="1"/>
      <c r="L1025" s="85"/>
      <c r="M1025" s="85"/>
      <c r="N1025" s="85"/>
      <c r="O1025" s="85"/>
      <c r="P1025" s="85"/>
      <c r="Q1025" s="85"/>
      <c r="R1025" s="85"/>
      <c r="S1025" s="85"/>
      <c r="T1025" s="85"/>
      <c r="U1025" s="1"/>
      <c r="V1025" s="1"/>
    </row>
    <row r="1026" spans="3:22" x14ac:dyDescent="0.3">
      <c r="C1026" s="21"/>
      <c r="D1026" s="1"/>
      <c r="E1026" s="1"/>
      <c r="F1026" s="1"/>
      <c r="G1026" s="1"/>
      <c r="H1026" s="1"/>
      <c r="I1026" s="1"/>
      <c r="J1026" s="1"/>
      <c r="L1026" s="85"/>
      <c r="M1026" s="85"/>
      <c r="N1026" s="85"/>
      <c r="O1026" s="85"/>
      <c r="P1026" s="85"/>
      <c r="Q1026" s="85"/>
      <c r="R1026" s="85"/>
      <c r="S1026" s="85"/>
      <c r="T1026" s="85"/>
      <c r="U1026" s="1"/>
      <c r="V1026" s="1"/>
    </row>
    <row r="1027" spans="3:22" x14ac:dyDescent="0.3">
      <c r="C1027" s="21"/>
      <c r="D1027" s="1"/>
      <c r="E1027" s="1"/>
      <c r="F1027" s="1"/>
      <c r="G1027" s="1"/>
      <c r="H1027" s="1"/>
      <c r="I1027" s="1"/>
      <c r="J1027" s="1"/>
      <c r="L1027" s="85"/>
      <c r="M1027" s="85"/>
      <c r="N1027" s="85"/>
      <c r="O1027" s="85"/>
      <c r="P1027" s="85"/>
      <c r="Q1027" s="85"/>
      <c r="R1027" s="85"/>
      <c r="S1027" s="85"/>
      <c r="T1027" s="85"/>
      <c r="U1027" s="1"/>
      <c r="V1027" s="1"/>
    </row>
    <row r="1028" spans="3:22" x14ac:dyDescent="0.3">
      <c r="C1028" s="21"/>
      <c r="D1028" s="1"/>
      <c r="E1028" s="1"/>
      <c r="F1028" s="1"/>
      <c r="G1028" s="1"/>
      <c r="H1028" s="1"/>
      <c r="I1028" s="1"/>
      <c r="J1028" s="1"/>
      <c r="L1028" s="85"/>
      <c r="M1028" s="85"/>
      <c r="N1028" s="85"/>
      <c r="O1028" s="85"/>
      <c r="P1028" s="85"/>
      <c r="Q1028" s="85"/>
      <c r="R1028" s="85"/>
      <c r="S1028" s="85"/>
      <c r="T1028" s="85"/>
      <c r="U1028" s="1"/>
      <c r="V1028" s="1"/>
    </row>
    <row r="1029" spans="3:22" x14ac:dyDescent="0.3">
      <c r="C1029" s="21"/>
      <c r="D1029" s="1"/>
      <c r="E1029" s="1"/>
      <c r="F1029" s="1"/>
      <c r="G1029" s="1"/>
      <c r="H1029" s="1"/>
      <c r="I1029" s="1"/>
      <c r="J1029" s="1"/>
      <c r="L1029" s="85"/>
      <c r="M1029" s="85"/>
      <c r="N1029" s="85"/>
      <c r="O1029" s="85"/>
      <c r="P1029" s="85"/>
      <c r="Q1029" s="85"/>
      <c r="R1029" s="85"/>
      <c r="S1029" s="85"/>
      <c r="T1029" s="85"/>
      <c r="U1029" s="1"/>
      <c r="V1029" s="1"/>
    </row>
    <row r="1030" spans="3:22" x14ac:dyDescent="0.3">
      <c r="C1030" s="21"/>
      <c r="D1030" s="1"/>
      <c r="E1030" s="1"/>
      <c r="F1030" s="1"/>
      <c r="G1030" s="1"/>
      <c r="H1030" s="1"/>
      <c r="I1030" s="1"/>
      <c r="J1030" s="1"/>
      <c r="L1030" s="85"/>
      <c r="M1030" s="85"/>
      <c r="N1030" s="85"/>
      <c r="O1030" s="85"/>
      <c r="P1030" s="85"/>
      <c r="Q1030" s="85"/>
      <c r="R1030" s="85"/>
      <c r="S1030" s="85"/>
      <c r="T1030" s="85"/>
      <c r="U1030" s="1"/>
      <c r="V1030" s="1"/>
    </row>
    <row r="1031" spans="3:22" x14ac:dyDescent="0.3">
      <c r="C1031" s="21"/>
      <c r="D1031" s="1"/>
      <c r="E1031" s="1"/>
      <c r="F1031" s="1"/>
      <c r="G1031" s="1"/>
      <c r="H1031" s="1"/>
      <c r="I1031" s="1"/>
      <c r="J1031" s="1"/>
      <c r="L1031" s="85"/>
      <c r="M1031" s="85"/>
      <c r="N1031" s="85"/>
      <c r="O1031" s="85"/>
      <c r="P1031" s="85"/>
      <c r="Q1031" s="85"/>
      <c r="R1031" s="85"/>
      <c r="S1031" s="85"/>
      <c r="T1031" s="85"/>
      <c r="U1031" s="1"/>
      <c r="V1031" s="1"/>
    </row>
    <row r="1032" spans="3:22" x14ac:dyDescent="0.3">
      <c r="C1032" s="21"/>
      <c r="D1032" s="1"/>
      <c r="E1032" s="1"/>
      <c r="F1032" s="1"/>
      <c r="G1032" s="1"/>
      <c r="H1032" s="1"/>
      <c r="I1032" s="1"/>
      <c r="J1032" s="1"/>
      <c r="L1032" s="85"/>
      <c r="M1032" s="85"/>
      <c r="N1032" s="85"/>
      <c r="O1032" s="85"/>
      <c r="P1032" s="85"/>
      <c r="Q1032" s="85"/>
      <c r="R1032" s="85"/>
      <c r="S1032" s="85"/>
      <c r="T1032" s="85"/>
      <c r="U1032" s="1"/>
      <c r="V1032" s="1"/>
    </row>
    <row r="1033" spans="3:22" x14ac:dyDescent="0.3">
      <c r="C1033" s="21"/>
      <c r="D1033" s="1"/>
      <c r="E1033" s="1"/>
      <c r="F1033" s="1"/>
      <c r="G1033" s="1"/>
      <c r="H1033" s="1"/>
      <c r="I1033" s="1"/>
      <c r="J1033" s="1"/>
      <c r="L1033" s="85"/>
      <c r="M1033" s="85"/>
      <c r="N1033" s="85"/>
      <c r="O1033" s="85"/>
      <c r="P1033" s="85"/>
      <c r="Q1033" s="85"/>
      <c r="R1033" s="85"/>
      <c r="S1033" s="85"/>
      <c r="T1033" s="85"/>
      <c r="U1033" s="1"/>
      <c r="V1033" s="1"/>
    </row>
    <row r="1034" spans="3:22" x14ac:dyDescent="0.3">
      <c r="C1034" s="21"/>
      <c r="D1034" s="1"/>
      <c r="E1034" s="1"/>
      <c r="F1034" s="1"/>
      <c r="G1034" s="1"/>
      <c r="H1034" s="1"/>
      <c r="I1034" s="1"/>
      <c r="J1034" s="1"/>
      <c r="L1034" s="85"/>
      <c r="M1034" s="85"/>
      <c r="N1034" s="85"/>
      <c r="O1034" s="85"/>
      <c r="P1034" s="85"/>
      <c r="Q1034" s="85"/>
      <c r="R1034" s="85"/>
      <c r="S1034" s="85"/>
      <c r="T1034" s="85"/>
      <c r="U1034" s="1"/>
      <c r="V1034" s="1"/>
    </row>
    <row r="1035" spans="3:22" x14ac:dyDescent="0.3">
      <c r="C1035" s="21"/>
      <c r="D1035" s="1"/>
      <c r="E1035" s="1"/>
      <c r="F1035" s="1"/>
      <c r="G1035" s="1"/>
      <c r="H1035" s="1"/>
      <c r="I1035" s="1"/>
      <c r="J1035" s="1"/>
      <c r="L1035" s="85"/>
      <c r="M1035" s="85"/>
      <c r="N1035" s="85"/>
      <c r="O1035" s="85"/>
      <c r="P1035" s="85"/>
      <c r="Q1035" s="85"/>
      <c r="R1035" s="85"/>
      <c r="S1035" s="85"/>
      <c r="T1035" s="85"/>
      <c r="U1035" s="1"/>
      <c r="V1035" s="1"/>
    </row>
    <row r="1036" spans="3:22" x14ac:dyDescent="0.3">
      <c r="C1036" s="21"/>
      <c r="D1036" s="1"/>
      <c r="E1036" s="1"/>
      <c r="F1036" s="1"/>
      <c r="G1036" s="1"/>
      <c r="H1036" s="1"/>
      <c r="I1036" s="1"/>
      <c r="J1036" s="1"/>
      <c r="L1036" s="85"/>
      <c r="M1036" s="85"/>
      <c r="N1036" s="85"/>
      <c r="O1036" s="85"/>
      <c r="P1036" s="85"/>
      <c r="Q1036" s="85"/>
      <c r="R1036" s="85"/>
      <c r="S1036" s="85"/>
      <c r="T1036" s="85"/>
      <c r="U1036" s="1"/>
      <c r="V1036" s="1"/>
    </row>
    <row r="1037" spans="3:22" x14ac:dyDescent="0.3">
      <c r="C1037" s="21"/>
      <c r="D1037" s="1"/>
      <c r="E1037" s="1"/>
      <c r="F1037" s="1"/>
      <c r="G1037" s="1"/>
      <c r="H1037" s="1"/>
      <c r="I1037" s="1"/>
      <c r="J1037" s="1"/>
      <c r="L1037" s="85"/>
      <c r="M1037" s="85"/>
      <c r="N1037" s="85"/>
      <c r="O1037" s="85"/>
      <c r="P1037" s="85"/>
      <c r="Q1037" s="85"/>
      <c r="R1037" s="85"/>
      <c r="S1037" s="85"/>
      <c r="T1037" s="85"/>
      <c r="U1037" s="1"/>
      <c r="V1037" s="1"/>
    </row>
    <row r="1038" spans="3:22" x14ac:dyDescent="0.3">
      <c r="C1038" s="21"/>
      <c r="D1038" s="1"/>
      <c r="E1038" s="1"/>
      <c r="F1038" s="1"/>
      <c r="G1038" s="1"/>
      <c r="H1038" s="1"/>
      <c r="I1038" s="1"/>
      <c r="J1038" s="1"/>
      <c r="L1038" s="85"/>
      <c r="M1038" s="85"/>
      <c r="N1038" s="85"/>
      <c r="O1038" s="85"/>
      <c r="P1038" s="85"/>
      <c r="Q1038" s="85"/>
      <c r="R1038" s="85"/>
      <c r="S1038" s="85"/>
      <c r="T1038" s="85"/>
      <c r="U1038" s="1"/>
      <c r="V1038" s="1"/>
    </row>
    <row r="1039" spans="3:22" x14ac:dyDescent="0.3">
      <c r="C1039" s="21"/>
      <c r="D1039" s="1"/>
      <c r="E1039" s="1"/>
      <c r="F1039" s="1"/>
      <c r="G1039" s="1"/>
      <c r="H1039" s="1"/>
      <c r="I1039" s="1"/>
      <c r="J1039" s="1"/>
      <c r="L1039" s="85"/>
      <c r="M1039" s="85"/>
      <c r="N1039" s="85"/>
      <c r="O1039" s="85"/>
      <c r="P1039" s="85"/>
      <c r="Q1039" s="85"/>
      <c r="R1039" s="85"/>
      <c r="S1039" s="85"/>
      <c r="T1039" s="85"/>
      <c r="U1039" s="1"/>
      <c r="V1039" s="1"/>
    </row>
    <row r="1040" spans="3:22" x14ac:dyDescent="0.3">
      <c r="C1040" s="21"/>
      <c r="D1040" s="1"/>
      <c r="E1040" s="1"/>
      <c r="F1040" s="1"/>
      <c r="G1040" s="1"/>
      <c r="H1040" s="1"/>
      <c r="I1040" s="1"/>
      <c r="J1040" s="1"/>
      <c r="L1040" s="85"/>
      <c r="M1040" s="85"/>
      <c r="N1040" s="85"/>
      <c r="O1040" s="85"/>
      <c r="P1040" s="85"/>
      <c r="Q1040" s="85"/>
      <c r="R1040" s="85"/>
      <c r="S1040" s="85"/>
      <c r="T1040" s="85"/>
      <c r="U1040" s="1"/>
      <c r="V1040" s="1"/>
    </row>
    <row r="1041" spans="3:22" x14ac:dyDescent="0.3">
      <c r="C1041" s="21"/>
      <c r="D1041" s="1"/>
      <c r="E1041" s="1"/>
      <c r="F1041" s="1"/>
      <c r="G1041" s="1"/>
      <c r="H1041" s="1"/>
      <c r="I1041" s="1"/>
      <c r="J1041" s="1"/>
      <c r="L1041" s="85"/>
      <c r="M1041" s="85"/>
      <c r="N1041" s="85"/>
      <c r="O1041" s="85"/>
      <c r="P1041" s="85"/>
      <c r="Q1041" s="85"/>
      <c r="R1041" s="85"/>
      <c r="S1041" s="85"/>
      <c r="T1041" s="85"/>
      <c r="U1041" s="1"/>
      <c r="V1041" s="1"/>
    </row>
    <row r="1042" spans="3:22" x14ac:dyDescent="0.3">
      <c r="C1042" s="21"/>
      <c r="D1042" s="1"/>
      <c r="E1042" s="1"/>
      <c r="F1042" s="1"/>
      <c r="G1042" s="1"/>
      <c r="H1042" s="1"/>
      <c r="I1042" s="1"/>
      <c r="J1042" s="1"/>
      <c r="L1042" s="85"/>
      <c r="M1042" s="85"/>
      <c r="N1042" s="85"/>
      <c r="O1042" s="85"/>
      <c r="P1042" s="85"/>
      <c r="Q1042" s="85"/>
      <c r="R1042" s="85"/>
      <c r="S1042" s="85"/>
      <c r="T1042" s="85"/>
      <c r="U1042" s="1"/>
      <c r="V1042" s="1"/>
    </row>
    <row r="1043" spans="3:22" x14ac:dyDescent="0.3">
      <c r="C1043" s="21"/>
      <c r="D1043" s="1"/>
      <c r="E1043" s="1"/>
      <c r="F1043" s="1"/>
      <c r="G1043" s="1"/>
      <c r="H1043" s="1"/>
      <c r="I1043" s="1"/>
      <c r="J1043" s="1"/>
      <c r="L1043" s="85"/>
      <c r="M1043" s="85"/>
      <c r="N1043" s="85"/>
      <c r="O1043" s="85"/>
      <c r="P1043" s="85"/>
      <c r="Q1043" s="85"/>
      <c r="R1043" s="85"/>
      <c r="S1043" s="85"/>
      <c r="T1043" s="85"/>
      <c r="U1043" s="1"/>
      <c r="V1043" s="1"/>
    </row>
    <row r="1044" spans="3:22" x14ac:dyDescent="0.3">
      <c r="C1044" s="21"/>
      <c r="D1044" s="1"/>
      <c r="E1044" s="1"/>
      <c r="F1044" s="1"/>
      <c r="G1044" s="1"/>
      <c r="H1044" s="1"/>
      <c r="I1044" s="1"/>
      <c r="J1044" s="1"/>
      <c r="L1044" s="85"/>
      <c r="M1044" s="85"/>
      <c r="N1044" s="85"/>
      <c r="O1044" s="85"/>
      <c r="P1044" s="85"/>
      <c r="Q1044" s="85"/>
      <c r="R1044" s="85"/>
      <c r="S1044" s="85"/>
      <c r="T1044" s="85"/>
      <c r="U1044" s="1"/>
      <c r="V1044" s="1"/>
    </row>
    <row r="1045" spans="3:22" x14ac:dyDescent="0.3">
      <c r="C1045" s="21"/>
      <c r="D1045" s="1"/>
      <c r="E1045" s="1"/>
      <c r="F1045" s="1"/>
      <c r="G1045" s="1"/>
      <c r="H1045" s="1"/>
      <c r="I1045" s="1"/>
      <c r="J1045" s="1"/>
      <c r="L1045" s="85"/>
      <c r="M1045" s="85"/>
      <c r="N1045" s="85"/>
      <c r="O1045" s="85"/>
      <c r="P1045" s="85"/>
      <c r="Q1045" s="85"/>
      <c r="R1045" s="85"/>
      <c r="S1045" s="85"/>
      <c r="T1045" s="85"/>
      <c r="U1045" s="1"/>
      <c r="V1045" s="1"/>
    </row>
    <row r="1046" spans="3:22" x14ac:dyDescent="0.3">
      <c r="C1046" s="21"/>
      <c r="D1046" s="1"/>
      <c r="E1046" s="1"/>
      <c r="F1046" s="1"/>
      <c r="G1046" s="1"/>
      <c r="H1046" s="1"/>
      <c r="I1046" s="1"/>
      <c r="J1046" s="1"/>
      <c r="L1046" s="85"/>
      <c r="M1046" s="85"/>
      <c r="N1046" s="85"/>
      <c r="O1046" s="85"/>
      <c r="P1046" s="85"/>
      <c r="Q1046" s="85"/>
      <c r="R1046" s="85"/>
      <c r="S1046" s="85"/>
      <c r="T1046" s="85"/>
      <c r="U1046" s="1"/>
      <c r="V1046" s="1"/>
    </row>
    <row r="1047" spans="3:22" x14ac:dyDescent="0.3">
      <c r="C1047" s="21"/>
      <c r="D1047" s="1"/>
      <c r="E1047" s="1"/>
      <c r="F1047" s="1"/>
      <c r="G1047" s="1"/>
      <c r="H1047" s="1"/>
      <c r="I1047" s="1"/>
      <c r="J1047" s="1"/>
      <c r="L1047" s="85"/>
      <c r="M1047" s="85"/>
      <c r="N1047" s="85"/>
      <c r="O1047" s="85"/>
      <c r="P1047" s="85"/>
      <c r="Q1047" s="85"/>
      <c r="R1047" s="85"/>
      <c r="S1047" s="85"/>
      <c r="T1047" s="85"/>
      <c r="U1047" s="1"/>
      <c r="V1047" s="1"/>
    </row>
    <row r="1048" spans="3:22" x14ac:dyDescent="0.3">
      <c r="C1048" s="21"/>
      <c r="D1048" s="1"/>
      <c r="E1048" s="1"/>
      <c r="F1048" s="1"/>
      <c r="G1048" s="1"/>
      <c r="H1048" s="1"/>
      <c r="I1048" s="1"/>
      <c r="J1048" s="1"/>
      <c r="L1048" s="85"/>
      <c r="M1048" s="85"/>
      <c r="N1048" s="85"/>
      <c r="O1048" s="85"/>
      <c r="P1048" s="85"/>
      <c r="Q1048" s="85"/>
      <c r="R1048" s="85"/>
      <c r="S1048" s="85"/>
      <c r="T1048" s="85"/>
      <c r="U1048" s="1"/>
      <c r="V1048" s="1"/>
    </row>
    <row r="1049" spans="3:22" x14ac:dyDescent="0.3">
      <c r="C1049" s="21"/>
      <c r="D1049" s="1"/>
      <c r="E1049" s="1"/>
      <c r="F1049" s="1"/>
      <c r="G1049" s="1"/>
      <c r="H1049" s="1"/>
      <c r="I1049" s="1"/>
      <c r="J1049" s="1"/>
      <c r="L1049" s="85"/>
      <c r="M1049" s="85"/>
      <c r="N1049" s="85"/>
      <c r="O1049" s="85"/>
      <c r="P1049" s="85"/>
      <c r="Q1049" s="85"/>
      <c r="R1049" s="85"/>
      <c r="S1049" s="85"/>
      <c r="T1049" s="85"/>
      <c r="U1049" s="1"/>
      <c r="V1049" s="1"/>
    </row>
    <row r="1050" spans="3:22" x14ac:dyDescent="0.3">
      <c r="C1050" s="21"/>
      <c r="D1050" s="1"/>
      <c r="E1050" s="1"/>
      <c r="F1050" s="1"/>
      <c r="G1050" s="1"/>
      <c r="H1050" s="1"/>
      <c r="I1050" s="1"/>
      <c r="J1050" s="1"/>
      <c r="L1050" s="85"/>
      <c r="M1050" s="85"/>
      <c r="N1050" s="85"/>
      <c r="O1050" s="85"/>
      <c r="P1050" s="85"/>
      <c r="Q1050" s="85"/>
      <c r="R1050" s="85"/>
      <c r="S1050" s="85"/>
      <c r="T1050" s="85"/>
      <c r="U1050" s="1"/>
      <c r="V1050" s="1"/>
    </row>
    <row r="1051" spans="3:22" x14ac:dyDescent="0.3">
      <c r="C1051" s="21"/>
      <c r="D1051" s="1"/>
      <c r="E1051" s="1"/>
      <c r="F1051" s="1"/>
      <c r="G1051" s="1"/>
      <c r="H1051" s="1"/>
      <c r="I1051" s="1"/>
      <c r="J1051" s="1"/>
      <c r="L1051" s="85"/>
      <c r="M1051" s="85"/>
      <c r="N1051" s="85"/>
      <c r="O1051" s="85"/>
      <c r="P1051" s="85"/>
      <c r="Q1051" s="85"/>
      <c r="R1051" s="85"/>
      <c r="S1051" s="85"/>
      <c r="T1051" s="85"/>
      <c r="U1051" s="1"/>
      <c r="V1051" s="1"/>
    </row>
    <row r="1052" spans="3:22" x14ac:dyDescent="0.3">
      <c r="C1052" s="21"/>
      <c r="D1052" s="1"/>
      <c r="E1052" s="1"/>
      <c r="F1052" s="1"/>
      <c r="G1052" s="1"/>
      <c r="H1052" s="1"/>
      <c r="I1052" s="1"/>
      <c r="J1052" s="1"/>
      <c r="L1052" s="85"/>
      <c r="M1052" s="85"/>
      <c r="N1052" s="85"/>
      <c r="O1052" s="85"/>
      <c r="P1052" s="85"/>
      <c r="Q1052" s="85"/>
      <c r="R1052" s="85"/>
      <c r="S1052" s="85"/>
      <c r="T1052" s="85"/>
      <c r="U1052" s="1"/>
      <c r="V1052" s="1"/>
    </row>
    <row r="1053" spans="3:22" x14ac:dyDescent="0.3">
      <c r="C1053" s="21"/>
      <c r="D1053" s="1"/>
      <c r="E1053" s="1"/>
      <c r="F1053" s="1"/>
      <c r="G1053" s="1"/>
      <c r="H1053" s="1"/>
      <c r="I1053" s="1"/>
      <c r="J1053" s="1"/>
      <c r="L1053" s="85"/>
      <c r="M1053" s="85"/>
      <c r="N1053" s="85"/>
      <c r="O1053" s="85"/>
      <c r="P1053" s="85"/>
      <c r="Q1053" s="85"/>
      <c r="R1053" s="85"/>
      <c r="S1053" s="85"/>
      <c r="T1053" s="85"/>
      <c r="U1053" s="1"/>
      <c r="V1053" s="1"/>
    </row>
    <row r="1054" spans="3:22" x14ac:dyDescent="0.3">
      <c r="C1054" s="21"/>
      <c r="D1054" s="1"/>
      <c r="E1054" s="1"/>
      <c r="F1054" s="1"/>
      <c r="G1054" s="1"/>
      <c r="H1054" s="1"/>
      <c r="I1054" s="1"/>
      <c r="J1054" s="1"/>
      <c r="L1054" s="85"/>
      <c r="M1054" s="85"/>
      <c r="N1054" s="85"/>
      <c r="O1054" s="85"/>
      <c r="P1054" s="85"/>
      <c r="Q1054" s="85"/>
      <c r="R1054" s="85"/>
      <c r="S1054" s="85"/>
      <c r="T1054" s="85"/>
      <c r="U1054" s="1"/>
      <c r="V1054" s="1"/>
    </row>
    <row r="1055" spans="3:22" x14ac:dyDescent="0.3">
      <c r="C1055" s="21"/>
      <c r="D1055" s="1"/>
      <c r="E1055" s="1"/>
      <c r="F1055" s="1"/>
      <c r="G1055" s="1"/>
      <c r="H1055" s="1"/>
      <c r="I1055" s="1"/>
      <c r="J1055" s="1"/>
      <c r="L1055" s="85"/>
      <c r="M1055" s="85"/>
      <c r="N1055" s="85"/>
      <c r="O1055" s="85"/>
      <c r="P1055" s="85"/>
      <c r="Q1055" s="85"/>
      <c r="R1055" s="85"/>
      <c r="S1055" s="85"/>
      <c r="T1055" s="85"/>
      <c r="U1055" s="1"/>
      <c r="V1055" s="1"/>
    </row>
    <row r="1056" spans="3:22" x14ac:dyDescent="0.3">
      <c r="C1056" s="21"/>
      <c r="D1056" s="1"/>
      <c r="E1056" s="1"/>
      <c r="F1056" s="1"/>
      <c r="G1056" s="1"/>
      <c r="H1056" s="1"/>
      <c r="I1056" s="1"/>
      <c r="J1056" s="1"/>
      <c r="L1056" s="85"/>
      <c r="M1056" s="85"/>
      <c r="N1056" s="85"/>
      <c r="O1056" s="85"/>
      <c r="P1056" s="85"/>
      <c r="Q1056" s="85"/>
      <c r="R1056" s="85"/>
      <c r="S1056" s="85"/>
      <c r="T1056" s="85"/>
      <c r="U1056" s="1"/>
      <c r="V1056" s="1"/>
    </row>
    <row r="1057" spans="3:22" x14ac:dyDescent="0.3">
      <c r="C1057" s="21"/>
      <c r="D1057" s="1"/>
      <c r="E1057" s="1"/>
      <c r="F1057" s="1"/>
      <c r="G1057" s="1"/>
      <c r="H1057" s="1"/>
      <c r="I1057" s="1"/>
      <c r="J1057" s="1"/>
      <c r="L1057" s="85"/>
      <c r="M1057" s="85"/>
      <c r="N1057" s="85"/>
      <c r="O1057" s="85"/>
      <c r="P1057" s="85"/>
      <c r="Q1057" s="85"/>
      <c r="R1057" s="85"/>
      <c r="S1057" s="85"/>
      <c r="T1057" s="85"/>
      <c r="U1057" s="1"/>
      <c r="V1057" s="1"/>
    </row>
    <row r="1058" spans="3:22" x14ac:dyDescent="0.3">
      <c r="C1058" s="21"/>
      <c r="D1058" s="1"/>
      <c r="E1058" s="1"/>
      <c r="F1058" s="1"/>
      <c r="G1058" s="1"/>
      <c r="H1058" s="1"/>
      <c r="I1058" s="1"/>
      <c r="J1058" s="1"/>
      <c r="L1058" s="85"/>
      <c r="M1058" s="85"/>
      <c r="N1058" s="85"/>
      <c r="O1058" s="85"/>
      <c r="P1058" s="85"/>
      <c r="Q1058" s="85"/>
      <c r="R1058" s="85"/>
      <c r="S1058" s="85"/>
      <c r="T1058" s="85"/>
      <c r="U1058" s="1"/>
      <c r="V1058" s="1"/>
    </row>
    <row r="1059" spans="3:22" x14ac:dyDescent="0.3">
      <c r="C1059" s="21"/>
      <c r="D1059" s="1"/>
      <c r="E1059" s="1"/>
      <c r="F1059" s="1"/>
      <c r="G1059" s="1"/>
      <c r="H1059" s="1"/>
      <c r="I1059" s="1"/>
      <c r="J1059" s="1"/>
      <c r="L1059" s="85"/>
      <c r="M1059" s="85"/>
      <c r="N1059" s="85"/>
      <c r="O1059" s="85"/>
      <c r="P1059" s="85"/>
      <c r="Q1059" s="85"/>
      <c r="R1059" s="85"/>
      <c r="S1059" s="85"/>
      <c r="T1059" s="85"/>
      <c r="U1059" s="1"/>
      <c r="V1059" s="1"/>
    </row>
    <row r="1060" spans="3:22" x14ac:dyDescent="0.3">
      <c r="C1060" s="21"/>
      <c r="D1060" s="1"/>
      <c r="E1060" s="1"/>
      <c r="F1060" s="1"/>
      <c r="G1060" s="1"/>
      <c r="H1060" s="1"/>
      <c r="I1060" s="1"/>
      <c r="J1060" s="1"/>
      <c r="L1060" s="85"/>
      <c r="M1060" s="85"/>
      <c r="N1060" s="85"/>
      <c r="O1060" s="85"/>
      <c r="P1060" s="85"/>
      <c r="Q1060" s="85"/>
      <c r="R1060" s="85"/>
      <c r="S1060" s="85"/>
      <c r="T1060" s="85"/>
      <c r="U1060" s="1"/>
      <c r="V1060" s="1"/>
    </row>
    <row r="1061" spans="3:22" x14ac:dyDescent="0.3">
      <c r="C1061" s="21"/>
      <c r="D1061" s="1"/>
      <c r="E1061" s="1"/>
      <c r="F1061" s="1"/>
      <c r="G1061" s="1"/>
      <c r="H1061" s="1"/>
      <c r="I1061" s="1"/>
      <c r="J1061" s="1"/>
      <c r="L1061" s="85"/>
      <c r="M1061" s="85"/>
      <c r="N1061" s="85"/>
      <c r="O1061" s="85"/>
      <c r="P1061" s="85"/>
      <c r="Q1061" s="85"/>
      <c r="R1061" s="85"/>
      <c r="S1061" s="85"/>
      <c r="T1061" s="85"/>
      <c r="U1061" s="1"/>
      <c r="V1061" s="1"/>
    </row>
    <row r="1062" spans="3:22" x14ac:dyDescent="0.3">
      <c r="C1062" s="21"/>
      <c r="D1062" s="1"/>
      <c r="E1062" s="1"/>
      <c r="F1062" s="1"/>
      <c r="G1062" s="1"/>
      <c r="H1062" s="1"/>
      <c r="I1062" s="1"/>
      <c r="J1062" s="1"/>
      <c r="L1062" s="85"/>
      <c r="M1062" s="85"/>
      <c r="N1062" s="85"/>
      <c r="O1062" s="85"/>
      <c r="P1062" s="85"/>
      <c r="Q1062" s="85"/>
      <c r="R1062" s="85"/>
      <c r="S1062" s="85"/>
      <c r="T1062" s="85"/>
      <c r="U1062" s="1"/>
      <c r="V1062" s="1"/>
    </row>
    <row r="1063" spans="3:22" x14ac:dyDescent="0.3">
      <c r="C1063" s="21"/>
      <c r="D1063" s="1"/>
      <c r="E1063" s="1"/>
      <c r="F1063" s="1"/>
      <c r="G1063" s="1"/>
      <c r="H1063" s="1"/>
      <c r="I1063" s="1"/>
      <c r="J1063" s="1"/>
      <c r="L1063" s="85"/>
      <c r="M1063" s="85"/>
      <c r="N1063" s="85"/>
      <c r="O1063" s="85"/>
      <c r="P1063" s="85"/>
      <c r="Q1063" s="85"/>
      <c r="R1063" s="85"/>
      <c r="S1063" s="85"/>
      <c r="T1063" s="85"/>
      <c r="U1063" s="1"/>
      <c r="V1063" s="1"/>
    </row>
    <row r="1064" spans="3:22" x14ac:dyDescent="0.3">
      <c r="C1064" s="21"/>
      <c r="D1064" s="1"/>
      <c r="E1064" s="1"/>
      <c r="F1064" s="1"/>
      <c r="G1064" s="1"/>
      <c r="H1064" s="1"/>
      <c r="I1064" s="1"/>
      <c r="J1064" s="1"/>
      <c r="L1064" s="85"/>
      <c r="M1064" s="85"/>
      <c r="N1064" s="85"/>
      <c r="O1064" s="85"/>
      <c r="P1064" s="85"/>
      <c r="Q1064" s="85"/>
      <c r="R1064" s="85"/>
      <c r="S1064" s="85"/>
      <c r="T1064" s="85"/>
      <c r="U1064" s="1"/>
      <c r="V1064" s="1"/>
    </row>
    <row r="1065" spans="3:22" x14ac:dyDescent="0.3">
      <c r="C1065" s="21"/>
      <c r="D1065" s="1"/>
      <c r="E1065" s="1"/>
      <c r="F1065" s="1"/>
      <c r="G1065" s="1"/>
      <c r="H1065" s="1"/>
      <c r="I1065" s="1"/>
      <c r="J1065" s="1"/>
      <c r="L1065" s="85"/>
      <c r="M1065" s="85"/>
      <c r="N1065" s="85"/>
      <c r="O1065" s="85"/>
      <c r="P1065" s="85"/>
      <c r="Q1065" s="85"/>
      <c r="R1065" s="85"/>
      <c r="S1065" s="85"/>
      <c r="T1065" s="85"/>
      <c r="U1065" s="1"/>
      <c r="V1065" s="1"/>
    </row>
    <row r="1066" spans="3:22" x14ac:dyDescent="0.3">
      <c r="C1066" s="21"/>
      <c r="D1066" s="1"/>
      <c r="E1066" s="1"/>
      <c r="F1066" s="1"/>
      <c r="G1066" s="1"/>
      <c r="H1066" s="1"/>
      <c r="I1066" s="1"/>
      <c r="J1066" s="1"/>
      <c r="L1066" s="85"/>
      <c r="M1066" s="85"/>
      <c r="N1066" s="85"/>
      <c r="O1066" s="85"/>
      <c r="P1066" s="85"/>
      <c r="Q1066" s="85"/>
      <c r="R1066" s="85"/>
      <c r="S1066" s="85"/>
      <c r="T1066" s="85"/>
      <c r="U1066" s="1"/>
      <c r="V1066" s="1"/>
    </row>
    <row r="1067" spans="3:22" x14ac:dyDescent="0.3">
      <c r="C1067" s="21"/>
      <c r="D1067" s="1"/>
      <c r="E1067" s="1"/>
      <c r="F1067" s="1"/>
      <c r="G1067" s="1"/>
      <c r="H1067" s="1"/>
      <c r="I1067" s="1"/>
      <c r="J1067" s="1"/>
      <c r="L1067" s="85"/>
      <c r="M1067" s="85"/>
      <c r="N1067" s="85"/>
      <c r="O1067" s="85"/>
      <c r="P1067" s="85"/>
      <c r="Q1067" s="85"/>
      <c r="R1067" s="85"/>
      <c r="S1067" s="85"/>
      <c r="T1067" s="85"/>
      <c r="U1067" s="1"/>
      <c r="V1067" s="1"/>
    </row>
    <row r="1068" spans="3:22" x14ac:dyDescent="0.3">
      <c r="C1068" s="21"/>
      <c r="D1068" s="1"/>
      <c r="E1068" s="1"/>
      <c r="F1068" s="1"/>
      <c r="G1068" s="1"/>
      <c r="H1068" s="1"/>
      <c r="I1068" s="1"/>
      <c r="J1068" s="1"/>
      <c r="L1068" s="85"/>
      <c r="M1068" s="85"/>
      <c r="N1068" s="85"/>
      <c r="O1068" s="85"/>
      <c r="P1068" s="85"/>
      <c r="Q1068" s="85"/>
      <c r="R1068" s="85"/>
      <c r="S1068" s="85"/>
      <c r="T1068" s="85"/>
      <c r="U1068" s="1"/>
      <c r="V1068" s="1"/>
    </row>
    <row r="1069" spans="3:22" x14ac:dyDescent="0.3">
      <c r="C1069" s="21"/>
      <c r="D1069" s="1"/>
      <c r="E1069" s="1"/>
      <c r="F1069" s="1"/>
      <c r="G1069" s="1"/>
      <c r="H1069" s="1"/>
      <c r="I1069" s="1"/>
      <c r="J1069" s="1"/>
      <c r="L1069" s="85"/>
      <c r="M1069" s="85"/>
      <c r="N1069" s="85"/>
      <c r="O1069" s="85"/>
      <c r="P1069" s="85"/>
      <c r="Q1069" s="85"/>
      <c r="R1069" s="85"/>
      <c r="S1069" s="85"/>
      <c r="T1069" s="85"/>
      <c r="U1069" s="1"/>
      <c r="V1069" s="1"/>
    </row>
    <row r="1070" spans="3:22" x14ac:dyDescent="0.3">
      <c r="C1070" s="21"/>
      <c r="D1070" s="1"/>
      <c r="E1070" s="1"/>
      <c r="F1070" s="1"/>
      <c r="G1070" s="1"/>
      <c r="H1070" s="1"/>
      <c r="I1070" s="1"/>
      <c r="J1070" s="1"/>
      <c r="L1070" s="85"/>
      <c r="M1070" s="85"/>
      <c r="N1070" s="85"/>
      <c r="O1070" s="85"/>
      <c r="P1070" s="85"/>
      <c r="Q1070" s="85"/>
      <c r="R1070" s="85"/>
      <c r="S1070" s="85"/>
      <c r="T1070" s="85"/>
      <c r="U1070" s="1"/>
      <c r="V1070" s="1"/>
    </row>
    <row r="1071" spans="3:22" x14ac:dyDescent="0.3">
      <c r="C1071" s="21"/>
      <c r="D1071" s="1"/>
      <c r="E1071" s="1"/>
      <c r="F1071" s="1"/>
      <c r="G1071" s="1"/>
      <c r="H1071" s="1"/>
      <c r="I1071" s="1"/>
      <c r="J1071" s="1"/>
      <c r="L1071" s="85"/>
      <c r="M1071" s="85"/>
      <c r="N1071" s="85"/>
      <c r="O1071" s="85"/>
      <c r="P1071" s="85"/>
      <c r="Q1071" s="85"/>
      <c r="R1071" s="85"/>
      <c r="S1071" s="85"/>
      <c r="T1071" s="85"/>
      <c r="U1071" s="1"/>
      <c r="V1071" s="1"/>
    </row>
    <row r="1072" spans="3:22" x14ac:dyDescent="0.3">
      <c r="C1072" s="21"/>
      <c r="D1072" s="1"/>
      <c r="E1072" s="1"/>
      <c r="F1072" s="1"/>
      <c r="G1072" s="1"/>
      <c r="H1072" s="1"/>
      <c r="I1072" s="1"/>
      <c r="J1072" s="1"/>
      <c r="L1072" s="85"/>
      <c r="M1072" s="85"/>
      <c r="N1072" s="85"/>
      <c r="O1072" s="85"/>
      <c r="P1072" s="85"/>
      <c r="Q1072" s="85"/>
      <c r="R1072" s="85"/>
      <c r="S1072" s="85"/>
      <c r="T1072" s="85"/>
      <c r="U1072" s="1"/>
      <c r="V1072" s="1"/>
    </row>
    <row r="1073" spans="3:22" x14ac:dyDescent="0.3">
      <c r="C1073" s="21"/>
      <c r="D1073" s="1"/>
      <c r="E1073" s="1"/>
      <c r="F1073" s="1"/>
      <c r="G1073" s="1"/>
      <c r="H1073" s="1"/>
      <c r="I1073" s="1"/>
      <c r="J1073" s="1"/>
      <c r="L1073" s="85"/>
      <c r="M1073" s="85"/>
      <c r="N1073" s="85"/>
      <c r="O1073" s="85"/>
      <c r="P1073" s="85"/>
      <c r="Q1073" s="85"/>
      <c r="R1073" s="85"/>
      <c r="S1073" s="85"/>
      <c r="T1073" s="85"/>
      <c r="U1073" s="1"/>
      <c r="V1073" s="1"/>
    </row>
    <row r="1074" spans="3:22" x14ac:dyDescent="0.3">
      <c r="C1074" s="21"/>
      <c r="D1074" s="1"/>
      <c r="E1074" s="1"/>
      <c r="F1074" s="1"/>
      <c r="G1074" s="1"/>
      <c r="H1074" s="1"/>
      <c r="I1074" s="1"/>
      <c r="J1074" s="1"/>
      <c r="L1074" s="85"/>
      <c r="M1074" s="85"/>
      <c r="N1074" s="85"/>
      <c r="O1074" s="85"/>
      <c r="P1074" s="85"/>
      <c r="Q1074" s="85"/>
      <c r="R1074" s="85"/>
      <c r="S1074" s="85"/>
      <c r="T1074" s="85"/>
      <c r="U1074" s="1"/>
      <c r="V1074" s="1"/>
    </row>
    <row r="1075" spans="3:22" x14ac:dyDescent="0.3">
      <c r="C1075" s="21"/>
      <c r="D1075" s="1"/>
      <c r="E1075" s="1"/>
      <c r="F1075" s="1"/>
      <c r="G1075" s="1"/>
      <c r="H1075" s="1"/>
      <c r="I1075" s="1"/>
      <c r="J1075" s="1"/>
      <c r="L1075" s="85"/>
      <c r="M1075" s="85"/>
      <c r="N1075" s="85"/>
      <c r="O1075" s="85"/>
      <c r="P1075" s="85"/>
      <c r="Q1075" s="85"/>
      <c r="R1075" s="85"/>
      <c r="S1075" s="85"/>
      <c r="T1075" s="85"/>
      <c r="U1075" s="1"/>
      <c r="V1075" s="1"/>
    </row>
    <row r="1076" spans="3:22" x14ac:dyDescent="0.3">
      <c r="C1076" s="21"/>
      <c r="D1076" s="1"/>
      <c r="E1076" s="1"/>
      <c r="F1076" s="1"/>
      <c r="G1076" s="1"/>
      <c r="H1076" s="1"/>
      <c r="I1076" s="1"/>
      <c r="J1076" s="1"/>
      <c r="L1076" s="85"/>
      <c r="M1076" s="85"/>
      <c r="N1076" s="85"/>
      <c r="O1076" s="85"/>
      <c r="P1076" s="85"/>
      <c r="Q1076" s="85"/>
      <c r="R1076" s="85"/>
      <c r="S1076" s="85"/>
      <c r="T1076" s="85"/>
      <c r="U1076" s="1"/>
      <c r="V1076" s="1"/>
    </row>
    <row r="1077" spans="3:22" x14ac:dyDescent="0.3">
      <c r="C1077" s="21"/>
      <c r="D1077" s="1"/>
      <c r="E1077" s="1"/>
      <c r="F1077" s="1"/>
      <c r="G1077" s="1"/>
      <c r="H1077" s="1"/>
      <c r="I1077" s="1"/>
      <c r="J1077" s="1"/>
      <c r="L1077" s="85"/>
      <c r="M1077" s="85"/>
      <c r="N1077" s="85"/>
      <c r="O1077" s="85"/>
      <c r="P1077" s="85"/>
      <c r="Q1077" s="85"/>
      <c r="R1077" s="85"/>
      <c r="S1077" s="85"/>
      <c r="T1077" s="85"/>
      <c r="U1077" s="1"/>
      <c r="V1077" s="1"/>
    </row>
    <row r="1078" spans="3:22" x14ac:dyDescent="0.3">
      <c r="C1078" s="21"/>
      <c r="D1078" s="1"/>
      <c r="E1078" s="1"/>
      <c r="F1078" s="1"/>
      <c r="G1078" s="1"/>
      <c r="H1078" s="1"/>
      <c r="I1078" s="1"/>
      <c r="J1078" s="1"/>
      <c r="L1078" s="85"/>
      <c r="M1078" s="85"/>
      <c r="N1078" s="85"/>
      <c r="O1078" s="85"/>
      <c r="P1078" s="85"/>
      <c r="Q1078" s="85"/>
      <c r="R1078" s="85"/>
      <c r="S1078" s="85"/>
      <c r="T1078" s="85"/>
      <c r="U1078" s="1"/>
      <c r="V1078" s="1"/>
    </row>
    <row r="1079" spans="3:22" x14ac:dyDescent="0.3">
      <c r="C1079" s="21"/>
      <c r="D1079" s="1"/>
      <c r="E1079" s="1"/>
      <c r="F1079" s="1"/>
      <c r="G1079" s="1"/>
      <c r="H1079" s="1"/>
      <c r="I1079" s="1"/>
      <c r="J1079" s="1"/>
      <c r="L1079" s="85"/>
      <c r="M1079" s="85"/>
      <c r="N1079" s="85"/>
      <c r="O1079" s="85"/>
      <c r="P1079" s="85"/>
      <c r="Q1079" s="85"/>
      <c r="R1079" s="85"/>
      <c r="S1079" s="85"/>
      <c r="T1079" s="85"/>
      <c r="U1079" s="1"/>
      <c r="V1079" s="1"/>
    </row>
    <row r="1080" spans="3:22" x14ac:dyDescent="0.3">
      <c r="C1080" s="21"/>
      <c r="D1080" s="1"/>
      <c r="E1080" s="1"/>
      <c r="F1080" s="1"/>
      <c r="G1080" s="1"/>
      <c r="H1080" s="1"/>
      <c r="I1080" s="1"/>
      <c r="J1080" s="1"/>
      <c r="L1080" s="85"/>
      <c r="M1080" s="85"/>
      <c r="N1080" s="85"/>
      <c r="O1080" s="85"/>
      <c r="P1080" s="85"/>
      <c r="Q1080" s="85"/>
      <c r="R1080" s="85"/>
      <c r="S1080" s="85"/>
      <c r="T1080" s="85"/>
      <c r="U1080" s="1"/>
      <c r="V1080" s="1"/>
    </row>
    <row r="1081" spans="3:22" x14ac:dyDescent="0.3">
      <c r="C1081" s="21"/>
      <c r="D1081" s="1"/>
      <c r="E1081" s="1"/>
      <c r="F1081" s="1"/>
      <c r="G1081" s="1"/>
      <c r="H1081" s="1"/>
      <c r="I1081" s="1"/>
      <c r="J1081" s="1"/>
      <c r="L1081" s="85"/>
      <c r="M1081" s="85"/>
      <c r="N1081" s="85"/>
      <c r="O1081" s="85"/>
      <c r="P1081" s="85"/>
      <c r="Q1081" s="85"/>
      <c r="R1081" s="85"/>
      <c r="S1081" s="85"/>
      <c r="T1081" s="85"/>
      <c r="U1081" s="1"/>
      <c r="V1081" s="1"/>
    </row>
    <row r="1082" spans="3:22" x14ac:dyDescent="0.3">
      <c r="C1082" s="21"/>
      <c r="D1082" s="1"/>
      <c r="E1082" s="1"/>
      <c r="F1082" s="1"/>
      <c r="G1082" s="1"/>
      <c r="H1082" s="1"/>
      <c r="I1082" s="1"/>
      <c r="J1082" s="1"/>
      <c r="L1082" s="85"/>
      <c r="M1082" s="85"/>
      <c r="N1082" s="85"/>
      <c r="O1082" s="85"/>
      <c r="P1082" s="85"/>
      <c r="Q1082" s="85"/>
      <c r="R1082" s="85"/>
      <c r="S1082" s="85"/>
      <c r="T1082" s="85"/>
      <c r="U1082" s="1"/>
      <c r="V1082" s="1"/>
    </row>
    <row r="1083" spans="3:22" x14ac:dyDescent="0.3">
      <c r="C1083" s="21"/>
      <c r="D1083" s="1"/>
      <c r="E1083" s="1"/>
      <c r="F1083" s="1"/>
      <c r="G1083" s="1"/>
      <c r="H1083" s="1"/>
      <c r="I1083" s="1"/>
      <c r="J1083" s="1"/>
      <c r="L1083" s="85"/>
      <c r="M1083" s="85"/>
      <c r="N1083" s="85"/>
      <c r="O1083" s="85"/>
      <c r="P1083" s="85"/>
      <c r="Q1083" s="85"/>
      <c r="R1083" s="85"/>
      <c r="S1083" s="85"/>
      <c r="T1083" s="85"/>
      <c r="U1083" s="1"/>
      <c r="V1083" s="1"/>
    </row>
    <row r="1084" spans="3:22" x14ac:dyDescent="0.3">
      <c r="C1084" s="21"/>
      <c r="D1084" s="1"/>
      <c r="E1084" s="1"/>
      <c r="F1084" s="1"/>
      <c r="G1084" s="1"/>
      <c r="H1084" s="1"/>
      <c r="I1084" s="1"/>
      <c r="J1084" s="1"/>
      <c r="L1084" s="85"/>
      <c r="M1084" s="85"/>
      <c r="N1084" s="85"/>
      <c r="O1084" s="85"/>
      <c r="P1084" s="85"/>
      <c r="Q1084" s="85"/>
      <c r="R1084" s="85"/>
      <c r="S1084" s="85"/>
      <c r="T1084" s="85"/>
      <c r="U1084" s="1"/>
      <c r="V1084" s="1"/>
    </row>
    <row r="1085" spans="3:22" x14ac:dyDescent="0.3">
      <c r="C1085" s="21"/>
      <c r="D1085" s="1"/>
      <c r="E1085" s="1"/>
      <c r="F1085" s="1"/>
      <c r="G1085" s="1"/>
      <c r="H1085" s="1"/>
      <c r="I1085" s="1"/>
      <c r="J1085" s="1"/>
      <c r="L1085" s="85"/>
      <c r="M1085" s="85"/>
      <c r="N1085" s="85"/>
      <c r="O1085" s="85"/>
      <c r="P1085" s="85"/>
      <c r="Q1085" s="85"/>
      <c r="R1085" s="85"/>
      <c r="S1085" s="85"/>
      <c r="T1085" s="85"/>
      <c r="U1085" s="1"/>
      <c r="V1085" s="1"/>
    </row>
    <row r="1086" spans="3:22" x14ac:dyDescent="0.3">
      <c r="C1086" s="21"/>
      <c r="D1086" s="1"/>
      <c r="E1086" s="1"/>
      <c r="F1086" s="1"/>
      <c r="G1086" s="1"/>
      <c r="H1086" s="1"/>
      <c r="I1086" s="1"/>
      <c r="J1086" s="1"/>
      <c r="L1086" s="85"/>
      <c r="M1086" s="85"/>
      <c r="N1086" s="85"/>
      <c r="O1086" s="85"/>
      <c r="P1086" s="85"/>
      <c r="Q1086" s="85"/>
      <c r="R1086" s="85"/>
      <c r="S1086" s="85"/>
      <c r="T1086" s="85"/>
      <c r="U1086" s="1"/>
      <c r="V1086" s="1"/>
    </row>
    <row r="1087" spans="3:22" x14ac:dyDescent="0.3">
      <c r="C1087" s="21"/>
      <c r="D1087" s="1"/>
      <c r="E1087" s="1"/>
      <c r="F1087" s="1"/>
      <c r="G1087" s="1"/>
      <c r="H1087" s="1"/>
      <c r="I1087" s="1"/>
      <c r="J1087" s="1"/>
      <c r="L1087" s="85"/>
      <c r="M1087" s="85"/>
      <c r="N1087" s="85"/>
      <c r="O1087" s="85"/>
      <c r="P1087" s="85"/>
      <c r="Q1087" s="85"/>
      <c r="R1087" s="85"/>
      <c r="S1087" s="85"/>
      <c r="T1087" s="85"/>
      <c r="U1087" s="1"/>
      <c r="V1087" s="1"/>
    </row>
    <row r="1088" spans="3:22" x14ac:dyDescent="0.3">
      <c r="C1088" s="21"/>
      <c r="D1088" s="1"/>
      <c r="E1088" s="1"/>
      <c r="F1088" s="1"/>
      <c r="G1088" s="1"/>
      <c r="H1088" s="1"/>
      <c r="I1088" s="1"/>
      <c r="J1088" s="1"/>
      <c r="L1088" s="85"/>
      <c r="M1088" s="85"/>
      <c r="N1088" s="85"/>
      <c r="O1088" s="85"/>
      <c r="P1088" s="85"/>
      <c r="Q1088" s="85"/>
      <c r="R1088" s="85"/>
      <c r="S1088" s="85"/>
      <c r="T1088" s="85"/>
      <c r="U1088" s="1"/>
      <c r="V1088" s="1"/>
    </row>
    <row r="1089" spans="3:22" x14ac:dyDescent="0.3">
      <c r="C1089" s="21"/>
      <c r="D1089" s="1"/>
      <c r="E1089" s="1"/>
      <c r="F1089" s="1"/>
      <c r="G1089" s="1"/>
      <c r="H1089" s="1"/>
      <c r="I1089" s="1"/>
      <c r="J1089" s="1"/>
      <c r="L1089" s="85"/>
      <c r="M1089" s="85"/>
      <c r="N1089" s="85"/>
      <c r="O1089" s="85"/>
      <c r="P1089" s="85"/>
      <c r="Q1089" s="85"/>
      <c r="R1089" s="85"/>
      <c r="S1089" s="85"/>
      <c r="T1089" s="85"/>
      <c r="U1089" s="1"/>
      <c r="V1089" s="1"/>
    </row>
    <row r="1090" spans="3:22" x14ac:dyDescent="0.3">
      <c r="C1090" s="21"/>
      <c r="D1090" s="1"/>
      <c r="E1090" s="1"/>
      <c r="F1090" s="1"/>
      <c r="G1090" s="1"/>
      <c r="H1090" s="1"/>
      <c r="I1090" s="1"/>
      <c r="J1090" s="1"/>
      <c r="L1090" s="85"/>
      <c r="M1090" s="85"/>
      <c r="N1090" s="85"/>
      <c r="O1090" s="85"/>
      <c r="P1090" s="85"/>
      <c r="Q1090" s="85"/>
      <c r="R1090" s="85"/>
      <c r="S1090" s="85"/>
      <c r="T1090" s="85"/>
      <c r="U1090" s="1"/>
      <c r="V1090" s="1"/>
    </row>
    <row r="1091" spans="3:22" x14ac:dyDescent="0.3">
      <c r="C1091" s="21"/>
      <c r="D1091" s="1"/>
      <c r="E1091" s="1"/>
      <c r="F1091" s="1"/>
      <c r="G1091" s="1"/>
      <c r="H1091" s="1"/>
      <c r="I1091" s="1"/>
      <c r="J1091" s="1"/>
      <c r="L1091" s="85"/>
      <c r="M1091" s="85"/>
      <c r="N1091" s="85"/>
      <c r="O1091" s="85"/>
      <c r="P1091" s="85"/>
      <c r="Q1091" s="85"/>
      <c r="R1091" s="85"/>
      <c r="S1091" s="85"/>
      <c r="T1091" s="85"/>
      <c r="U1091" s="1"/>
      <c r="V1091" s="1"/>
    </row>
    <row r="1092" spans="3:22" x14ac:dyDescent="0.3">
      <c r="C1092" s="21"/>
      <c r="D1092" s="1"/>
      <c r="E1092" s="1"/>
      <c r="F1092" s="1"/>
      <c r="G1092" s="1"/>
      <c r="H1092" s="1"/>
      <c r="I1092" s="1"/>
      <c r="J1092" s="1"/>
      <c r="L1092" s="85"/>
      <c r="M1092" s="85"/>
      <c r="N1092" s="85"/>
      <c r="O1092" s="85"/>
      <c r="P1092" s="85"/>
      <c r="Q1092" s="85"/>
      <c r="R1092" s="85"/>
      <c r="S1092" s="85"/>
      <c r="T1092" s="85"/>
      <c r="U1092" s="1"/>
      <c r="V1092" s="1"/>
    </row>
    <row r="1093" spans="3:22" x14ac:dyDescent="0.3">
      <c r="C1093" s="21"/>
      <c r="D1093" s="1"/>
      <c r="E1093" s="1"/>
      <c r="F1093" s="1"/>
      <c r="G1093" s="1"/>
      <c r="H1093" s="1"/>
      <c r="I1093" s="1"/>
      <c r="J1093" s="1"/>
      <c r="L1093" s="85"/>
      <c r="M1093" s="85"/>
      <c r="N1093" s="85"/>
      <c r="O1093" s="85"/>
      <c r="P1093" s="85"/>
      <c r="Q1093" s="85"/>
      <c r="R1093" s="85"/>
      <c r="S1093" s="85"/>
      <c r="T1093" s="85"/>
      <c r="U1093" s="1"/>
      <c r="V1093" s="1"/>
    </row>
    <row r="1094" spans="3:22" x14ac:dyDescent="0.3">
      <c r="C1094" s="21"/>
      <c r="D1094" s="1"/>
      <c r="E1094" s="1"/>
      <c r="F1094" s="1"/>
      <c r="G1094" s="1"/>
      <c r="H1094" s="1"/>
      <c r="I1094" s="1"/>
      <c r="J1094" s="1"/>
      <c r="L1094" s="85"/>
      <c r="M1094" s="85"/>
      <c r="N1094" s="85"/>
      <c r="O1094" s="85"/>
      <c r="P1094" s="85"/>
      <c r="Q1094" s="85"/>
      <c r="R1094" s="85"/>
      <c r="S1094" s="85"/>
      <c r="T1094" s="85"/>
      <c r="U1094" s="1"/>
      <c r="V1094" s="1"/>
    </row>
    <row r="1095" spans="3:22" x14ac:dyDescent="0.3">
      <c r="C1095" s="21"/>
      <c r="D1095" s="1"/>
      <c r="E1095" s="1"/>
      <c r="F1095" s="1"/>
      <c r="G1095" s="1"/>
      <c r="H1095" s="1"/>
      <c r="I1095" s="1"/>
      <c r="J1095" s="1"/>
      <c r="L1095" s="85"/>
      <c r="M1095" s="85"/>
      <c r="N1095" s="85"/>
      <c r="O1095" s="85"/>
      <c r="P1095" s="85"/>
      <c r="Q1095" s="85"/>
      <c r="R1095" s="85"/>
      <c r="S1095" s="85"/>
      <c r="T1095" s="85"/>
      <c r="U1095" s="1"/>
      <c r="V1095" s="1"/>
    </row>
    <row r="1096" spans="3:22" x14ac:dyDescent="0.3">
      <c r="C1096" s="21"/>
      <c r="D1096" s="1"/>
      <c r="E1096" s="1"/>
      <c r="F1096" s="1"/>
      <c r="G1096" s="1"/>
      <c r="H1096" s="1"/>
      <c r="I1096" s="1"/>
      <c r="J1096" s="1"/>
      <c r="L1096" s="85"/>
      <c r="M1096" s="85"/>
      <c r="N1096" s="85"/>
      <c r="O1096" s="85"/>
      <c r="P1096" s="85"/>
      <c r="Q1096" s="85"/>
      <c r="R1096" s="85"/>
      <c r="S1096" s="85"/>
      <c r="T1096" s="85"/>
      <c r="U1096" s="1"/>
      <c r="V1096" s="1"/>
    </row>
    <row r="1097" spans="3:22" x14ac:dyDescent="0.3">
      <c r="C1097" s="21"/>
      <c r="D1097" s="1"/>
      <c r="E1097" s="1"/>
      <c r="F1097" s="1"/>
      <c r="G1097" s="1"/>
      <c r="H1097" s="1"/>
      <c r="I1097" s="1"/>
      <c r="J1097" s="1"/>
      <c r="L1097" s="85"/>
      <c r="M1097" s="85"/>
      <c r="N1097" s="85"/>
      <c r="O1097" s="85"/>
      <c r="P1097" s="85"/>
      <c r="Q1097" s="85"/>
      <c r="R1097" s="85"/>
      <c r="S1097" s="85"/>
      <c r="T1097" s="85"/>
      <c r="U1097" s="1"/>
      <c r="V1097" s="1"/>
    </row>
    <row r="1098" spans="3:22" x14ac:dyDescent="0.3">
      <c r="C1098" s="21"/>
      <c r="D1098" s="1"/>
      <c r="E1098" s="1"/>
      <c r="F1098" s="1"/>
      <c r="G1098" s="1"/>
      <c r="H1098" s="1"/>
      <c r="I1098" s="1"/>
      <c r="J1098" s="1"/>
      <c r="L1098" s="85"/>
      <c r="M1098" s="85"/>
      <c r="N1098" s="85"/>
      <c r="O1098" s="85"/>
      <c r="P1098" s="85"/>
      <c r="Q1098" s="85"/>
      <c r="R1098" s="85"/>
      <c r="S1098" s="85"/>
      <c r="T1098" s="85"/>
      <c r="U1098" s="1"/>
      <c r="V1098" s="1"/>
    </row>
    <row r="1099" spans="3:22" x14ac:dyDescent="0.3">
      <c r="C1099" s="21"/>
      <c r="D1099" s="1"/>
      <c r="E1099" s="1"/>
      <c r="F1099" s="1"/>
      <c r="G1099" s="1"/>
      <c r="H1099" s="1"/>
      <c r="I1099" s="1"/>
      <c r="J1099" s="1"/>
      <c r="L1099" s="85"/>
      <c r="M1099" s="85"/>
      <c r="N1099" s="85"/>
      <c r="O1099" s="85"/>
      <c r="P1099" s="85"/>
      <c r="Q1099" s="85"/>
      <c r="R1099" s="85"/>
      <c r="S1099" s="85"/>
      <c r="T1099" s="85"/>
      <c r="U1099" s="1"/>
      <c r="V1099" s="1"/>
    </row>
    <row r="1100" spans="3:22" x14ac:dyDescent="0.3">
      <c r="C1100" s="21"/>
      <c r="D1100" s="1"/>
      <c r="E1100" s="1"/>
      <c r="F1100" s="1"/>
      <c r="G1100" s="1"/>
      <c r="H1100" s="1"/>
      <c r="I1100" s="1"/>
      <c r="J1100" s="1"/>
      <c r="L1100" s="85"/>
      <c r="M1100" s="85"/>
      <c r="N1100" s="85"/>
      <c r="O1100" s="85"/>
      <c r="P1100" s="85"/>
      <c r="Q1100" s="85"/>
      <c r="R1100" s="85"/>
      <c r="S1100" s="85"/>
      <c r="T1100" s="85"/>
      <c r="U1100" s="1"/>
      <c r="V1100" s="1"/>
    </row>
    <row r="1101" spans="3:22" x14ac:dyDescent="0.3">
      <c r="C1101" s="21"/>
      <c r="D1101" s="1"/>
      <c r="E1101" s="1"/>
      <c r="F1101" s="1"/>
      <c r="G1101" s="1"/>
      <c r="H1101" s="1"/>
      <c r="I1101" s="1"/>
      <c r="J1101" s="1"/>
      <c r="L1101" s="85"/>
      <c r="M1101" s="85"/>
      <c r="N1101" s="85"/>
      <c r="O1101" s="85"/>
      <c r="P1101" s="85"/>
      <c r="Q1101" s="85"/>
      <c r="R1101" s="85"/>
      <c r="S1101" s="85"/>
      <c r="T1101" s="85"/>
      <c r="U1101" s="1"/>
      <c r="V1101" s="1"/>
    </row>
    <row r="1102" spans="3:22" x14ac:dyDescent="0.3">
      <c r="C1102" s="21"/>
      <c r="D1102" s="1"/>
      <c r="E1102" s="1"/>
      <c r="F1102" s="1"/>
      <c r="G1102" s="1"/>
      <c r="H1102" s="1"/>
      <c r="I1102" s="1"/>
      <c r="J1102" s="1"/>
      <c r="L1102" s="85"/>
      <c r="M1102" s="85"/>
      <c r="N1102" s="85"/>
      <c r="O1102" s="85"/>
      <c r="P1102" s="85"/>
      <c r="Q1102" s="85"/>
      <c r="R1102" s="85"/>
      <c r="S1102" s="85"/>
      <c r="T1102" s="85"/>
      <c r="U1102" s="1"/>
      <c r="V1102" s="1"/>
    </row>
    <row r="1103" spans="3:22" x14ac:dyDescent="0.3">
      <c r="C1103" s="21"/>
      <c r="D1103" s="1"/>
      <c r="E1103" s="1"/>
      <c r="F1103" s="1"/>
      <c r="G1103" s="1"/>
      <c r="H1103" s="1"/>
      <c r="I1103" s="1"/>
      <c r="J1103" s="1"/>
      <c r="L1103" s="85"/>
      <c r="M1103" s="85"/>
      <c r="N1103" s="85"/>
      <c r="O1103" s="85"/>
      <c r="P1103" s="85"/>
      <c r="Q1103" s="85"/>
      <c r="R1103" s="85"/>
      <c r="S1103" s="85"/>
      <c r="T1103" s="85"/>
      <c r="U1103" s="1"/>
      <c r="V1103" s="1"/>
    </row>
    <row r="1104" spans="3:22" x14ac:dyDescent="0.3">
      <c r="C1104" s="21"/>
      <c r="D1104" s="1"/>
      <c r="E1104" s="1"/>
      <c r="F1104" s="1"/>
      <c r="G1104" s="1"/>
      <c r="H1104" s="1"/>
      <c r="I1104" s="1"/>
      <c r="J1104" s="1"/>
      <c r="L1104" s="85"/>
      <c r="M1104" s="85"/>
      <c r="N1104" s="85"/>
      <c r="O1104" s="85"/>
      <c r="P1104" s="85"/>
      <c r="Q1104" s="85"/>
      <c r="R1104" s="85"/>
      <c r="S1104" s="85"/>
      <c r="T1104" s="85"/>
      <c r="U1104" s="1"/>
      <c r="V1104" s="1"/>
    </row>
    <row r="1105" spans="3:22" x14ac:dyDescent="0.3">
      <c r="C1105" s="21"/>
      <c r="D1105" s="1"/>
      <c r="E1105" s="1"/>
      <c r="F1105" s="1"/>
      <c r="G1105" s="1"/>
      <c r="H1105" s="1"/>
      <c r="I1105" s="1"/>
      <c r="J1105" s="1"/>
      <c r="L1105" s="85"/>
      <c r="M1105" s="85"/>
      <c r="N1105" s="85"/>
      <c r="O1105" s="85"/>
      <c r="P1105" s="85"/>
      <c r="Q1105" s="85"/>
      <c r="R1105" s="85"/>
      <c r="S1105" s="85"/>
      <c r="T1105" s="85"/>
      <c r="U1105" s="1"/>
      <c r="V1105" s="1"/>
    </row>
    <row r="1106" spans="3:22" x14ac:dyDescent="0.3">
      <c r="C1106" s="21"/>
      <c r="D1106" s="1"/>
      <c r="E1106" s="1"/>
      <c r="F1106" s="1"/>
      <c r="G1106" s="1"/>
      <c r="H1106" s="1"/>
      <c r="I1106" s="1"/>
      <c r="J1106" s="1"/>
      <c r="L1106" s="85"/>
      <c r="M1106" s="85"/>
      <c r="N1106" s="85"/>
      <c r="O1106" s="85"/>
      <c r="P1106" s="85"/>
      <c r="Q1106" s="85"/>
      <c r="R1106" s="85"/>
      <c r="S1106" s="85"/>
      <c r="T1106" s="85"/>
      <c r="U1106" s="1"/>
      <c r="V1106" s="1"/>
    </row>
    <row r="1107" spans="3:22" x14ac:dyDescent="0.3">
      <c r="C1107" s="21"/>
      <c r="D1107" s="1"/>
      <c r="E1107" s="1"/>
      <c r="F1107" s="1"/>
      <c r="G1107" s="1"/>
      <c r="H1107" s="1"/>
      <c r="I1107" s="1"/>
      <c r="J1107" s="1"/>
      <c r="L1107" s="85"/>
      <c r="M1107" s="85"/>
      <c r="N1107" s="85"/>
      <c r="O1107" s="85"/>
      <c r="P1107" s="85"/>
      <c r="Q1107" s="85"/>
      <c r="R1107" s="85"/>
      <c r="S1107" s="85"/>
      <c r="T1107" s="85"/>
      <c r="U1107" s="1"/>
      <c r="V1107" s="1"/>
    </row>
    <row r="1108" spans="3:22" x14ac:dyDescent="0.3">
      <c r="C1108" s="21"/>
      <c r="D1108" s="1"/>
      <c r="E1108" s="1"/>
      <c r="F1108" s="1"/>
      <c r="G1108" s="1"/>
      <c r="H1108" s="1"/>
      <c r="I1108" s="1"/>
      <c r="J1108" s="1"/>
      <c r="L1108" s="85"/>
      <c r="M1108" s="85"/>
      <c r="N1108" s="85"/>
      <c r="O1108" s="85"/>
      <c r="P1108" s="85"/>
      <c r="Q1108" s="85"/>
      <c r="R1108" s="85"/>
      <c r="S1108" s="85"/>
      <c r="T1108" s="85"/>
      <c r="U1108" s="1"/>
      <c r="V1108" s="1"/>
    </row>
    <row r="1109" spans="3:22" x14ac:dyDescent="0.3">
      <c r="C1109" s="21"/>
      <c r="D1109" s="1"/>
      <c r="E1109" s="1"/>
      <c r="F1109" s="1"/>
      <c r="G1109" s="1"/>
      <c r="H1109" s="1"/>
      <c r="I1109" s="1"/>
      <c r="J1109" s="1"/>
      <c r="L1109" s="85"/>
      <c r="M1109" s="85"/>
      <c r="N1109" s="85"/>
      <c r="O1109" s="85"/>
      <c r="P1109" s="85"/>
      <c r="Q1109" s="85"/>
      <c r="R1109" s="85"/>
      <c r="S1109" s="85"/>
      <c r="T1109" s="85"/>
      <c r="U1109" s="1"/>
      <c r="V1109" s="1"/>
    </row>
    <row r="1110" spans="3:22" x14ac:dyDescent="0.3">
      <c r="C1110" s="21"/>
      <c r="D1110" s="1"/>
      <c r="E1110" s="1"/>
      <c r="F1110" s="1"/>
      <c r="G1110" s="1"/>
      <c r="H1110" s="1"/>
      <c r="I1110" s="1"/>
      <c r="J1110" s="1"/>
      <c r="L1110" s="85"/>
      <c r="M1110" s="85"/>
      <c r="N1110" s="85"/>
      <c r="O1110" s="85"/>
      <c r="P1110" s="85"/>
      <c r="Q1110" s="85"/>
      <c r="R1110" s="85"/>
      <c r="S1110" s="85"/>
      <c r="T1110" s="85"/>
      <c r="U1110" s="1"/>
      <c r="V1110" s="1"/>
    </row>
    <row r="1111" spans="3:22" x14ac:dyDescent="0.3">
      <c r="C1111" s="21"/>
      <c r="D1111" s="1"/>
      <c r="E1111" s="1"/>
      <c r="F1111" s="1"/>
      <c r="G1111" s="1"/>
      <c r="H1111" s="1"/>
      <c r="I1111" s="1"/>
      <c r="J1111" s="1"/>
      <c r="L1111" s="85"/>
      <c r="M1111" s="85"/>
      <c r="N1111" s="85"/>
      <c r="O1111" s="85"/>
      <c r="P1111" s="85"/>
      <c r="Q1111" s="85"/>
      <c r="R1111" s="85"/>
      <c r="S1111" s="85"/>
      <c r="T1111" s="85"/>
      <c r="U1111" s="1"/>
      <c r="V1111" s="1"/>
    </row>
    <row r="1112" spans="3:22" x14ac:dyDescent="0.3">
      <c r="C1112" s="21"/>
      <c r="D1112" s="1"/>
      <c r="E1112" s="1"/>
      <c r="F1112" s="1"/>
      <c r="G1112" s="1"/>
      <c r="H1112" s="1"/>
      <c r="I1112" s="1"/>
      <c r="J1112" s="1"/>
      <c r="L1112" s="85"/>
      <c r="M1112" s="85"/>
      <c r="N1112" s="85"/>
      <c r="O1112" s="85"/>
      <c r="P1112" s="85"/>
      <c r="Q1112" s="85"/>
      <c r="R1112" s="85"/>
      <c r="S1112" s="85"/>
      <c r="T1112" s="85"/>
      <c r="U1112" s="1"/>
      <c r="V1112" s="1"/>
    </row>
    <row r="1113" spans="3:22" x14ac:dyDescent="0.3">
      <c r="C1113" s="21"/>
      <c r="D1113" s="1"/>
      <c r="E1113" s="1"/>
      <c r="F1113" s="1"/>
      <c r="G1113" s="1"/>
      <c r="H1113" s="1"/>
      <c r="I1113" s="1"/>
      <c r="J1113" s="1"/>
      <c r="L1113" s="85"/>
      <c r="M1113" s="85"/>
      <c r="N1113" s="85"/>
      <c r="O1113" s="85"/>
      <c r="P1113" s="85"/>
      <c r="Q1113" s="85"/>
      <c r="R1113" s="85"/>
      <c r="S1113" s="85"/>
      <c r="T1113" s="85"/>
      <c r="U1113" s="1"/>
      <c r="V1113" s="1"/>
    </row>
    <row r="1114" spans="3:22" x14ac:dyDescent="0.3">
      <c r="C1114" s="21"/>
      <c r="D1114" s="1"/>
      <c r="E1114" s="1"/>
      <c r="F1114" s="1"/>
      <c r="G1114" s="1"/>
      <c r="H1114" s="1"/>
      <c r="I1114" s="1"/>
      <c r="J1114" s="1"/>
      <c r="L1114" s="85"/>
      <c r="M1114" s="85"/>
      <c r="N1114" s="85"/>
      <c r="O1114" s="85"/>
      <c r="P1114" s="85"/>
      <c r="Q1114" s="85"/>
      <c r="R1114" s="85"/>
      <c r="S1114" s="85"/>
      <c r="T1114" s="85"/>
      <c r="U1114" s="1"/>
      <c r="V1114" s="1"/>
    </row>
    <row r="1115" spans="3:22" x14ac:dyDescent="0.3">
      <c r="C1115" s="21"/>
      <c r="D1115" s="1"/>
      <c r="E1115" s="1"/>
      <c r="F1115" s="1"/>
      <c r="G1115" s="1"/>
      <c r="H1115" s="1"/>
      <c r="I1115" s="1"/>
      <c r="J1115" s="1"/>
      <c r="L1115" s="85"/>
      <c r="M1115" s="85"/>
      <c r="N1115" s="85"/>
      <c r="O1115" s="85"/>
      <c r="P1115" s="85"/>
      <c r="Q1115" s="85"/>
      <c r="R1115" s="85"/>
      <c r="S1115" s="85"/>
      <c r="T1115" s="85"/>
      <c r="U1115" s="1"/>
      <c r="V1115" s="1"/>
    </row>
    <row r="1116" spans="3:22" x14ac:dyDescent="0.3">
      <c r="C1116" s="21"/>
      <c r="D1116" s="1"/>
      <c r="E1116" s="1"/>
      <c r="F1116" s="1"/>
      <c r="G1116" s="1"/>
      <c r="H1116" s="1"/>
      <c r="I1116" s="1"/>
      <c r="J1116" s="1"/>
      <c r="L1116" s="85"/>
      <c r="M1116" s="85"/>
      <c r="N1116" s="85"/>
      <c r="O1116" s="85"/>
      <c r="P1116" s="85"/>
      <c r="Q1116" s="85"/>
      <c r="R1116" s="85"/>
      <c r="S1116" s="85"/>
      <c r="T1116" s="85"/>
      <c r="U1116" s="1"/>
      <c r="V1116" s="1"/>
    </row>
    <row r="1117" spans="3:22" x14ac:dyDescent="0.3">
      <c r="C1117" s="21"/>
      <c r="D1117" s="1"/>
      <c r="E1117" s="1"/>
      <c r="F1117" s="1"/>
      <c r="G1117" s="1"/>
      <c r="H1117" s="1"/>
      <c r="I1117" s="1"/>
      <c r="J1117" s="1"/>
      <c r="L1117" s="85"/>
      <c r="M1117" s="85"/>
      <c r="N1117" s="85"/>
      <c r="O1117" s="85"/>
      <c r="P1117" s="85"/>
      <c r="Q1117" s="85"/>
      <c r="R1117" s="85"/>
      <c r="S1117" s="85"/>
      <c r="T1117" s="85"/>
      <c r="U1117" s="1"/>
      <c r="V1117" s="1"/>
    </row>
    <row r="1118" spans="3:22" x14ac:dyDescent="0.3">
      <c r="C1118" s="21"/>
      <c r="D1118" s="1"/>
      <c r="E1118" s="1"/>
      <c r="F1118" s="1"/>
      <c r="G1118" s="1"/>
      <c r="H1118" s="1"/>
      <c r="I1118" s="1"/>
      <c r="J1118" s="1"/>
      <c r="L1118" s="85"/>
      <c r="M1118" s="85"/>
      <c r="N1118" s="85"/>
      <c r="O1118" s="85"/>
      <c r="P1118" s="85"/>
      <c r="Q1118" s="85"/>
      <c r="R1118" s="85"/>
      <c r="S1118" s="85"/>
      <c r="T1118" s="85"/>
      <c r="U1118" s="1"/>
      <c r="V1118" s="1"/>
    </row>
    <row r="1119" spans="3:22" x14ac:dyDescent="0.3">
      <c r="C1119" s="21"/>
      <c r="D1119" s="1"/>
      <c r="E1119" s="1"/>
      <c r="F1119" s="1"/>
      <c r="G1119" s="1"/>
      <c r="H1119" s="1"/>
      <c r="I1119" s="1"/>
      <c r="J1119" s="1"/>
      <c r="L1119" s="85"/>
      <c r="M1119" s="85"/>
      <c r="N1119" s="85"/>
      <c r="O1119" s="85"/>
      <c r="P1119" s="85"/>
      <c r="Q1119" s="85"/>
      <c r="R1119" s="85"/>
      <c r="S1119" s="85"/>
      <c r="T1119" s="85"/>
      <c r="U1119" s="1"/>
      <c r="V1119" s="1"/>
    </row>
    <row r="1120" spans="3:22" x14ac:dyDescent="0.3">
      <c r="C1120" s="21"/>
      <c r="D1120" s="1"/>
      <c r="E1120" s="1"/>
      <c r="F1120" s="1"/>
      <c r="G1120" s="1"/>
      <c r="H1120" s="1"/>
      <c r="I1120" s="1"/>
      <c r="J1120" s="1"/>
      <c r="L1120" s="85"/>
      <c r="M1120" s="85"/>
      <c r="N1120" s="85"/>
      <c r="O1120" s="85"/>
      <c r="P1120" s="85"/>
      <c r="Q1120" s="85"/>
      <c r="R1120" s="85"/>
      <c r="S1120" s="85"/>
      <c r="T1120" s="85"/>
      <c r="U1120" s="1"/>
      <c r="V1120" s="1"/>
    </row>
    <row r="1121" spans="3:22" x14ac:dyDescent="0.3">
      <c r="C1121" s="21"/>
      <c r="D1121" s="1"/>
      <c r="E1121" s="1"/>
      <c r="F1121" s="1"/>
      <c r="G1121" s="1"/>
      <c r="H1121" s="1"/>
      <c r="I1121" s="1"/>
      <c r="J1121" s="1"/>
      <c r="L1121" s="85"/>
      <c r="M1121" s="85"/>
      <c r="N1121" s="85"/>
      <c r="O1121" s="85"/>
      <c r="P1121" s="85"/>
      <c r="Q1121" s="85"/>
      <c r="R1121" s="85"/>
      <c r="S1121" s="85"/>
      <c r="T1121" s="85"/>
      <c r="U1121" s="1"/>
      <c r="V1121" s="1"/>
    </row>
    <row r="1122" spans="3:22" x14ac:dyDescent="0.3">
      <c r="C1122" s="21"/>
      <c r="D1122" s="1"/>
      <c r="E1122" s="1"/>
      <c r="F1122" s="1"/>
      <c r="G1122" s="1"/>
      <c r="H1122" s="1"/>
      <c r="I1122" s="1"/>
      <c r="J1122" s="1"/>
      <c r="L1122" s="85"/>
      <c r="M1122" s="85"/>
      <c r="N1122" s="85"/>
      <c r="O1122" s="85"/>
      <c r="P1122" s="85"/>
      <c r="Q1122" s="85"/>
      <c r="R1122" s="85"/>
      <c r="S1122" s="85"/>
      <c r="T1122" s="85"/>
      <c r="U1122" s="1"/>
      <c r="V1122" s="1"/>
    </row>
    <row r="1123" spans="3:22" x14ac:dyDescent="0.3">
      <c r="C1123" s="21"/>
      <c r="D1123" s="1"/>
      <c r="E1123" s="1"/>
      <c r="F1123" s="1"/>
      <c r="G1123" s="1"/>
      <c r="H1123" s="1"/>
      <c r="I1123" s="1"/>
      <c r="J1123" s="1"/>
      <c r="L1123" s="85"/>
      <c r="M1123" s="85"/>
      <c r="N1123" s="85"/>
      <c r="O1123" s="85"/>
      <c r="P1123" s="85"/>
      <c r="Q1123" s="85"/>
      <c r="R1123" s="85"/>
      <c r="S1123" s="85"/>
      <c r="T1123" s="85"/>
      <c r="U1123" s="1"/>
      <c r="V1123" s="1"/>
    </row>
    <row r="1124" spans="3:22" x14ac:dyDescent="0.3">
      <c r="C1124" s="21"/>
      <c r="D1124" s="1"/>
      <c r="E1124" s="1"/>
      <c r="F1124" s="1"/>
      <c r="G1124" s="1"/>
      <c r="H1124" s="1"/>
      <c r="I1124" s="1"/>
      <c r="J1124" s="1"/>
      <c r="L1124" s="85"/>
      <c r="M1124" s="85"/>
      <c r="N1124" s="85"/>
      <c r="O1124" s="85"/>
      <c r="P1124" s="85"/>
      <c r="Q1124" s="85"/>
      <c r="R1124" s="85"/>
      <c r="S1124" s="85"/>
      <c r="T1124" s="85"/>
      <c r="U1124" s="1"/>
      <c r="V1124" s="1"/>
    </row>
    <row r="1125" spans="3:22" x14ac:dyDescent="0.3">
      <c r="C1125" s="21"/>
      <c r="D1125" s="1"/>
      <c r="E1125" s="1"/>
      <c r="F1125" s="1"/>
      <c r="G1125" s="1"/>
      <c r="H1125" s="1"/>
      <c r="I1125" s="1"/>
      <c r="J1125" s="1"/>
      <c r="L1125" s="85"/>
      <c r="M1125" s="85"/>
      <c r="N1125" s="85"/>
      <c r="O1125" s="85"/>
      <c r="P1125" s="85"/>
      <c r="Q1125" s="85"/>
      <c r="R1125" s="85"/>
      <c r="S1125" s="85"/>
      <c r="T1125" s="85"/>
      <c r="U1125" s="1"/>
      <c r="V1125" s="1"/>
    </row>
    <row r="1126" spans="3:22" x14ac:dyDescent="0.3">
      <c r="C1126" s="21"/>
      <c r="D1126" s="1"/>
      <c r="E1126" s="1"/>
      <c r="F1126" s="1"/>
      <c r="G1126" s="1"/>
      <c r="H1126" s="1"/>
      <c r="I1126" s="1"/>
      <c r="J1126" s="1"/>
      <c r="L1126" s="85"/>
      <c r="M1126" s="85"/>
      <c r="N1126" s="85"/>
      <c r="O1126" s="85"/>
      <c r="P1126" s="85"/>
      <c r="Q1126" s="85"/>
      <c r="R1126" s="85"/>
      <c r="S1126" s="85"/>
      <c r="T1126" s="85"/>
      <c r="U1126" s="1"/>
      <c r="V1126" s="1"/>
    </row>
    <row r="1127" spans="3:22" x14ac:dyDescent="0.3">
      <c r="C1127" s="21"/>
      <c r="D1127" s="1"/>
      <c r="E1127" s="1"/>
      <c r="F1127" s="1"/>
      <c r="G1127" s="1"/>
      <c r="H1127" s="1"/>
      <c r="I1127" s="1"/>
      <c r="J1127" s="1"/>
      <c r="L1127" s="85"/>
      <c r="M1127" s="85"/>
      <c r="N1127" s="85"/>
      <c r="O1127" s="85"/>
      <c r="P1127" s="85"/>
      <c r="Q1127" s="85"/>
      <c r="R1127" s="85"/>
      <c r="S1127" s="85"/>
      <c r="T1127" s="85"/>
      <c r="U1127" s="1"/>
      <c r="V1127" s="1"/>
    </row>
    <row r="1128" spans="3:22" x14ac:dyDescent="0.3">
      <c r="C1128" s="21"/>
      <c r="D1128" s="1"/>
      <c r="E1128" s="1"/>
      <c r="F1128" s="1"/>
      <c r="G1128" s="1"/>
      <c r="H1128" s="1"/>
      <c r="I1128" s="1"/>
      <c r="J1128" s="1"/>
      <c r="L1128" s="85"/>
      <c r="M1128" s="85"/>
      <c r="N1128" s="85"/>
      <c r="O1128" s="85"/>
      <c r="P1128" s="85"/>
      <c r="Q1128" s="85"/>
      <c r="R1128" s="85"/>
      <c r="S1128" s="85"/>
      <c r="T1128" s="85"/>
      <c r="U1128" s="1"/>
      <c r="V1128" s="1"/>
    </row>
    <row r="1129" spans="3:22" x14ac:dyDescent="0.3">
      <c r="C1129" s="21"/>
      <c r="D1129" s="1"/>
      <c r="E1129" s="1"/>
      <c r="F1129" s="1"/>
      <c r="G1129" s="1"/>
      <c r="H1129" s="1"/>
      <c r="I1129" s="1"/>
      <c r="J1129" s="1"/>
      <c r="L1129" s="85"/>
      <c r="M1129" s="85"/>
      <c r="N1129" s="85"/>
      <c r="O1129" s="85"/>
      <c r="P1129" s="85"/>
      <c r="Q1129" s="85"/>
      <c r="R1129" s="85"/>
      <c r="S1129" s="85"/>
      <c r="T1129" s="85"/>
      <c r="U1129" s="1"/>
      <c r="V1129" s="1"/>
    </row>
    <row r="1130" spans="3:22" x14ac:dyDescent="0.3">
      <c r="C1130" s="21"/>
      <c r="D1130" s="1"/>
      <c r="E1130" s="1"/>
      <c r="F1130" s="1"/>
      <c r="G1130" s="1"/>
      <c r="H1130" s="1"/>
      <c r="I1130" s="1"/>
      <c r="J1130" s="1"/>
      <c r="L1130" s="85"/>
      <c r="M1130" s="85"/>
      <c r="N1130" s="85"/>
      <c r="O1130" s="85"/>
      <c r="P1130" s="85"/>
      <c r="Q1130" s="85"/>
      <c r="R1130" s="85"/>
      <c r="S1130" s="85"/>
      <c r="T1130" s="85"/>
      <c r="U1130" s="1"/>
      <c r="V1130" s="1"/>
    </row>
    <row r="1131" spans="3:22" x14ac:dyDescent="0.3">
      <c r="C1131" s="21"/>
      <c r="D1131" s="1"/>
      <c r="E1131" s="1"/>
      <c r="F1131" s="1"/>
      <c r="G1131" s="1"/>
      <c r="H1131" s="1"/>
      <c r="I1131" s="1"/>
      <c r="J1131" s="1"/>
      <c r="L1131" s="85"/>
      <c r="M1131" s="85"/>
      <c r="N1131" s="85"/>
      <c r="O1131" s="85"/>
      <c r="P1131" s="85"/>
      <c r="Q1131" s="85"/>
      <c r="R1131" s="85"/>
      <c r="S1131" s="85"/>
      <c r="T1131" s="85"/>
      <c r="U1131" s="1"/>
      <c r="V1131" s="1"/>
    </row>
    <row r="1132" spans="3:22" x14ac:dyDescent="0.3">
      <c r="C1132" s="21"/>
      <c r="D1132" s="1"/>
      <c r="E1132" s="1"/>
      <c r="F1132" s="1"/>
      <c r="G1132" s="1"/>
      <c r="H1132" s="1"/>
      <c r="I1132" s="1"/>
      <c r="J1132" s="1"/>
      <c r="L1132" s="85"/>
      <c r="M1132" s="85"/>
      <c r="N1132" s="85"/>
      <c r="O1132" s="85"/>
      <c r="P1132" s="85"/>
      <c r="Q1132" s="85"/>
      <c r="R1132" s="85"/>
      <c r="S1132" s="85"/>
      <c r="T1132" s="85"/>
      <c r="U1132" s="1"/>
      <c r="V1132" s="1"/>
    </row>
    <row r="1133" spans="3:22" x14ac:dyDescent="0.3">
      <c r="C1133" s="21"/>
      <c r="D1133" s="1"/>
      <c r="E1133" s="1"/>
      <c r="F1133" s="1"/>
      <c r="G1133" s="1"/>
      <c r="H1133" s="1"/>
      <c r="I1133" s="1"/>
      <c r="J1133" s="25"/>
      <c r="K1133" s="81"/>
      <c r="L1133" s="85"/>
      <c r="M1133" s="85"/>
      <c r="N1133" s="85"/>
      <c r="O1133" s="85"/>
      <c r="P1133" s="85"/>
      <c r="Q1133" s="85"/>
      <c r="R1133" s="85"/>
      <c r="S1133" s="85"/>
      <c r="T1133" s="85"/>
      <c r="U1133" s="1"/>
      <c r="V1133" s="1"/>
    </row>
    <row r="1134" spans="3:22" x14ac:dyDescent="0.3">
      <c r="C1134" s="21"/>
      <c r="D1134" s="1"/>
      <c r="E1134" s="1"/>
      <c r="F1134" s="1"/>
      <c r="G1134" s="1"/>
      <c r="H1134" s="1"/>
      <c r="I1134" s="1"/>
      <c r="J1134" s="25"/>
      <c r="K1134" s="81"/>
      <c r="L1134" s="85"/>
      <c r="M1134" s="85"/>
      <c r="N1134" s="85"/>
      <c r="O1134" s="85"/>
      <c r="P1134" s="85"/>
      <c r="Q1134" s="85"/>
      <c r="R1134" s="85"/>
      <c r="S1134" s="85"/>
      <c r="T1134" s="85"/>
      <c r="U1134" s="1"/>
      <c r="V1134" s="1"/>
    </row>
    <row r="1135" spans="3:22" x14ac:dyDescent="0.3">
      <c r="C1135" s="21"/>
      <c r="D1135" s="1"/>
      <c r="E1135" s="1"/>
      <c r="F1135" s="1"/>
      <c r="G1135" s="1"/>
      <c r="H1135" s="1"/>
      <c r="I1135" s="1"/>
      <c r="J1135" s="25"/>
      <c r="K1135" s="81"/>
      <c r="L1135" s="85"/>
      <c r="M1135" s="85"/>
      <c r="N1135" s="85"/>
      <c r="O1135" s="85"/>
      <c r="P1135" s="85"/>
      <c r="Q1135" s="85"/>
      <c r="R1135" s="85"/>
      <c r="S1135" s="85"/>
      <c r="T1135" s="85"/>
      <c r="U1135" s="1"/>
      <c r="V1135" s="1"/>
    </row>
    <row r="1136" spans="3:22" x14ac:dyDescent="0.3">
      <c r="C1136" s="21"/>
      <c r="D1136" s="1"/>
      <c r="E1136" s="1"/>
      <c r="F1136" s="1"/>
      <c r="G1136" s="1"/>
      <c r="H1136" s="1"/>
      <c r="I1136" s="1"/>
      <c r="J1136" s="25"/>
      <c r="K1136" s="81"/>
      <c r="L1136" s="85"/>
      <c r="M1136" s="85"/>
      <c r="N1136" s="85"/>
      <c r="O1136" s="85"/>
      <c r="P1136" s="85"/>
      <c r="Q1136" s="85"/>
      <c r="R1136" s="85"/>
      <c r="S1136" s="85"/>
      <c r="T1136" s="85"/>
      <c r="U1136" s="1"/>
      <c r="V1136" s="1"/>
    </row>
    <row r="1137" spans="3:22" x14ac:dyDescent="0.3">
      <c r="C1137" s="21"/>
      <c r="D1137" s="1"/>
      <c r="E1137" s="1"/>
      <c r="F1137" s="1"/>
      <c r="G1137" s="1"/>
      <c r="H1137" s="1"/>
      <c r="I1137" s="1"/>
      <c r="J1137" s="25"/>
      <c r="K1137" s="81"/>
      <c r="L1137" s="85"/>
      <c r="M1137" s="85"/>
      <c r="N1137" s="85"/>
      <c r="O1137" s="85"/>
      <c r="P1137" s="85"/>
      <c r="Q1137" s="85"/>
      <c r="R1137" s="85"/>
      <c r="S1137" s="85"/>
      <c r="T1137" s="85"/>
      <c r="U1137" s="1"/>
      <c r="V1137" s="1"/>
    </row>
    <row r="1138" spans="3:22" x14ac:dyDescent="0.3">
      <c r="C1138" s="21"/>
      <c r="D1138" s="1"/>
      <c r="E1138" s="1"/>
      <c r="F1138" s="1"/>
      <c r="G1138" s="1"/>
      <c r="H1138" s="1"/>
      <c r="I1138" s="1"/>
      <c r="J1138" s="25"/>
      <c r="K1138" s="81"/>
      <c r="L1138" s="85"/>
      <c r="M1138" s="85"/>
      <c r="N1138" s="85"/>
      <c r="O1138" s="85"/>
      <c r="P1138" s="85"/>
      <c r="Q1138" s="85"/>
      <c r="R1138" s="85"/>
      <c r="S1138" s="85"/>
      <c r="T1138" s="85"/>
      <c r="U1138" s="1"/>
      <c r="V1138" s="1"/>
    </row>
    <row r="1139" spans="3:22" x14ac:dyDescent="0.3">
      <c r="C1139" s="21"/>
      <c r="D1139" s="1"/>
      <c r="E1139" s="1"/>
      <c r="F1139" s="1"/>
      <c r="G1139" s="1"/>
      <c r="H1139" s="1"/>
      <c r="I1139" s="1"/>
      <c r="J1139" s="25"/>
      <c r="K1139" s="81"/>
      <c r="L1139" s="85"/>
      <c r="M1139" s="85"/>
      <c r="N1139" s="85"/>
      <c r="O1139" s="85"/>
      <c r="P1139" s="85"/>
      <c r="Q1139" s="85"/>
      <c r="R1139" s="85"/>
      <c r="S1139" s="85"/>
      <c r="T1139" s="85"/>
      <c r="U1139" s="1"/>
      <c r="V1139" s="1"/>
    </row>
    <row r="1140" spans="3:22" x14ac:dyDescent="0.3">
      <c r="C1140" s="21"/>
      <c r="D1140" s="1"/>
      <c r="E1140" s="1"/>
      <c r="F1140" s="1"/>
      <c r="G1140" s="1"/>
      <c r="H1140" s="1"/>
      <c r="I1140" s="1"/>
      <c r="J1140" s="25"/>
      <c r="K1140" s="81"/>
      <c r="L1140" s="85"/>
      <c r="M1140" s="85"/>
      <c r="N1140" s="85"/>
      <c r="O1140" s="85"/>
      <c r="P1140" s="85"/>
      <c r="Q1140" s="85"/>
      <c r="R1140" s="85"/>
      <c r="S1140" s="85"/>
      <c r="T1140" s="85"/>
      <c r="U1140" s="1"/>
      <c r="V1140" s="1"/>
    </row>
    <row r="1141" spans="3:22" x14ac:dyDescent="0.3">
      <c r="C1141" s="21"/>
      <c r="D1141" s="1"/>
      <c r="E1141" s="1"/>
      <c r="F1141" s="1"/>
      <c r="G1141" s="1"/>
      <c r="H1141" s="1"/>
      <c r="I1141" s="1"/>
      <c r="J1141" s="25"/>
      <c r="K1141" s="81"/>
      <c r="L1141" s="85"/>
      <c r="M1141" s="85"/>
      <c r="N1141" s="85"/>
      <c r="O1141" s="85"/>
      <c r="P1141" s="85"/>
      <c r="Q1141" s="85"/>
      <c r="R1141" s="85"/>
      <c r="S1141" s="85"/>
      <c r="T1141" s="85"/>
      <c r="U1141" s="1"/>
      <c r="V1141" s="1"/>
    </row>
    <row r="1142" spans="3:22" x14ac:dyDescent="0.3">
      <c r="C1142" s="21"/>
      <c r="D1142" s="1"/>
      <c r="E1142" s="1"/>
      <c r="F1142" s="1"/>
      <c r="G1142" s="1"/>
      <c r="H1142" s="1"/>
      <c r="I1142" s="1"/>
      <c r="J1142" s="25"/>
      <c r="K1142" s="81"/>
      <c r="L1142" s="85"/>
      <c r="M1142" s="85"/>
      <c r="N1142" s="85"/>
      <c r="O1142" s="85"/>
      <c r="P1142" s="85"/>
      <c r="Q1142" s="85"/>
      <c r="R1142" s="85"/>
      <c r="S1142" s="85"/>
      <c r="T1142" s="85"/>
      <c r="U1142" s="1"/>
      <c r="V1142" s="1"/>
    </row>
    <row r="1143" spans="3:22" x14ac:dyDescent="0.3">
      <c r="C1143" s="21"/>
      <c r="D1143" s="1"/>
      <c r="E1143" s="1"/>
      <c r="F1143" s="1"/>
      <c r="G1143" s="1"/>
      <c r="H1143" s="1"/>
      <c r="I1143" s="1"/>
      <c r="J1143" s="25"/>
      <c r="K1143" s="81"/>
      <c r="L1143" s="85"/>
      <c r="M1143" s="85"/>
      <c r="N1143" s="85"/>
      <c r="O1143" s="85"/>
      <c r="P1143" s="85"/>
      <c r="Q1143" s="85"/>
      <c r="R1143" s="85"/>
      <c r="S1143" s="85"/>
      <c r="T1143" s="85"/>
      <c r="U1143" s="1"/>
      <c r="V1143" s="1"/>
    </row>
    <row r="1144" spans="3:22" x14ac:dyDescent="0.3">
      <c r="C1144" s="21"/>
      <c r="D1144" s="1"/>
      <c r="E1144" s="1"/>
      <c r="F1144" s="1"/>
      <c r="G1144" s="1"/>
      <c r="H1144" s="1"/>
      <c r="I1144" s="1"/>
      <c r="J1144" s="25"/>
      <c r="K1144" s="81"/>
      <c r="L1144" s="85"/>
      <c r="M1144" s="85"/>
      <c r="N1144" s="85"/>
      <c r="O1144" s="85"/>
      <c r="P1144" s="85"/>
      <c r="Q1144" s="85"/>
      <c r="R1144" s="85"/>
      <c r="S1144" s="85"/>
      <c r="T1144" s="85"/>
      <c r="U1144" s="1"/>
      <c r="V1144" s="1"/>
    </row>
    <row r="1145" spans="3:22" x14ac:dyDescent="0.3">
      <c r="C1145" s="21"/>
      <c r="D1145" s="1"/>
      <c r="E1145" s="1"/>
      <c r="F1145" s="1"/>
      <c r="G1145" s="1"/>
      <c r="H1145" s="1"/>
      <c r="I1145" s="1"/>
      <c r="J1145" s="25"/>
      <c r="K1145" s="81"/>
      <c r="L1145" s="85"/>
      <c r="M1145" s="85"/>
      <c r="N1145" s="85"/>
      <c r="O1145" s="85"/>
      <c r="P1145" s="85"/>
      <c r="Q1145" s="85"/>
      <c r="R1145" s="85"/>
      <c r="S1145" s="85"/>
      <c r="T1145" s="85"/>
      <c r="U1145" s="1"/>
      <c r="V1145" s="1"/>
    </row>
    <row r="1146" spans="3:22" x14ac:dyDescent="0.3">
      <c r="C1146" s="21"/>
      <c r="D1146" s="1"/>
      <c r="E1146" s="1"/>
      <c r="F1146" s="1"/>
      <c r="G1146" s="1"/>
      <c r="H1146" s="1"/>
      <c r="I1146" s="1"/>
      <c r="J1146" s="25"/>
      <c r="K1146" s="81"/>
      <c r="L1146" s="85"/>
      <c r="M1146" s="85"/>
      <c r="N1146" s="85"/>
      <c r="O1146" s="85"/>
      <c r="P1146" s="85"/>
      <c r="Q1146" s="85"/>
      <c r="R1146" s="85"/>
      <c r="S1146" s="85"/>
      <c r="T1146" s="85"/>
      <c r="U1146" s="1"/>
      <c r="V1146" s="1"/>
    </row>
    <row r="1147" spans="3:22" x14ac:dyDescent="0.3">
      <c r="C1147" s="21"/>
      <c r="D1147" s="1"/>
      <c r="E1147" s="1"/>
      <c r="F1147" s="1"/>
      <c r="G1147" s="1"/>
      <c r="H1147" s="1"/>
      <c r="I1147" s="1"/>
      <c r="J1147" s="25"/>
      <c r="K1147" s="81"/>
      <c r="L1147" s="85"/>
      <c r="M1147" s="85"/>
      <c r="N1147" s="85"/>
      <c r="O1147" s="85"/>
      <c r="P1147" s="85"/>
      <c r="Q1147" s="85"/>
      <c r="R1147" s="85"/>
      <c r="S1147" s="85"/>
      <c r="T1147" s="85"/>
      <c r="U1147" s="1"/>
      <c r="V1147" s="1"/>
    </row>
    <row r="1148" spans="3:22" x14ac:dyDescent="0.3">
      <c r="C1148" s="21"/>
      <c r="D1148" s="1"/>
      <c r="E1148" s="1"/>
      <c r="F1148" s="1"/>
      <c r="G1148" s="1"/>
      <c r="H1148" s="1"/>
      <c r="I1148" s="1"/>
      <c r="J1148" s="25"/>
      <c r="K1148" s="81"/>
      <c r="L1148" s="85"/>
      <c r="M1148" s="85"/>
      <c r="N1148" s="85"/>
      <c r="O1148" s="85"/>
      <c r="P1148" s="85"/>
      <c r="Q1148" s="85"/>
      <c r="R1148" s="85"/>
      <c r="S1148" s="85"/>
      <c r="T1148" s="85"/>
      <c r="U1148" s="1"/>
      <c r="V1148" s="1"/>
    </row>
    <row r="1149" spans="3:22" x14ac:dyDescent="0.3">
      <c r="C1149" s="21"/>
      <c r="D1149" s="1"/>
      <c r="E1149" s="1"/>
      <c r="F1149" s="1"/>
      <c r="G1149" s="1"/>
      <c r="H1149" s="1"/>
      <c r="I1149" s="1"/>
      <c r="J1149" s="25"/>
      <c r="K1149" s="81"/>
      <c r="L1149" s="85"/>
      <c r="M1149" s="85"/>
      <c r="N1149" s="85"/>
      <c r="O1149" s="85"/>
      <c r="P1149" s="85"/>
      <c r="Q1149" s="85"/>
      <c r="R1149" s="85"/>
      <c r="S1149" s="85"/>
      <c r="T1149" s="85"/>
      <c r="U1149" s="1"/>
      <c r="V1149" s="1"/>
    </row>
    <row r="1150" spans="3:22" x14ac:dyDescent="0.3">
      <c r="C1150" s="21"/>
      <c r="D1150" s="1"/>
      <c r="E1150" s="1"/>
      <c r="F1150" s="1"/>
      <c r="G1150" s="1"/>
      <c r="H1150" s="1"/>
      <c r="I1150" s="1"/>
      <c r="J1150" s="25"/>
      <c r="K1150" s="81"/>
      <c r="L1150" s="85"/>
      <c r="M1150" s="85"/>
      <c r="N1150" s="85"/>
      <c r="O1150" s="85"/>
      <c r="P1150" s="85"/>
      <c r="Q1150" s="85"/>
      <c r="R1150" s="85"/>
      <c r="S1150" s="85"/>
      <c r="T1150" s="85"/>
      <c r="U1150" s="1"/>
      <c r="V1150" s="1"/>
    </row>
    <row r="1151" spans="3:22" x14ac:dyDescent="0.3">
      <c r="C1151" s="21"/>
      <c r="D1151" s="1"/>
      <c r="E1151" s="1"/>
      <c r="F1151" s="1"/>
      <c r="G1151" s="1"/>
      <c r="H1151" s="1"/>
      <c r="I1151" s="1"/>
      <c r="J1151" s="1"/>
      <c r="L1151" s="85"/>
      <c r="M1151" s="85"/>
      <c r="N1151" s="85"/>
      <c r="O1151" s="85"/>
      <c r="P1151" s="85"/>
      <c r="Q1151" s="85"/>
      <c r="R1151" s="85"/>
      <c r="S1151" s="85"/>
      <c r="T1151" s="85"/>
      <c r="U1151" s="1"/>
      <c r="V1151" s="1"/>
    </row>
    <row r="1152" spans="3:22" x14ac:dyDescent="0.3">
      <c r="C1152" s="21"/>
      <c r="D1152" s="1"/>
      <c r="E1152" s="1"/>
      <c r="F1152" s="1"/>
      <c r="G1152" s="1"/>
      <c r="H1152" s="1"/>
      <c r="I1152" s="1"/>
      <c r="J1152" s="1"/>
      <c r="L1152" s="85"/>
      <c r="M1152" s="85"/>
      <c r="N1152" s="85"/>
      <c r="O1152" s="85"/>
      <c r="P1152" s="85"/>
      <c r="Q1152" s="85"/>
      <c r="R1152" s="85"/>
      <c r="S1152" s="85"/>
      <c r="T1152" s="85"/>
      <c r="U1152" s="1"/>
      <c r="V1152" s="1"/>
    </row>
    <row r="1153" spans="3:22" x14ac:dyDescent="0.3">
      <c r="C1153" s="21"/>
      <c r="D1153" s="1"/>
      <c r="E1153" s="1"/>
      <c r="F1153" s="1"/>
      <c r="G1153" s="1"/>
      <c r="H1153" s="1"/>
      <c r="I1153" s="1"/>
      <c r="J1153" s="1"/>
      <c r="L1153" s="85"/>
      <c r="M1153" s="85"/>
      <c r="N1153" s="85"/>
      <c r="O1153" s="85"/>
      <c r="P1153" s="85"/>
      <c r="Q1153" s="85"/>
      <c r="R1153" s="85"/>
      <c r="S1153" s="85"/>
      <c r="T1153" s="85"/>
      <c r="U1153" s="1"/>
      <c r="V1153" s="1"/>
    </row>
    <row r="1154" spans="3:22" x14ac:dyDescent="0.3">
      <c r="C1154" s="21"/>
      <c r="D1154" s="1"/>
      <c r="E1154" s="1"/>
      <c r="F1154" s="1"/>
      <c r="G1154" s="1"/>
      <c r="H1154" s="1"/>
      <c r="I1154" s="1"/>
      <c r="J1154" s="1"/>
      <c r="L1154" s="85"/>
      <c r="M1154" s="85"/>
      <c r="N1154" s="85"/>
      <c r="O1154" s="85"/>
      <c r="P1154" s="85"/>
      <c r="Q1154" s="85"/>
      <c r="R1154" s="85"/>
      <c r="S1154" s="85"/>
      <c r="T1154" s="85"/>
      <c r="U1154" s="1"/>
      <c r="V1154" s="1"/>
    </row>
    <row r="1155" spans="3:22" x14ac:dyDescent="0.3">
      <c r="C1155" s="21"/>
      <c r="D1155" s="1"/>
      <c r="E1155" s="1"/>
      <c r="F1155" s="1"/>
      <c r="G1155" s="1"/>
      <c r="H1155" s="1"/>
      <c r="I1155" s="1"/>
      <c r="J1155" s="1"/>
      <c r="L1155" s="85"/>
      <c r="M1155" s="85"/>
      <c r="N1155" s="85"/>
      <c r="O1155" s="85"/>
      <c r="P1155" s="85"/>
      <c r="Q1155" s="85"/>
      <c r="R1155" s="85"/>
      <c r="S1155" s="85"/>
      <c r="T1155" s="85"/>
      <c r="U1155" s="1"/>
      <c r="V1155" s="1"/>
    </row>
    <row r="1156" spans="3:22" x14ac:dyDescent="0.3">
      <c r="C1156" s="21"/>
      <c r="D1156" s="1"/>
      <c r="E1156" s="1"/>
      <c r="F1156" s="1"/>
      <c r="G1156" s="1"/>
      <c r="H1156" s="1"/>
      <c r="I1156" s="1"/>
      <c r="J1156" s="1"/>
      <c r="L1156" s="85"/>
      <c r="M1156" s="85"/>
      <c r="N1156" s="85"/>
      <c r="O1156" s="85"/>
      <c r="P1156" s="85"/>
      <c r="Q1156" s="85"/>
      <c r="R1156" s="85"/>
      <c r="S1156" s="85"/>
      <c r="T1156" s="85"/>
      <c r="U1156" s="1"/>
      <c r="V1156" s="1"/>
    </row>
    <row r="1157" spans="3:22" x14ac:dyDescent="0.3">
      <c r="C1157" s="21"/>
      <c r="D1157" s="1"/>
      <c r="E1157" s="1"/>
      <c r="F1157" s="1"/>
      <c r="G1157" s="1"/>
      <c r="H1157" s="1"/>
      <c r="I1157" s="1"/>
      <c r="J1157" s="1"/>
      <c r="L1157" s="85"/>
      <c r="M1157" s="85"/>
      <c r="N1157" s="85"/>
      <c r="O1157" s="85"/>
      <c r="P1157" s="85"/>
      <c r="Q1157" s="85"/>
      <c r="R1157" s="85"/>
      <c r="S1157" s="85"/>
      <c r="T1157" s="85"/>
      <c r="U1157" s="1"/>
      <c r="V1157" s="1"/>
    </row>
    <row r="1158" spans="3:22" x14ac:dyDescent="0.3">
      <c r="C1158" s="21"/>
      <c r="D1158" s="1"/>
      <c r="E1158" s="1"/>
      <c r="F1158" s="1"/>
      <c r="G1158" s="1"/>
      <c r="H1158" s="1"/>
      <c r="I1158" s="1"/>
      <c r="J1158" s="1"/>
      <c r="L1158" s="85"/>
      <c r="M1158" s="85"/>
      <c r="N1158" s="85"/>
      <c r="O1158" s="85"/>
      <c r="P1158" s="85"/>
      <c r="Q1158" s="85"/>
      <c r="R1158" s="85"/>
      <c r="S1158" s="85"/>
      <c r="T1158" s="85"/>
      <c r="U1158" s="1"/>
      <c r="V1158" s="1"/>
    </row>
    <row r="1159" spans="3:22" x14ac:dyDescent="0.3">
      <c r="C1159" s="21"/>
      <c r="D1159" s="1"/>
      <c r="E1159" s="1"/>
      <c r="F1159" s="1"/>
      <c r="G1159" s="1"/>
      <c r="H1159" s="1"/>
      <c r="I1159" s="1"/>
      <c r="J1159" s="1"/>
      <c r="L1159" s="85"/>
      <c r="M1159" s="85"/>
      <c r="N1159" s="85"/>
      <c r="O1159" s="85"/>
      <c r="P1159" s="85"/>
      <c r="Q1159" s="85"/>
      <c r="R1159" s="85"/>
      <c r="S1159" s="85"/>
      <c r="T1159" s="85"/>
      <c r="U1159" s="1"/>
      <c r="V1159" s="1"/>
    </row>
    <row r="1160" spans="3:22" x14ac:dyDescent="0.3">
      <c r="C1160" s="21"/>
      <c r="D1160" s="1"/>
      <c r="E1160" s="1"/>
      <c r="F1160" s="1"/>
      <c r="G1160" s="1"/>
      <c r="H1160" s="1"/>
      <c r="I1160" s="1"/>
      <c r="J1160" s="1"/>
      <c r="L1160" s="85"/>
      <c r="M1160" s="85"/>
      <c r="N1160" s="85"/>
      <c r="O1160" s="85"/>
      <c r="P1160" s="85"/>
      <c r="Q1160" s="85"/>
      <c r="R1160" s="85"/>
      <c r="S1160" s="85"/>
      <c r="T1160" s="85"/>
      <c r="U1160" s="1"/>
      <c r="V1160" s="1"/>
    </row>
    <row r="1161" spans="3:22" x14ac:dyDescent="0.3">
      <c r="C1161" s="21"/>
      <c r="D1161" s="1"/>
      <c r="E1161" s="1"/>
      <c r="F1161" s="1"/>
      <c r="G1161" s="1"/>
      <c r="H1161" s="1"/>
      <c r="I1161" s="1"/>
      <c r="J1161" s="1"/>
      <c r="L1161" s="85"/>
      <c r="M1161" s="85"/>
      <c r="N1161" s="85"/>
      <c r="O1161" s="85"/>
      <c r="P1161" s="85"/>
      <c r="Q1161" s="85"/>
      <c r="R1161" s="85"/>
      <c r="S1161" s="85"/>
      <c r="T1161" s="85"/>
      <c r="U1161" s="1"/>
      <c r="V1161" s="1"/>
    </row>
    <row r="1162" spans="3:22" x14ac:dyDescent="0.3">
      <c r="C1162" s="21"/>
      <c r="D1162" s="1"/>
      <c r="E1162" s="1"/>
      <c r="F1162" s="1"/>
      <c r="G1162" s="1"/>
      <c r="H1162" s="1"/>
      <c r="I1162" s="1"/>
      <c r="J1162" s="1"/>
      <c r="L1162" s="85"/>
      <c r="M1162" s="85"/>
      <c r="N1162" s="85"/>
      <c r="O1162" s="85"/>
      <c r="P1162" s="85"/>
      <c r="Q1162" s="85"/>
      <c r="R1162" s="85"/>
      <c r="S1162" s="85"/>
      <c r="T1162" s="85"/>
      <c r="U1162" s="1"/>
      <c r="V1162" s="1"/>
    </row>
    <row r="1163" spans="3:22" x14ac:dyDescent="0.3">
      <c r="C1163" s="21"/>
      <c r="D1163" s="1"/>
      <c r="E1163" s="1"/>
      <c r="F1163" s="1"/>
      <c r="G1163" s="1"/>
      <c r="H1163" s="1"/>
      <c r="I1163" s="1"/>
      <c r="J1163" s="1"/>
      <c r="L1163" s="85"/>
      <c r="M1163" s="85"/>
      <c r="N1163" s="85"/>
      <c r="O1163" s="85"/>
      <c r="P1163" s="85"/>
      <c r="Q1163" s="85"/>
      <c r="R1163" s="85"/>
      <c r="S1163" s="85"/>
      <c r="T1163" s="85"/>
      <c r="U1163" s="1"/>
      <c r="V1163" s="1"/>
    </row>
    <row r="1164" spans="3:22" x14ac:dyDescent="0.3">
      <c r="C1164" s="21"/>
      <c r="D1164" s="1"/>
      <c r="E1164" s="1"/>
      <c r="F1164" s="1"/>
      <c r="G1164" s="1"/>
      <c r="H1164" s="1"/>
      <c r="I1164" s="1"/>
      <c r="J1164" s="1"/>
      <c r="L1164" s="85"/>
      <c r="M1164" s="85"/>
      <c r="N1164" s="85"/>
      <c r="O1164" s="85"/>
      <c r="P1164" s="85"/>
      <c r="Q1164" s="85"/>
      <c r="R1164" s="85"/>
      <c r="S1164" s="85"/>
      <c r="T1164" s="85"/>
      <c r="U1164" s="1"/>
      <c r="V1164" s="1"/>
    </row>
    <row r="1165" spans="3:22" x14ac:dyDescent="0.3">
      <c r="C1165" s="21"/>
      <c r="D1165" s="1"/>
      <c r="E1165" s="1"/>
      <c r="F1165" s="1"/>
      <c r="G1165" s="1"/>
      <c r="H1165" s="1"/>
      <c r="I1165" s="1"/>
      <c r="J1165" s="1"/>
      <c r="L1165" s="85"/>
      <c r="M1165" s="85"/>
      <c r="N1165" s="85"/>
      <c r="O1165" s="85"/>
      <c r="P1165" s="85"/>
      <c r="Q1165" s="85"/>
      <c r="R1165" s="85"/>
      <c r="S1165" s="85"/>
      <c r="T1165" s="85"/>
      <c r="U1165" s="1"/>
      <c r="V1165" s="1"/>
    </row>
    <row r="1166" spans="3:22" x14ac:dyDescent="0.3">
      <c r="C1166" s="21"/>
      <c r="D1166" s="1"/>
      <c r="E1166" s="1"/>
      <c r="F1166" s="1"/>
      <c r="G1166" s="1"/>
      <c r="H1166" s="1"/>
      <c r="I1166" s="1"/>
      <c r="J1166" s="1"/>
      <c r="L1166" s="85"/>
      <c r="M1166" s="85"/>
      <c r="N1166" s="85"/>
      <c r="O1166" s="85"/>
      <c r="P1166" s="85"/>
      <c r="Q1166" s="85"/>
      <c r="R1166" s="85"/>
      <c r="S1166" s="85"/>
      <c r="T1166" s="85"/>
      <c r="U1166" s="1"/>
      <c r="V1166" s="1"/>
    </row>
    <row r="1167" spans="3:22" x14ac:dyDescent="0.3">
      <c r="C1167" s="21"/>
      <c r="D1167" s="1"/>
      <c r="E1167" s="1"/>
      <c r="F1167" s="1"/>
      <c r="G1167" s="1"/>
      <c r="H1167" s="1"/>
      <c r="I1167" s="1"/>
      <c r="J1167" s="1"/>
      <c r="L1167" s="85"/>
      <c r="M1167" s="85"/>
      <c r="N1167" s="85"/>
      <c r="O1167" s="85"/>
      <c r="P1167" s="85"/>
      <c r="Q1167" s="85"/>
      <c r="R1167" s="85"/>
      <c r="S1167" s="85"/>
      <c r="T1167" s="85"/>
      <c r="U1167" s="1"/>
      <c r="V1167" s="1"/>
    </row>
    <row r="1168" spans="3:22" x14ac:dyDescent="0.3">
      <c r="C1168" s="21"/>
      <c r="D1168" s="1"/>
      <c r="E1168" s="1"/>
      <c r="F1168" s="1"/>
      <c r="G1168" s="1"/>
      <c r="H1168" s="1"/>
      <c r="I1168" s="1"/>
      <c r="J1168" s="1"/>
      <c r="L1168" s="85"/>
      <c r="M1168" s="85"/>
      <c r="N1168" s="85"/>
      <c r="O1168" s="85"/>
      <c r="P1168" s="85"/>
      <c r="Q1168" s="85"/>
      <c r="R1168" s="85"/>
      <c r="S1168" s="85"/>
      <c r="T1168" s="85"/>
      <c r="U1168" s="1"/>
      <c r="V1168" s="1"/>
    </row>
    <row r="1169" spans="3:22" x14ac:dyDescent="0.3">
      <c r="C1169" s="21"/>
      <c r="D1169" s="1"/>
      <c r="E1169" s="1"/>
      <c r="F1169" s="1"/>
      <c r="G1169" s="1"/>
      <c r="H1169" s="1"/>
      <c r="I1169" s="1"/>
      <c r="J1169" s="1"/>
      <c r="L1169" s="85"/>
      <c r="M1169" s="85"/>
      <c r="N1169" s="85"/>
      <c r="O1169" s="85"/>
      <c r="P1169" s="85"/>
      <c r="Q1169" s="85"/>
      <c r="R1169" s="85"/>
      <c r="S1169" s="85"/>
      <c r="T1169" s="85"/>
      <c r="U1169" s="1"/>
      <c r="V1169" s="1"/>
    </row>
    <row r="1170" spans="3:22" x14ac:dyDescent="0.3">
      <c r="C1170" s="21"/>
      <c r="D1170" s="1"/>
      <c r="E1170" s="1"/>
      <c r="F1170" s="1"/>
      <c r="G1170" s="1"/>
      <c r="H1170" s="1"/>
      <c r="I1170" s="1"/>
      <c r="J1170" s="1"/>
      <c r="L1170" s="85"/>
      <c r="M1170" s="85"/>
      <c r="N1170" s="85"/>
      <c r="O1170" s="85"/>
      <c r="P1170" s="85"/>
      <c r="Q1170" s="85"/>
      <c r="R1170" s="85"/>
      <c r="S1170" s="85"/>
      <c r="T1170" s="85"/>
      <c r="U1170" s="1"/>
      <c r="V1170" s="1"/>
    </row>
    <row r="1171" spans="3:22" x14ac:dyDescent="0.3">
      <c r="C1171" s="21"/>
      <c r="D1171" s="1"/>
      <c r="E1171" s="1"/>
      <c r="F1171" s="1"/>
      <c r="G1171" s="1"/>
      <c r="H1171" s="1"/>
      <c r="I1171" s="1"/>
      <c r="J1171" s="1"/>
      <c r="L1171" s="85"/>
      <c r="M1171" s="85"/>
      <c r="N1171" s="85"/>
      <c r="O1171" s="85"/>
      <c r="P1171" s="85"/>
      <c r="Q1171" s="85"/>
      <c r="R1171" s="85"/>
      <c r="S1171" s="85"/>
      <c r="T1171" s="85"/>
      <c r="U1171" s="1"/>
      <c r="V1171" s="1"/>
    </row>
    <row r="1172" spans="3:22" x14ac:dyDescent="0.3">
      <c r="C1172" s="21"/>
      <c r="D1172" s="1"/>
      <c r="E1172" s="1"/>
      <c r="F1172" s="1"/>
      <c r="G1172" s="1"/>
      <c r="H1172" s="1"/>
      <c r="I1172" s="1"/>
      <c r="J1172" s="1"/>
      <c r="L1172" s="85"/>
      <c r="M1172" s="85"/>
      <c r="N1172" s="85"/>
      <c r="O1172" s="85"/>
      <c r="P1172" s="85"/>
      <c r="Q1172" s="85"/>
      <c r="R1172" s="85"/>
      <c r="S1172" s="85"/>
      <c r="T1172" s="85"/>
      <c r="U1172" s="1"/>
      <c r="V1172" s="1"/>
    </row>
    <row r="1173" spans="3:22" x14ac:dyDescent="0.3">
      <c r="C1173" s="21"/>
      <c r="D1173" s="1"/>
      <c r="E1173" s="1"/>
      <c r="F1173" s="1"/>
      <c r="G1173" s="1"/>
      <c r="H1173" s="1"/>
      <c r="I1173" s="1"/>
      <c r="J1173" s="1"/>
      <c r="L1173" s="85"/>
      <c r="M1173" s="85"/>
      <c r="N1173" s="85"/>
      <c r="O1173" s="85"/>
      <c r="P1173" s="85"/>
      <c r="Q1173" s="85"/>
      <c r="R1173" s="85"/>
      <c r="S1173" s="85"/>
      <c r="T1173" s="85"/>
      <c r="U1173" s="1"/>
      <c r="V1173" s="1"/>
    </row>
    <row r="1174" spans="3:22" x14ac:dyDescent="0.3">
      <c r="C1174" s="21"/>
      <c r="D1174" s="1"/>
      <c r="E1174" s="1"/>
      <c r="F1174" s="1"/>
      <c r="G1174" s="1"/>
      <c r="H1174" s="1"/>
      <c r="I1174" s="1"/>
      <c r="J1174" s="1"/>
      <c r="L1174" s="85"/>
      <c r="M1174" s="85"/>
      <c r="N1174" s="85"/>
      <c r="O1174" s="85"/>
      <c r="P1174" s="85"/>
      <c r="Q1174" s="85"/>
      <c r="R1174" s="85"/>
      <c r="S1174" s="85"/>
      <c r="T1174" s="85"/>
      <c r="U1174" s="1"/>
      <c r="V1174" s="1"/>
    </row>
    <row r="1175" spans="3:22" x14ac:dyDescent="0.3">
      <c r="C1175" s="21"/>
      <c r="D1175" s="1"/>
      <c r="E1175" s="1"/>
      <c r="F1175" s="1"/>
      <c r="G1175" s="1"/>
      <c r="H1175" s="1"/>
      <c r="I1175" s="1"/>
      <c r="J1175" s="1"/>
      <c r="L1175" s="85"/>
      <c r="M1175" s="85"/>
      <c r="N1175" s="85"/>
      <c r="O1175" s="85"/>
      <c r="P1175" s="85"/>
      <c r="Q1175" s="85"/>
      <c r="R1175" s="85"/>
      <c r="S1175" s="85"/>
      <c r="T1175" s="85"/>
      <c r="U1175" s="1"/>
      <c r="V1175" s="1"/>
    </row>
    <row r="1176" spans="3:22" x14ac:dyDescent="0.3">
      <c r="C1176" s="21"/>
      <c r="D1176" s="1"/>
      <c r="E1176" s="1"/>
      <c r="F1176" s="1"/>
      <c r="G1176" s="1"/>
      <c r="H1176" s="1"/>
      <c r="I1176" s="1"/>
      <c r="J1176" s="1"/>
      <c r="L1176" s="85"/>
      <c r="M1176" s="85"/>
      <c r="N1176" s="85"/>
      <c r="O1176" s="85"/>
      <c r="P1176" s="85"/>
      <c r="Q1176" s="85"/>
      <c r="R1176" s="85"/>
      <c r="S1176" s="85"/>
      <c r="T1176" s="85"/>
      <c r="U1176" s="1"/>
      <c r="V1176" s="1"/>
    </row>
    <row r="1177" spans="3:22" x14ac:dyDescent="0.3">
      <c r="C1177" s="21"/>
      <c r="D1177" s="1"/>
      <c r="E1177" s="1"/>
      <c r="F1177" s="1"/>
      <c r="G1177" s="1"/>
      <c r="H1177" s="1"/>
      <c r="I1177" s="1"/>
      <c r="J1177" s="1"/>
      <c r="L1177" s="85"/>
      <c r="M1177" s="85"/>
      <c r="N1177" s="85"/>
      <c r="O1177" s="85"/>
      <c r="P1177" s="85"/>
      <c r="Q1177" s="85"/>
      <c r="R1177" s="85"/>
      <c r="S1177" s="85"/>
      <c r="T1177" s="85"/>
      <c r="U1177" s="1"/>
      <c r="V1177" s="1"/>
    </row>
    <row r="1178" spans="3:22" x14ac:dyDescent="0.3">
      <c r="C1178" s="21"/>
      <c r="D1178" s="1"/>
      <c r="E1178" s="1"/>
      <c r="F1178" s="1"/>
      <c r="G1178" s="1"/>
      <c r="H1178" s="1"/>
      <c r="I1178" s="1"/>
      <c r="J1178" s="1"/>
      <c r="L1178" s="85"/>
      <c r="M1178" s="85"/>
      <c r="N1178" s="85"/>
      <c r="O1178" s="85"/>
      <c r="P1178" s="85"/>
      <c r="Q1178" s="85"/>
      <c r="R1178" s="85"/>
      <c r="S1178" s="85"/>
      <c r="T1178" s="85"/>
      <c r="U1178" s="1"/>
      <c r="V1178" s="1"/>
    </row>
    <row r="1179" spans="3:22" x14ac:dyDescent="0.3">
      <c r="C1179" s="21"/>
      <c r="D1179" s="1"/>
      <c r="E1179" s="1"/>
      <c r="F1179" s="1"/>
      <c r="G1179" s="1"/>
      <c r="H1179" s="1"/>
      <c r="I1179" s="1"/>
      <c r="J1179" s="1"/>
      <c r="L1179" s="85"/>
      <c r="M1179" s="85"/>
      <c r="N1179" s="85"/>
      <c r="O1179" s="85"/>
      <c r="P1179" s="85"/>
      <c r="Q1179" s="85"/>
      <c r="R1179" s="85"/>
      <c r="S1179" s="85"/>
      <c r="T1179" s="85"/>
      <c r="U1179" s="1"/>
      <c r="V1179" s="1"/>
    </row>
    <row r="1180" spans="3:22" x14ac:dyDescent="0.3">
      <c r="C1180" s="21"/>
      <c r="D1180" s="1"/>
      <c r="E1180" s="1"/>
      <c r="F1180" s="1"/>
      <c r="G1180" s="1"/>
      <c r="H1180" s="1"/>
      <c r="I1180" s="1"/>
      <c r="J1180" s="1"/>
      <c r="L1180" s="85"/>
      <c r="M1180" s="85"/>
      <c r="N1180" s="85"/>
      <c r="O1180" s="85"/>
      <c r="P1180" s="85"/>
      <c r="Q1180" s="85"/>
      <c r="R1180" s="85"/>
      <c r="S1180" s="85"/>
      <c r="T1180" s="85"/>
      <c r="U1180" s="1"/>
      <c r="V1180" s="1"/>
    </row>
    <row r="1181" spans="3:22" x14ac:dyDescent="0.3">
      <c r="C1181" s="21"/>
      <c r="D1181" s="1"/>
      <c r="E1181" s="1"/>
      <c r="F1181" s="1"/>
      <c r="G1181" s="1"/>
      <c r="H1181" s="1"/>
      <c r="I1181" s="1"/>
      <c r="J1181" s="1"/>
      <c r="L1181" s="85"/>
      <c r="M1181" s="85"/>
      <c r="N1181" s="85"/>
      <c r="O1181" s="85"/>
      <c r="P1181" s="85"/>
      <c r="Q1181" s="85"/>
      <c r="R1181" s="85"/>
      <c r="S1181" s="85"/>
      <c r="T1181" s="85"/>
      <c r="U1181" s="1"/>
      <c r="V1181" s="1"/>
    </row>
    <row r="1182" spans="3:22" x14ac:dyDescent="0.3">
      <c r="C1182" s="21"/>
      <c r="D1182" s="1"/>
      <c r="E1182" s="1"/>
      <c r="F1182" s="1"/>
      <c r="G1182" s="1"/>
      <c r="H1182" s="1"/>
      <c r="I1182" s="1"/>
      <c r="J1182" s="1"/>
      <c r="L1182" s="85"/>
      <c r="M1182" s="85"/>
      <c r="N1182" s="85"/>
      <c r="O1182" s="85"/>
      <c r="P1182" s="85"/>
      <c r="Q1182" s="85"/>
      <c r="R1182" s="85"/>
      <c r="S1182" s="85"/>
      <c r="T1182" s="85"/>
      <c r="U1182" s="1"/>
      <c r="V1182" s="1"/>
    </row>
    <row r="1183" spans="3:22" x14ac:dyDescent="0.3">
      <c r="C1183" s="21"/>
      <c r="D1183" s="1"/>
      <c r="E1183" s="1"/>
      <c r="F1183" s="1"/>
      <c r="G1183" s="1"/>
      <c r="H1183" s="1"/>
      <c r="I1183" s="1"/>
      <c r="J1183" s="1"/>
      <c r="L1183" s="85"/>
      <c r="M1183" s="85"/>
      <c r="N1183" s="85"/>
      <c r="O1183" s="85"/>
      <c r="P1183" s="85"/>
      <c r="Q1183" s="85"/>
      <c r="R1183" s="85"/>
      <c r="S1183" s="85"/>
      <c r="T1183" s="85"/>
      <c r="U1183" s="1"/>
      <c r="V1183" s="1"/>
    </row>
    <row r="1184" spans="3:22" x14ac:dyDescent="0.3">
      <c r="C1184" s="21"/>
      <c r="D1184" s="1"/>
      <c r="E1184" s="1"/>
      <c r="F1184" s="1"/>
      <c r="G1184" s="1"/>
      <c r="H1184" s="1"/>
      <c r="I1184" s="1"/>
      <c r="J1184" s="1"/>
      <c r="L1184" s="85"/>
      <c r="M1184" s="85"/>
      <c r="N1184" s="85"/>
      <c r="O1184" s="85"/>
      <c r="P1184" s="85"/>
      <c r="Q1184" s="85"/>
      <c r="R1184" s="85"/>
      <c r="S1184" s="85"/>
      <c r="T1184" s="85"/>
      <c r="U1184" s="1"/>
      <c r="V1184" s="1"/>
    </row>
    <row r="1185" spans="3:22" x14ac:dyDescent="0.3">
      <c r="C1185" s="21"/>
      <c r="D1185" s="1"/>
      <c r="E1185" s="1"/>
      <c r="F1185" s="1"/>
      <c r="G1185" s="1"/>
      <c r="H1185" s="1"/>
      <c r="I1185" s="1"/>
      <c r="J1185" s="1"/>
      <c r="L1185" s="85"/>
      <c r="M1185" s="85"/>
      <c r="N1185" s="85"/>
      <c r="O1185" s="85"/>
      <c r="P1185" s="85"/>
      <c r="Q1185" s="85"/>
      <c r="R1185" s="85"/>
      <c r="S1185" s="85"/>
      <c r="T1185" s="85"/>
      <c r="U1185" s="1"/>
      <c r="V1185" s="1"/>
    </row>
    <row r="1186" spans="3:22" x14ac:dyDescent="0.3">
      <c r="C1186" s="21"/>
      <c r="D1186" s="1"/>
      <c r="E1186" s="1"/>
      <c r="F1186" s="1"/>
      <c r="G1186" s="1"/>
      <c r="H1186" s="1"/>
      <c r="I1186" s="1"/>
      <c r="J1186" s="1"/>
      <c r="L1186" s="85"/>
      <c r="M1186" s="85"/>
      <c r="N1186" s="85"/>
      <c r="O1186" s="85"/>
      <c r="P1186" s="85"/>
      <c r="Q1186" s="85"/>
      <c r="R1186" s="85"/>
      <c r="S1186" s="85"/>
      <c r="T1186" s="85"/>
      <c r="U1186" s="1"/>
      <c r="V1186" s="1"/>
    </row>
    <row r="1187" spans="3:22" x14ac:dyDescent="0.3">
      <c r="C1187" s="21"/>
      <c r="D1187" s="1"/>
      <c r="E1187" s="1"/>
      <c r="F1187" s="1"/>
      <c r="G1187" s="1"/>
      <c r="H1187" s="1"/>
      <c r="I1187" s="1"/>
      <c r="J1187" s="1"/>
      <c r="L1187" s="85"/>
      <c r="M1187" s="85"/>
      <c r="N1187" s="85"/>
      <c r="O1187" s="85"/>
      <c r="P1187" s="85"/>
      <c r="Q1187" s="85"/>
      <c r="R1187" s="85"/>
      <c r="S1187" s="85"/>
      <c r="T1187" s="85"/>
      <c r="U1187" s="1"/>
      <c r="V1187" s="1"/>
    </row>
    <row r="1188" spans="3:22" x14ac:dyDescent="0.3">
      <c r="C1188" s="21"/>
      <c r="D1188" s="1"/>
      <c r="E1188" s="1"/>
      <c r="F1188" s="1"/>
      <c r="G1188" s="1"/>
      <c r="H1188" s="1"/>
      <c r="I1188" s="1"/>
      <c r="J1188" s="1"/>
      <c r="L1188" s="85"/>
      <c r="M1188" s="85"/>
      <c r="N1188" s="85"/>
      <c r="O1188" s="85"/>
      <c r="P1188" s="85"/>
      <c r="Q1188" s="85"/>
      <c r="R1188" s="85"/>
      <c r="S1188" s="85"/>
      <c r="T1188" s="85"/>
      <c r="U1188" s="1"/>
      <c r="V1188" s="1"/>
    </row>
    <row r="1189" spans="3:22" x14ac:dyDescent="0.3">
      <c r="C1189" s="21"/>
      <c r="D1189" s="1"/>
      <c r="E1189" s="1"/>
      <c r="F1189" s="1"/>
      <c r="G1189" s="1"/>
      <c r="H1189" s="1"/>
      <c r="I1189" s="1"/>
      <c r="J1189" s="1"/>
      <c r="L1189" s="85"/>
      <c r="M1189" s="85"/>
      <c r="N1189" s="85"/>
      <c r="O1189" s="85"/>
      <c r="P1189" s="85"/>
      <c r="Q1189" s="85"/>
      <c r="R1189" s="85"/>
      <c r="S1189" s="85"/>
      <c r="T1189" s="85"/>
      <c r="U1189" s="1"/>
      <c r="V1189" s="1"/>
    </row>
    <row r="1190" spans="3:22" x14ac:dyDescent="0.3">
      <c r="C1190" s="21"/>
      <c r="D1190" s="1"/>
      <c r="E1190" s="1"/>
      <c r="F1190" s="1"/>
      <c r="G1190" s="1"/>
      <c r="H1190" s="1"/>
      <c r="I1190" s="1"/>
      <c r="J1190" s="1"/>
      <c r="L1190" s="85"/>
      <c r="M1190" s="85"/>
      <c r="N1190" s="85"/>
      <c r="O1190" s="85"/>
      <c r="P1190" s="85"/>
      <c r="Q1190" s="85"/>
      <c r="R1190" s="85"/>
      <c r="S1190" s="85"/>
      <c r="T1190" s="85"/>
      <c r="U1190" s="1"/>
      <c r="V1190" s="1"/>
    </row>
    <row r="1191" spans="3:22" x14ac:dyDescent="0.3">
      <c r="C1191" s="21"/>
      <c r="D1191" s="1"/>
      <c r="E1191" s="1"/>
      <c r="F1191" s="1"/>
      <c r="G1191" s="1"/>
      <c r="H1191" s="1"/>
      <c r="I1191" s="1"/>
      <c r="J1191" s="1"/>
      <c r="L1191" s="85"/>
      <c r="M1191" s="85"/>
      <c r="N1191" s="85"/>
      <c r="O1191" s="85"/>
      <c r="P1191" s="85"/>
      <c r="Q1191" s="85"/>
      <c r="R1191" s="85"/>
      <c r="S1191" s="85"/>
      <c r="T1191" s="85"/>
      <c r="U1191" s="1"/>
      <c r="V1191" s="1"/>
    </row>
    <row r="1192" spans="3:22" x14ac:dyDescent="0.3">
      <c r="C1192" s="21"/>
      <c r="D1192" s="1"/>
      <c r="E1192" s="1"/>
      <c r="F1192" s="1"/>
      <c r="G1192" s="1"/>
      <c r="H1192" s="1"/>
      <c r="I1192" s="1"/>
      <c r="J1192" s="1"/>
      <c r="L1192" s="85"/>
      <c r="M1192" s="85"/>
      <c r="N1192" s="85"/>
      <c r="O1192" s="85"/>
      <c r="P1192" s="85"/>
      <c r="Q1192" s="85"/>
      <c r="R1192" s="85"/>
      <c r="S1192" s="85"/>
      <c r="T1192" s="85"/>
      <c r="U1192" s="1"/>
      <c r="V1192" s="1"/>
    </row>
    <row r="1193" spans="3:22" x14ac:dyDescent="0.3">
      <c r="C1193" s="21"/>
      <c r="D1193" s="1"/>
      <c r="E1193" s="1"/>
      <c r="F1193" s="1"/>
      <c r="G1193" s="1"/>
      <c r="H1193" s="1"/>
      <c r="I1193" s="1"/>
      <c r="J1193" s="1"/>
      <c r="L1193" s="85"/>
      <c r="M1193" s="85"/>
      <c r="N1193" s="85"/>
      <c r="O1193" s="85"/>
      <c r="P1193" s="85"/>
      <c r="Q1193" s="85"/>
      <c r="R1193" s="85"/>
      <c r="S1193" s="85"/>
      <c r="T1193" s="85"/>
      <c r="U1193" s="1"/>
      <c r="V1193" s="1"/>
    </row>
    <row r="1194" spans="3:22" x14ac:dyDescent="0.3">
      <c r="C1194" s="21"/>
      <c r="D1194" s="1"/>
      <c r="E1194" s="1"/>
      <c r="F1194" s="1"/>
      <c r="G1194" s="1"/>
      <c r="H1194" s="1"/>
      <c r="I1194" s="1"/>
      <c r="J1194" s="1"/>
      <c r="L1194" s="85"/>
      <c r="M1194" s="85"/>
      <c r="N1194" s="85"/>
      <c r="O1194" s="85"/>
      <c r="P1194" s="85"/>
      <c r="Q1194" s="85"/>
      <c r="R1194" s="85"/>
      <c r="S1194" s="85"/>
      <c r="T1194" s="85"/>
      <c r="U1194" s="1"/>
      <c r="V1194" s="1"/>
    </row>
    <row r="1195" spans="3:22" x14ac:dyDescent="0.3">
      <c r="C1195" s="21"/>
      <c r="D1195" s="1"/>
      <c r="E1195" s="1"/>
      <c r="F1195" s="1"/>
      <c r="G1195" s="1"/>
      <c r="H1195" s="1"/>
      <c r="I1195" s="1"/>
      <c r="J1195" s="1"/>
      <c r="L1195" s="85"/>
      <c r="M1195" s="85"/>
      <c r="N1195" s="85"/>
      <c r="O1195" s="85"/>
      <c r="P1195" s="85"/>
      <c r="Q1195" s="85"/>
      <c r="R1195" s="85"/>
      <c r="S1195" s="85"/>
      <c r="T1195" s="85"/>
      <c r="U1195" s="1"/>
      <c r="V1195" s="1"/>
    </row>
    <row r="1196" spans="3:22" x14ac:dyDescent="0.3">
      <c r="C1196" s="21"/>
      <c r="D1196" s="1"/>
      <c r="E1196" s="1"/>
      <c r="F1196" s="1"/>
      <c r="G1196" s="1"/>
      <c r="H1196" s="1"/>
      <c r="I1196" s="1"/>
      <c r="J1196" s="1"/>
      <c r="L1196" s="85"/>
      <c r="M1196" s="85"/>
      <c r="N1196" s="85"/>
      <c r="O1196" s="85"/>
      <c r="P1196" s="85"/>
      <c r="Q1196" s="85"/>
      <c r="R1196" s="85"/>
      <c r="S1196" s="85"/>
      <c r="T1196" s="85"/>
      <c r="U1196" s="1"/>
      <c r="V1196" s="1"/>
    </row>
    <row r="1197" spans="3:22" x14ac:dyDescent="0.3">
      <c r="C1197" s="21"/>
      <c r="D1197" s="1"/>
      <c r="E1197" s="1"/>
      <c r="F1197" s="1"/>
      <c r="G1197" s="1"/>
      <c r="H1197" s="1"/>
      <c r="I1197" s="1"/>
      <c r="J1197" s="1"/>
      <c r="L1197" s="85"/>
      <c r="M1197" s="85"/>
      <c r="N1197" s="85"/>
      <c r="O1197" s="85"/>
      <c r="P1197" s="85"/>
      <c r="Q1197" s="85"/>
      <c r="R1197" s="85"/>
      <c r="S1197" s="85"/>
      <c r="T1197" s="85"/>
      <c r="U1197" s="1"/>
      <c r="V1197" s="1"/>
    </row>
    <row r="1198" spans="3:22" x14ac:dyDescent="0.3">
      <c r="C1198" s="21"/>
      <c r="D1198" s="1"/>
      <c r="E1198" s="1"/>
      <c r="F1198" s="1"/>
      <c r="G1198" s="1"/>
      <c r="H1198" s="1"/>
      <c r="I1198" s="1"/>
      <c r="J1198" s="1"/>
      <c r="L1198" s="85"/>
      <c r="M1198" s="85"/>
      <c r="N1198" s="85"/>
      <c r="O1198" s="85"/>
      <c r="P1198" s="85"/>
      <c r="Q1198" s="85"/>
      <c r="R1198" s="85"/>
      <c r="S1198" s="85"/>
      <c r="T1198" s="85"/>
      <c r="U1198" s="1"/>
      <c r="V1198" s="1"/>
    </row>
    <row r="1199" spans="3:22" x14ac:dyDescent="0.3">
      <c r="C1199" s="21"/>
      <c r="D1199" s="1"/>
      <c r="E1199" s="1"/>
      <c r="F1199" s="1"/>
      <c r="G1199" s="1"/>
      <c r="H1199" s="1"/>
      <c r="I1199" s="1"/>
      <c r="J1199" s="1"/>
      <c r="L1199" s="85"/>
      <c r="M1199" s="85"/>
      <c r="N1199" s="85"/>
      <c r="O1199" s="85"/>
      <c r="P1199" s="85"/>
      <c r="Q1199" s="85"/>
      <c r="R1199" s="85"/>
      <c r="S1199" s="85"/>
      <c r="T1199" s="85"/>
      <c r="U1199" s="1"/>
      <c r="V1199" s="1"/>
    </row>
    <row r="1200" spans="3:22" x14ac:dyDescent="0.3">
      <c r="C1200" s="21"/>
      <c r="D1200" s="1"/>
      <c r="E1200" s="1"/>
      <c r="F1200" s="1"/>
      <c r="G1200" s="1"/>
      <c r="H1200" s="1"/>
      <c r="I1200" s="1"/>
      <c r="J1200" s="1"/>
      <c r="L1200" s="85"/>
      <c r="M1200" s="85"/>
      <c r="N1200" s="85"/>
      <c r="O1200" s="85"/>
      <c r="P1200" s="85"/>
      <c r="Q1200" s="85"/>
      <c r="R1200" s="85"/>
      <c r="S1200" s="85"/>
      <c r="T1200" s="85"/>
      <c r="U1200" s="1"/>
      <c r="V1200" s="1"/>
    </row>
    <row r="1201" spans="3:22" x14ac:dyDescent="0.3">
      <c r="C1201" s="21"/>
      <c r="D1201" s="1"/>
      <c r="E1201" s="1"/>
      <c r="F1201" s="1"/>
      <c r="G1201" s="1"/>
      <c r="H1201" s="1"/>
      <c r="I1201" s="1"/>
      <c r="J1201" s="1"/>
      <c r="L1201" s="85"/>
      <c r="M1201" s="85"/>
      <c r="N1201" s="85"/>
      <c r="O1201" s="85"/>
      <c r="P1201" s="85"/>
      <c r="Q1201" s="85"/>
      <c r="R1201" s="85"/>
      <c r="S1201" s="85"/>
      <c r="T1201" s="85"/>
      <c r="U1201" s="1"/>
      <c r="V1201" s="1"/>
    </row>
    <row r="1202" spans="3:22" x14ac:dyDescent="0.3">
      <c r="C1202" s="21"/>
      <c r="D1202" s="1"/>
      <c r="E1202" s="1"/>
      <c r="F1202" s="1"/>
      <c r="G1202" s="1"/>
      <c r="H1202" s="1"/>
      <c r="I1202" s="1"/>
      <c r="J1202" s="1"/>
      <c r="L1202" s="85"/>
      <c r="M1202" s="85"/>
      <c r="N1202" s="85"/>
      <c r="O1202" s="85"/>
      <c r="P1202" s="85"/>
      <c r="Q1202" s="85"/>
      <c r="R1202" s="85"/>
      <c r="S1202" s="85"/>
      <c r="T1202" s="85"/>
      <c r="U1202" s="1"/>
      <c r="V1202" s="1"/>
    </row>
    <row r="1203" spans="3:22" x14ac:dyDescent="0.3">
      <c r="C1203" s="21"/>
      <c r="D1203" s="1"/>
      <c r="E1203" s="1"/>
      <c r="F1203" s="1"/>
      <c r="G1203" s="1"/>
      <c r="H1203" s="1"/>
      <c r="I1203" s="1"/>
      <c r="J1203" s="1"/>
      <c r="L1203" s="85"/>
      <c r="M1203" s="85"/>
      <c r="N1203" s="85"/>
      <c r="O1203" s="85"/>
      <c r="P1203" s="85"/>
      <c r="Q1203" s="85"/>
      <c r="R1203" s="85"/>
      <c r="S1203" s="85"/>
      <c r="T1203" s="85"/>
      <c r="U1203" s="1"/>
      <c r="V1203" s="1"/>
    </row>
    <row r="1204" spans="3:22" x14ac:dyDescent="0.3">
      <c r="C1204" s="21"/>
      <c r="D1204" s="1"/>
      <c r="E1204" s="1"/>
      <c r="F1204" s="1"/>
      <c r="G1204" s="1"/>
      <c r="H1204" s="1"/>
      <c r="I1204" s="1"/>
      <c r="J1204" s="1"/>
      <c r="L1204" s="85"/>
      <c r="M1204" s="85"/>
      <c r="N1204" s="85"/>
      <c r="O1204" s="85"/>
      <c r="P1204" s="85"/>
      <c r="Q1204" s="85"/>
      <c r="R1204" s="85"/>
      <c r="S1204" s="85"/>
      <c r="T1204" s="85"/>
      <c r="U1204" s="1"/>
      <c r="V1204" s="1"/>
    </row>
    <row r="1205" spans="3:22" x14ac:dyDescent="0.3">
      <c r="C1205" s="21"/>
      <c r="D1205" s="1"/>
      <c r="E1205" s="1"/>
      <c r="F1205" s="1"/>
      <c r="G1205" s="1"/>
      <c r="H1205" s="1"/>
      <c r="I1205" s="1"/>
      <c r="J1205" s="1"/>
      <c r="L1205" s="85"/>
      <c r="M1205" s="85"/>
      <c r="N1205" s="85"/>
      <c r="O1205" s="85"/>
      <c r="P1205" s="85"/>
      <c r="Q1205" s="85"/>
      <c r="R1205" s="85"/>
      <c r="S1205" s="85"/>
      <c r="T1205" s="85"/>
      <c r="U1205" s="1"/>
      <c r="V1205" s="1"/>
    </row>
    <row r="1206" spans="3:22" x14ac:dyDescent="0.3">
      <c r="C1206" s="21"/>
      <c r="D1206" s="1"/>
      <c r="E1206" s="1"/>
      <c r="F1206" s="1"/>
      <c r="G1206" s="1"/>
      <c r="H1206" s="1"/>
      <c r="I1206" s="1"/>
      <c r="J1206" s="1"/>
      <c r="L1206" s="85"/>
      <c r="M1206" s="85"/>
      <c r="N1206" s="85"/>
      <c r="O1206" s="85"/>
      <c r="P1206" s="85"/>
      <c r="Q1206" s="85"/>
      <c r="R1206" s="85"/>
      <c r="S1206" s="85"/>
      <c r="T1206" s="85"/>
      <c r="U1206" s="1"/>
      <c r="V1206" s="1"/>
    </row>
    <row r="1207" spans="3:22" x14ac:dyDescent="0.3">
      <c r="C1207" s="21"/>
      <c r="D1207" s="1"/>
      <c r="E1207" s="1"/>
      <c r="F1207" s="1"/>
      <c r="G1207" s="1"/>
      <c r="H1207" s="1"/>
      <c r="I1207" s="1"/>
      <c r="J1207" s="1"/>
      <c r="L1207" s="85"/>
      <c r="M1207" s="85"/>
      <c r="N1207" s="85"/>
      <c r="O1207" s="85"/>
      <c r="P1207" s="85"/>
      <c r="Q1207" s="85"/>
      <c r="R1207" s="85"/>
      <c r="S1207" s="85"/>
      <c r="T1207" s="85"/>
      <c r="U1207" s="1"/>
      <c r="V1207" s="1"/>
    </row>
    <row r="1208" spans="3:22" x14ac:dyDescent="0.3">
      <c r="C1208" s="21"/>
      <c r="D1208" s="1"/>
      <c r="E1208" s="1"/>
      <c r="F1208" s="1"/>
      <c r="G1208" s="1"/>
      <c r="H1208" s="1"/>
      <c r="I1208" s="1"/>
      <c r="J1208" s="1"/>
      <c r="L1208" s="85"/>
      <c r="M1208" s="85"/>
      <c r="N1208" s="85"/>
      <c r="O1208" s="85"/>
      <c r="P1208" s="85"/>
      <c r="Q1208" s="85"/>
      <c r="R1208" s="85"/>
      <c r="S1208" s="85"/>
      <c r="T1208" s="85"/>
      <c r="U1208" s="1"/>
      <c r="V1208" s="1"/>
    </row>
    <row r="1209" spans="3:22" x14ac:dyDescent="0.3">
      <c r="C1209" s="21"/>
      <c r="D1209" s="1"/>
      <c r="E1209" s="1"/>
      <c r="F1209" s="1"/>
      <c r="G1209" s="1"/>
      <c r="H1209" s="1"/>
      <c r="I1209" s="1"/>
      <c r="J1209" s="1"/>
      <c r="L1209" s="85"/>
      <c r="M1209" s="85"/>
      <c r="N1209" s="85"/>
      <c r="O1209" s="85"/>
      <c r="P1209" s="85"/>
      <c r="Q1209" s="85"/>
      <c r="R1209" s="85"/>
      <c r="S1209" s="85"/>
      <c r="T1209" s="85"/>
      <c r="U1209" s="1"/>
      <c r="V1209" s="1"/>
    </row>
    <row r="1210" spans="3:22" x14ac:dyDescent="0.3">
      <c r="C1210" s="21"/>
      <c r="D1210" s="1"/>
      <c r="E1210" s="1"/>
      <c r="F1210" s="1"/>
      <c r="G1210" s="1"/>
      <c r="H1210" s="1"/>
      <c r="I1210" s="1"/>
      <c r="J1210" s="1"/>
      <c r="L1210" s="85"/>
      <c r="M1210" s="85"/>
      <c r="N1210" s="85"/>
      <c r="O1210" s="85"/>
      <c r="P1210" s="85"/>
      <c r="Q1210" s="85"/>
      <c r="R1210" s="85"/>
      <c r="S1210" s="85"/>
      <c r="T1210" s="85"/>
      <c r="U1210" s="1"/>
      <c r="V1210" s="1"/>
    </row>
    <row r="1211" spans="3:22" x14ac:dyDescent="0.3">
      <c r="C1211" s="21"/>
      <c r="D1211" s="1"/>
      <c r="E1211" s="1"/>
      <c r="F1211" s="1"/>
      <c r="G1211" s="1"/>
      <c r="H1211" s="1"/>
      <c r="I1211" s="1"/>
      <c r="J1211" s="1"/>
      <c r="L1211" s="85"/>
      <c r="M1211" s="85"/>
      <c r="N1211" s="85"/>
      <c r="O1211" s="85"/>
      <c r="P1211" s="85"/>
      <c r="Q1211" s="85"/>
      <c r="R1211" s="85"/>
      <c r="S1211" s="85"/>
      <c r="T1211" s="85"/>
      <c r="U1211" s="1"/>
      <c r="V1211" s="1"/>
    </row>
    <row r="1212" spans="3:22" x14ac:dyDescent="0.3">
      <c r="C1212" s="21"/>
      <c r="D1212" s="1"/>
      <c r="E1212" s="1"/>
      <c r="F1212" s="1"/>
      <c r="G1212" s="1"/>
      <c r="H1212" s="1"/>
      <c r="I1212" s="1"/>
      <c r="J1212" s="1"/>
      <c r="L1212" s="85"/>
      <c r="M1212" s="85"/>
      <c r="N1212" s="85"/>
      <c r="O1212" s="85"/>
      <c r="P1212" s="85"/>
      <c r="Q1212" s="85"/>
      <c r="R1212" s="85"/>
      <c r="S1212" s="85"/>
      <c r="T1212" s="85"/>
      <c r="U1212" s="1"/>
      <c r="V1212" s="1"/>
    </row>
    <row r="1213" spans="3:22" x14ac:dyDescent="0.3">
      <c r="C1213" s="21"/>
      <c r="D1213" s="1"/>
      <c r="E1213" s="1"/>
      <c r="F1213" s="1"/>
      <c r="G1213" s="1"/>
      <c r="H1213" s="1"/>
      <c r="I1213" s="1"/>
      <c r="J1213" s="1"/>
      <c r="L1213" s="85"/>
      <c r="M1213" s="85"/>
      <c r="N1213" s="85"/>
      <c r="O1213" s="85"/>
      <c r="P1213" s="85"/>
      <c r="Q1213" s="85"/>
      <c r="R1213" s="85"/>
      <c r="S1213" s="85"/>
      <c r="T1213" s="85"/>
      <c r="U1213" s="1"/>
      <c r="V1213" s="1"/>
    </row>
    <row r="1214" spans="3:22" x14ac:dyDescent="0.3">
      <c r="C1214" s="21"/>
      <c r="D1214" s="1"/>
      <c r="E1214" s="1"/>
      <c r="F1214" s="1"/>
      <c r="G1214" s="1"/>
      <c r="H1214" s="1"/>
      <c r="I1214" s="1"/>
      <c r="J1214" s="1"/>
      <c r="L1214" s="85"/>
      <c r="M1214" s="85"/>
      <c r="N1214" s="85"/>
      <c r="O1214" s="85"/>
      <c r="P1214" s="85"/>
      <c r="Q1214" s="85"/>
      <c r="R1214" s="85"/>
      <c r="S1214" s="85"/>
      <c r="T1214" s="85"/>
      <c r="U1214" s="1"/>
      <c r="V1214" s="1"/>
    </row>
    <row r="1215" spans="3:22" x14ac:dyDescent="0.3">
      <c r="C1215" s="21"/>
      <c r="D1215" s="1"/>
      <c r="E1215" s="1"/>
      <c r="F1215" s="1"/>
      <c r="G1215" s="1"/>
      <c r="H1215" s="1"/>
      <c r="I1215" s="1"/>
      <c r="J1215" s="1"/>
      <c r="L1215" s="85"/>
      <c r="M1215" s="85"/>
      <c r="N1215" s="85"/>
      <c r="O1215" s="85"/>
      <c r="P1215" s="85"/>
      <c r="Q1215" s="85"/>
      <c r="R1215" s="85"/>
      <c r="S1215" s="85"/>
      <c r="T1215" s="85"/>
      <c r="U1215" s="1"/>
      <c r="V1215" s="1"/>
    </row>
    <row r="1216" spans="3:22" x14ac:dyDescent="0.3">
      <c r="C1216" s="21"/>
      <c r="D1216" s="1"/>
      <c r="E1216" s="1"/>
      <c r="F1216" s="1"/>
      <c r="G1216" s="1"/>
      <c r="H1216" s="1"/>
      <c r="I1216" s="1"/>
      <c r="J1216" s="1"/>
      <c r="L1216" s="85"/>
      <c r="M1216" s="85"/>
      <c r="N1216" s="85"/>
      <c r="O1216" s="85"/>
      <c r="P1216" s="85"/>
      <c r="Q1216" s="85"/>
      <c r="R1216" s="85"/>
      <c r="S1216" s="85"/>
      <c r="T1216" s="85"/>
      <c r="U1216" s="1"/>
      <c r="V1216" s="1"/>
    </row>
    <row r="1217" spans="3:22" x14ac:dyDescent="0.3">
      <c r="C1217" s="21"/>
      <c r="D1217" s="1"/>
      <c r="E1217" s="1"/>
      <c r="F1217" s="1"/>
      <c r="G1217" s="1"/>
      <c r="H1217" s="1"/>
      <c r="I1217" s="1"/>
      <c r="J1217" s="1"/>
      <c r="L1217" s="85"/>
      <c r="M1217" s="85"/>
      <c r="N1217" s="85"/>
      <c r="O1217" s="85"/>
      <c r="P1217" s="85"/>
      <c r="Q1217" s="85"/>
      <c r="R1217" s="85"/>
      <c r="S1217" s="85"/>
      <c r="T1217" s="85"/>
      <c r="U1217" s="1"/>
      <c r="V1217" s="1"/>
    </row>
    <row r="1218" spans="3:22" x14ac:dyDescent="0.3">
      <c r="C1218" s="21"/>
      <c r="D1218" s="1"/>
      <c r="E1218" s="1"/>
      <c r="F1218" s="1"/>
      <c r="G1218" s="1"/>
      <c r="H1218" s="1"/>
      <c r="I1218" s="1"/>
      <c r="J1218" s="1"/>
      <c r="L1218" s="85"/>
      <c r="M1218" s="85"/>
      <c r="N1218" s="85"/>
      <c r="O1218" s="85"/>
      <c r="P1218" s="85"/>
      <c r="Q1218" s="85"/>
      <c r="R1218" s="85"/>
      <c r="S1218" s="85"/>
      <c r="T1218" s="85"/>
      <c r="U1218" s="1"/>
      <c r="V1218" s="1"/>
    </row>
    <row r="1219" spans="3:22" x14ac:dyDescent="0.3">
      <c r="C1219" s="21"/>
      <c r="D1219" s="1"/>
      <c r="E1219" s="1"/>
      <c r="F1219" s="1"/>
      <c r="G1219" s="1"/>
      <c r="H1219" s="1"/>
      <c r="I1219" s="1"/>
      <c r="J1219" s="1"/>
      <c r="L1219" s="85"/>
      <c r="M1219" s="85"/>
      <c r="N1219" s="85"/>
      <c r="O1219" s="85"/>
      <c r="P1219" s="85"/>
      <c r="Q1219" s="85"/>
      <c r="R1219" s="85"/>
      <c r="S1219" s="85"/>
      <c r="T1219" s="85"/>
      <c r="U1219" s="1"/>
      <c r="V1219" s="1"/>
    </row>
    <row r="1220" spans="3:22" x14ac:dyDescent="0.3">
      <c r="C1220" s="21"/>
      <c r="D1220" s="1"/>
      <c r="E1220" s="1"/>
      <c r="F1220" s="1"/>
      <c r="G1220" s="1"/>
      <c r="H1220" s="1"/>
      <c r="I1220" s="1"/>
      <c r="J1220" s="1"/>
      <c r="L1220" s="85"/>
      <c r="M1220" s="85"/>
      <c r="N1220" s="85"/>
      <c r="O1220" s="85"/>
      <c r="P1220" s="85"/>
      <c r="Q1220" s="85"/>
      <c r="R1220" s="85"/>
      <c r="S1220" s="85"/>
      <c r="T1220" s="85"/>
      <c r="U1220" s="1"/>
      <c r="V1220" s="1"/>
    </row>
    <row r="1221" spans="3:22" x14ac:dyDescent="0.3">
      <c r="C1221" s="21"/>
      <c r="D1221" s="1"/>
      <c r="E1221" s="1"/>
      <c r="F1221" s="1"/>
      <c r="G1221" s="1"/>
      <c r="H1221" s="1"/>
      <c r="I1221" s="1"/>
      <c r="J1221" s="1"/>
      <c r="L1221" s="85"/>
      <c r="M1221" s="85"/>
      <c r="N1221" s="85"/>
      <c r="O1221" s="85"/>
      <c r="P1221" s="85"/>
      <c r="Q1221" s="85"/>
      <c r="R1221" s="85"/>
      <c r="S1221" s="85"/>
      <c r="T1221" s="85"/>
      <c r="U1221" s="1"/>
      <c r="V1221" s="1"/>
    </row>
    <row r="1222" spans="3:22" x14ac:dyDescent="0.3">
      <c r="C1222" s="21"/>
      <c r="D1222" s="1"/>
      <c r="E1222" s="1"/>
      <c r="F1222" s="1"/>
      <c r="G1222" s="1"/>
      <c r="H1222" s="1"/>
      <c r="I1222" s="1"/>
      <c r="J1222" s="1"/>
      <c r="L1222" s="85"/>
      <c r="M1222" s="85"/>
      <c r="N1222" s="85"/>
      <c r="O1222" s="85"/>
      <c r="P1222" s="85"/>
      <c r="Q1222" s="85"/>
      <c r="R1222" s="85"/>
      <c r="S1222" s="85"/>
      <c r="T1222" s="85"/>
      <c r="U1222" s="1"/>
      <c r="V1222" s="1"/>
    </row>
    <row r="1223" spans="3:22" x14ac:dyDescent="0.3">
      <c r="C1223" s="21"/>
      <c r="D1223" s="1"/>
      <c r="E1223" s="1"/>
      <c r="F1223" s="1"/>
      <c r="G1223" s="1"/>
      <c r="H1223" s="1"/>
      <c r="I1223" s="1"/>
      <c r="J1223" s="1"/>
      <c r="L1223" s="85"/>
      <c r="M1223" s="85"/>
      <c r="N1223" s="85"/>
      <c r="O1223" s="85"/>
      <c r="P1223" s="85"/>
      <c r="Q1223" s="85"/>
      <c r="R1223" s="85"/>
      <c r="S1223" s="85"/>
      <c r="T1223" s="85"/>
      <c r="U1223" s="1"/>
      <c r="V1223" s="1"/>
    </row>
    <row r="1224" spans="3:22" x14ac:dyDescent="0.3">
      <c r="C1224" s="21"/>
      <c r="D1224" s="1"/>
      <c r="E1224" s="1"/>
      <c r="F1224" s="1"/>
      <c r="G1224" s="1"/>
      <c r="H1224" s="1"/>
      <c r="I1224" s="1"/>
      <c r="J1224" s="1"/>
      <c r="L1224" s="85"/>
      <c r="M1224" s="85"/>
      <c r="N1224" s="85"/>
      <c r="O1224" s="85"/>
      <c r="P1224" s="85"/>
      <c r="Q1224" s="85"/>
      <c r="R1224" s="85"/>
      <c r="S1224" s="85"/>
      <c r="T1224" s="85"/>
      <c r="U1224" s="1"/>
      <c r="V1224" s="1"/>
    </row>
    <row r="1225" spans="3:22" x14ac:dyDescent="0.3">
      <c r="C1225" s="21"/>
      <c r="D1225" s="1"/>
      <c r="E1225" s="1"/>
      <c r="F1225" s="1"/>
      <c r="G1225" s="1"/>
      <c r="H1225" s="1"/>
      <c r="I1225" s="1"/>
      <c r="J1225" s="1"/>
      <c r="L1225" s="85"/>
      <c r="M1225" s="85"/>
      <c r="N1225" s="85"/>
      <c r="O1225" s="85"/>
      <c r="P1225" s="85"/>
      <c r="Q1225" s="85"/>
      <c r="R1225" s="85"/>
      <c r="S1225" s="85"/>
      <c r="T1225" s="85"/>
      <c r="U1225" s="1"/>
      <c r="V1225" s="1"/>
    </row>
    <row r="1226" spans="3:22" x14ac:dyDescent="0.3">
      <c r="C1226" s="21"/>
      <c r="D1226" s="1"/>
      <c r="E1226" s="1"/>
      <c r="F1226" s="1"/>
      <c r="G1226" s="1"/>
      <c r="H1226" s="1"/>
      <c r="I1226" s="1"/>
      <c r="J1226" s="1"/>
      <c r="L1226" s="85"/>
      <c r="M1226" s="85"/>
      <c r="N1226" s="85"/>
      <c r="O1226" s="85"/>
      <c r="P1226" s="85"/>
      <c r="Q1226" s="85"/>
      <c r="R1226" s="85"/>
      <c r="S1226" s="85"/>
      <c r="T1226" s="85"/>
      <c r="U1226" s="1"/>
      <c r="V1226" s="1"/>
    </row>
    <row r="1227" spans="3:22" x14ac:dyDescent="0.3">
      <c r="C1227" s="21"/>
      <c r="D1227" s="1"/>
      <c r="E1227" s="1"/>
      <c r="F1227" s="1"/>
      <c r="G1227" s="1"/>
      <c r="H1227" s="1"/>
      <c r="I1227" s="1"/>
      <c r="J1227" s="1"/>
      <c r="L1227" s="85"/>
      <c r="M1227" s="85"/>
      <c r="N1227" s="85"/>
      <c r="O1227" s="85"/>
      <c r="P1227" s="85"/>
      <c r="Q1227" s="85"/>
      <c r="R1227" s="85"/>
      <c r="S1227" s="85"/>
      <c r="T1227" s="85"/>
      <c r="U1227" s="1"/>
      <c r="V1227" s="1"/>
    </row>
    <row r="1228" spans="3:22" x14ac:dyDescent="0.3">
      <c r="C1228" s="21"/>
      <c r="D1228" s="1"/>
      <c r="E1228" s="1"/>
      <c r="F1228" s="1"/>
      <c r="G1228" s="1"/>
      <c r="H1228" s="1"/>
      <c r="I1228" s="1"/>
      <c r="J1228" s="1"/>
      <c r="L1228" s="85"/>
      <c r="M1228" s="85"/>
      <c r="N1228" s="85"/>
      <c r="O1228" s="85"/>
      <c r="P1228" s="85"/>
      <c r="Q1228" s="85"/>
      <c r="R1228" s="85"/>
      <c r="S1228" s="85"/>
      <c r="T1228" s="85"/>
      <c r="U1228" s="1"/>
      <c r="V1228" s="1"/>
    </row>
    <row r="1229" spans="3:22" x14ac:dyDescent="0.3">
      <c r="C1229" s="21"/>
      <c r="D1229" s="1"/>
      <c r="E1229" s="1"/>
      <c r="F1229" s="1"/>
      <c r="G1229" s="1"/>
      <c r="H1229" s="1"/>
      <c r="I1229" s="1"/>
      <c r="J1229" s="1"/>
      <c r="L1229" s="85"/>
      <c r="M1229" s="85"/>
      <c r="N1229" s="85"/>
      <c r="O1229" s="85"/>
      <c r="P1229" s="85"/>
      <c r="Q1229" s="85"/>
      <c r="R1229" s="85"/>
      <c r="S1229" s="85"/>
      <c r="T1229" s="85"/>
      <c r="U1229" s="1"/>
      <c r="V1229" s="1"/>
    </row>
    <row r="1230" spans="3:22" x14ac:dyDescent="0.3">
      <c r="C1230" s="21"/>
      <c r="D1230" s="1"/>
      <c r="E1230" s="1"/>
      <c r="F1230" s="1"/>
      <c r="G1230" s="1"/>
      <c r="H1230" s="1"/>
      <c r="I1230" s="1"/>
      <c r="J1230" s="1"/>
      <c r="L1230" s="85"/>
      <c r="M1230" s="85"/>
      <c r="N1230" s="85"/>
      <c r="O1230" s="85"/>
      <c r="P1230" s="85"/>
      <c r="Q1230" s="85"/>
      <c r="R1230" s="85"/>
      <c r="S1230" s="85"/>
      <c r="T1230" s="85"/>
      <c r="U1230" s="1"/>
      <c r="V1230" s="1"/>
    </row>
    <row r="1231" spans="3:22" x14ac:dyDescent="0.3">
      <c r="C1231" s="21"/>
      <c r="D1231" s="1"/>
      <c r="E1231" s="1"/>
      <c r="F1231" s="1"/>
      <c r="G1231" s="1"/>
      <c r="H1231" s="1"/>
      <c r="I1231" s="1"/>
      <c r="J1231" s="1"/>
      <c r="L1231" s="85"/>
      <c r="M1231" s="85"/>
      <c r="N1231" s="85"/>
      <c r="O1231" s="85"/>
      <c r="P1231" s="85"/>
      <c r="Q1231" s="85"/>
      <c r="R1231" s="85"/>
      <c r="S1231" s="85"/>
      <c r="T1231" s="85"/>
      <c r="U1231" s="1"/>
      <c r="V1231" s="1"/>
    </row>
    <row r="1232" spans="3:22" x14ac:dyDescent="0.3">
      <c r="C1232" s="21"/>
      <c r="D1232" s="1"/>
      <c r="E1232" s="1"/>
      <c r="F1232" s="1"/>
      <c r="G1232" s="1"/>
      <c r="H1232" s="1"/>
      <c r="I1232" s="1"/>
      <c r="J1232" s="1"/>
      <c r="L1232" s="85"/>
      <c r="M1232" s="85"/>
      <c r="N1232" s="85"/>
      <c r="O1232" s="85"/>
      <c r="P1232" s="85"/>
      <c r="Q1232" s="85"/>
      <c r="R1232" s="85"/>
      <c r="S1232" s="85"/>
      <c r="T1232" s="85"/>
      <c r="U1232" s="1"/>
      <c r="V1232" s="1"/>
    </row>
    <row r="1233" spans="3:22" x14ac:dyDescent="0.3">
      <c r="C1233" s="21"/>
      <c r="D1233" s="1"/>
      <c r="E1233" s="1"/>
      <c r="F1233" s="1"/>
      <c r="G1233" s="1"/>
      <c r="H1233" s="1"/>
      <c r="I1233" s="1"/>
      <c r="J1233" s="1"/>
      <c r="L1233" s="85"/>
      <c r="M1233" s="85"/>
      <c r="N1233" s="85"/>
      <c r="O1233" s="85"/>
      <c r="P1233" s="85"/>
      <c r="Q1233" s="85"/>
      <c r="R1233" s="85"/>
      <c r="S1233" s="85"/>
      <c r="T1233" s="85"/>
      <c r="U1233" s="1"/>
      <c r="V1233" s="1"/>
    </row>
    <row r="1234" spans="3:22" x14ac:dyDescent="0.3">
      <c r="C1234" s="21"/>
      <c r="D1234" s="1"/>
      <c r="E1234" s="1"/>
      <c r="F1234" s="1"/>
      <c r="G1234" s="1"/>
      <c r="H1234" s="1"/>
      <c r="I1234" s="1"/>
      <c r="J1234" s="1"/>
      <c r="L1234" s="85"/>
      <c r="M1234" s="85"/>
      <c r="N1234" s="85"/>
      <c r="O1234" s="85"/>
      <c r="P1234" s="85"/>
      <c r="Q1234" s="85"/>
      <c r="R1234" s="85"/>
      <c r="S1234" s="85"/>
      <c r="T1234" s="85"/>
      <c r="U1234" s="1"/>
      <c r="V1234" s="1"/>
    </row>
    <row r="1235" spans="3:22" x14ac:dyDescent="0.3">
      <c r="C1235" s="21"/>
      <c r="D1235" s="1"/>
      <c r="E1235" s="1"/>
      <c r="F1235" s="1"/>
      <c r="G1235" s="1"/>
      <c r="H1235" s="1"/>
      <c r="I1235" s="1"/>
      <c r="J1235" s="1"/>
      <c r="L1235" s="85"/>
      <c r="M1235" s="85"/>
      <c r="N1235" s="85"/>
      <c r="O1235" s="85"/>
      <c r="P1235" s="85"/>
      <c r="Q1235" s="85"/>
      <c r="R1235" s="85"/>
      <c r="S1235" s="85"/>
      <c r="T1235" s="85"/>
      <c r="U1235" s="1"/>
      <c r="V1235" s="1"/>
    </row>
    <row r="1236" spans="3:22" x14ac:dyDescent="0.3">
      <c r="C1236" s="21"/>
      <c r="D1236" s="1"/>
      <c r="E1236" s="1"/>
      <c r="F1236" s="1"/>
      <c r="G1236" s="1"/>
      <c r="H1236" s="1"/>
      <c r="I1236" s="1"/>
      <c r="J1236" s="1"/>
      <c r="L1236" s="85"/>
      <c r="M1236" s="85"/>
      <c r="N1236" s="85"/>
      <c r="O1236" s="85"/>
      <c r="P1236" s="85"/>
      <c r="Q1236" s="85"/>
      <c r="R1236" s="85"/>
      <c r="S1236" s="85"/>
      <c r="T1236" s="85"/>
      <c r="U1236" s="1"/>
      <c r="V1236" s="1"/>
    </row>
    <row r="1237" spans="3:22" x14ac:dyDescent="0.3">
      <c r="C1237" s="21"/>
      <c r="D1237" s="1"/>
      <c r="E1237" s="1"/>
      <c r="F1237" s="1"/>
      <c r="G1237" s="1"/>
      <c r="H1237" s="1"/>
      <c r="I1237" s="1"/>
      <c r="J1237" s="1"/>
      <c r="L1237" s="85"/>
      <c r="M1237" s="85"/>
      <c r="N1237" s="85"/>
      <c r="O1237" s="85"/>
      <c r="P1237" s="85"/>
      <c r="Q1237" s="85"/>
      <c r="R1237" s="85"/>
      <c r="S1237" s="85"/>
      <c r="T1237" s="85"/>
      <c r="U1237" s="1"/>
      <c r="V1237" s="1"/>
    </row>
    <row r="1238" spans="3:22" x14ac:dyDescent="0.3">
      <c r="C1238" s="21"/>
      <c r="D1238" s="1"/>
      <c r="E1238" s="1"/>
      <c r="F1238" s="1"/>
      <c r="G1238" s="1"/>
      <c r="H1238" s="1"/>
      <c r="I1238" s="1"/>
      <c r="J1238" s="1"/>
      <c r="L1238" s="85"/>
      <c r="M1238" s="85"/>
      <c r="N1238" s="85"/>
      <c r="O1238" s="85"/>
      <c r="P1238" s="85"/>
      <c r="Q1238" s="85"/>
      <c r="R1238" s="85"/>
      <c r="S1238" s="85"/>
      <c r="T1238" s="85"/>
      <c r="U1238" s="1"/>
      <c r="V1238" s="1"/>
    </row>
    <row r="1239" spans="3:22" x14ac:dyDescent="0.3">
      <c r="C1239" s="21"/>
      <c r="D1239" s="1"/>
      <c r="E1239" s="1"/>
      <c r="F1239" s="1"/>
      <c r="G1239" s="1"/>
      <c r="H1239" s="1"/>
      <c r="I1239" s="1"/>
      <c r="J1239" s="1"/>
      <c r="L1239" s="85"/>
      <c r="M1239" s="85"/>
      <c r="N1239" s="85"/>
      <c r="O1239" s="85"/>
      <c r="P1239" s="85"/>
      <c r="Q1239" s="85"/>
      <c r="R1239" s="85"/>
      <c r="S1239" s="85"/>
      <c r="T1239" s="85"/>
      <c r="U1239" s="1"/>
      <c r="V1239" s="1"/>
    </row>
    <row r="1240" spans="3:22" x14ac:dyDescent="0.3">
      <c r="L1240" s="85"/>
      <c r="M1240" s="85"/>
      <c r="N1240" s="85"/>
      <c r="O1240" s="85"/>
      <c r="P1240" s="85"/>
      <c r="Q1240" s="85"/>
      <c r="R1240" s="85"/>
      <c r="S1240" s="85"/>
      <c r="T1240" s="85"/>
      <c r="U1240" s="1"/>
      <c r="V1240" s="1"/>
    </row>
    <row r="1241" spans="3:22" x14ac:dyDescent="0.3">
      <c r="L1241" s="85"/>
      <c r="M1241" s="85"/>
      <c r="N1241" s="85"/>
      <c r="O1241" s="85"/>
      <c r="P1241" s="85"/>
      <c r="Q1241" s="85"/>
      <c r="R1241" s="85"/>
      <c r="S1241" s="85"/>
      <c r="T1241" s="85"/>
      <c r="U1241" s="1"/>
      <c r="V1241" s="1"/>
    </row>
    <row r="1242" spans="3:22" x14ac:dyDescent="0.3">
      <c r="L1242" s="85"/>
      <c r="M1242" s="85"/>
      <c r="N1242" s="85"/>
      <c r="O1242" s="85"/>
      <c r="P1242" s="85"/>
      <c r="Q1242" s="85"/>
      <c r="R1242" s="85"/>
      <c r="S1242" s="85"/>
      <c r="T1242" s="85"/>
      <c r="U1242" s="1"/>
      <c r="V1242" s="1"/>
    </row>
    <row r="1243" spans="3:22" x14ac:dyDescent="0.3">
      <c r="L1243" s="85"/>
      <c r="M1243" s="85"/>
      <c r="N1243" s="85"/>
      <c r="O1243" s="85"/>
      <c r="P1243" s="85"/>
      <c r="Q1243" s="85"/>
      <c r="R1243" s="85"/>
      <c r="S1243" s="85"/>
      <c r="T1243" s="85"/>
      <c r="U1243" s="1"/>
      <c r="V1243" s="1"/>
    </row>
    <row r="1244" spans="3:22" x14ac:dyDescent="0.3">
      <c r="L1244" s="85"/>
      <c r="M1244" s="85"/>
      <c r="N1244" s="85"/>
      <c r="O1244" s="85"/>
      <c r="P1244" s="85"/>
      <c r="Q1244" s="85"/>
      <c r="R1244" s="85"/>
      <c r="S1244" s="85"/>
      <c r="T1244" s="85"/>
      <c r="U1244" s="1"/>
      <c r="V1244" s="1"/>
    </row>
    <row r="1245" spans="3:22" x14ac:dyDescent="0.3">
      <c r="L1245" s="85"/>
      <c r="M1245" s="85"/>
      <c r="N1245" s="85"/>
      <c r="O1245" s="85"/>
      <c r="P1245" s="85"/>
      <c r="Q1245" s="85"/>
      <c r="R1245" s="85"/>
      <c r="S1245" s="85"/>
      <c r="T1245" s="85"/>
      <c r="U1245" s="1"/>
      <c r="V1245" s="1"/>
    </row>
    <row r="1246" spans="3:22" x14ac:dyDescent="0.3">
      <c r="L1246" s="85"/>
      <c r="M1246" s="85"/>
      <c r="N1246" s="85"/>
      <c r="O1246" s="85"/>
      <c r="P1246" s="85"/>
      <c r="Q1246" s="85"/>
      <c r="R1246" s="85"/>
      <c r="S1246" s="85"/>
      <c r="T1246" s="85"/>
      <c r="U1246" s="1"/>
      <c r="V1246" s="1"/>
    </row>
    <row r="1247" spans="3:22" x14ac:dyDescent="0.3">
      <c r="L1247" s="85"/>
      <c r="M1247" s="85"/>
      <c r="N1247" s="85"/>
      <c r="O1247" s="85"/>
      <c r="P1247" s="85"/>
      <c r="Q1247" s="85"/>
      <c r="R1247" s="85"/>
      <c r="S1247" s="85"/>
      <c r="T1247" s="85"/>
      <c r="U1247" s="1"/>
      <c r="V1247" s="1"/>
    </row>
    <row r="1248" spans="3:22" x14ac:dyDescent="0.3">
      <c r="L1248" s="85"/>
      <c r="M1248" s="85"/>
      <c r="N1248" s="85"/>
      <c r="O1248" s="85"/>
      <c r="P1248" s="85"/>
      <c r="Q1248" s="85"/>
      <c r="R1248" s="85"/>
      <c r="S1248" s="85"/>
      <c r="T1248" s="85"/>
      <c r="U1248" s="1"/>
      <c r="V1248" s="1"/>
    </row>
    <row r="1249" spans="12:22" x14ac:dyDescent="0.3">
      <c r="L1249" s="85"/>
      <c r="M1249" s="85"/>
      <c r="N1249" s="85"/>
      <c r="O1249" s="85"/>
      <c r="P1249" s="85"/>
      <c r="Q1249" s="85"/>
      <c r="R1249" s="85"/>
      <c r="S1249" s="85"/>
      <c r="T1249" s="85"/>
      <c r="U1249" s="1"/>
      <c r="V1249" s="1"/>
    </row>
    <row r="1250" spans="12:22" x14ac:dyDescent="0.3">
      <c r="L1250" s="85"/>
      <c r="M1250" s="85"/>
      <c r="N1250" s="85"/>
      <c r="O1250" s="85"/>
      <c r="P1250" s="85"/>
      <c r="Q1250" s="85"/>
      <c r="R1250" s="85"/>
      <c r="S1250" s="85"/>
      <c r="T1250" s="85"/>
      <c r="U1250" s="1"/>
      <c r="V1250" s="1"/>
    </row>
    <row r="1251" spans="12:22" x14ac:dyDescent="0.3">
      <c r="L1251" s="85"/>
      <c r="M1251" s="85"/>
      <c r="N1251" s="85"/>
      <c r="O1251" s="85"/>
      <c r="P1251" s="85"/>
      <c r="Q1251" s="85"/>
      <c r="R1251" s="85"/>
      <c r="S1251" s="85"/>
      <c r="T1251" s="85"/>
      <c r="U1251" s="1"/>
      <c r="V1251" s="1"/>
    </row>
    <row r="1252" spans="12:22" x14ac:dyDescent="0.3">
      <c r="L1252" s="85"/>
      <c r="M1252" s="85"/>
      <c r="N1252" s="85"/>
      <c r="O1252" s="85"/>
      <c r="P1252" s="85"/>
      <c r="Q1252" s="85"/>
      <c r="R1252" s="85"/>
      <c r="S1252" s="85"/>
      <c r="T1252" s="85"/>
      <c r="U1252" s="1"/>
      <c r="V1252" s="1"/>
    </row>
    <row r="1253" spans="12:22" x14ac:dyDescent="0.3">
      <c r="L1253" s="85"/>
      <c r="M1253" s="85"/>
      <c r="N1253" s="85"/>
      <c r="O1253" s="85"/>
      <c r="P1253" s="85"/>
      <c r="Q1253" s="85"/>
      <c r="R1253" s="85"/>
      <c r="S1253" s="85"/>
      <c r="T1253" s="85"/>
      <c r="U1253" s="1"/>
      <c r="V1253" s="1"/>
    </row>
    <row r="1254" spans="12:22" x14ac:dyDescent="0.3">
      <c r="L1254" s="85"/>
      <c r="M1254" s="85"/>
      <c r="N1254" s="85"/>
      <c r="O1254" s="85"/>
      <c r="P1254" s="85"/>
      <c r="Q1254" s="85"/>
      <c r="R1254" s="85"/>
      <c r="S1254" s="85"/>
      <c r="T1254" s="85"/>
      <c r="U1254" s="1"/>
      <c r="V1254" s="1"/>
    </row>
    <row r="1255" spans="12:22" x14ac:dyDescent="0.3">
      <c r="L1255" s="85"/>
      <c r="M1255" s="85"/>
      <c r="N1255" s="85"/>
      <c r="O1255" s="85"/>
      <c r="P1255" s="85"/>
      <c r="Q1255" s="85"/>
      <c r="R1255" s="85"/>
      <c r="S1255" s="85"/>
      <c r="T1255" s="85"/>
      <c r="U1255" s="1"/>
      <c r="V1255" s="1"/>
    </row>
    <row r="1256" spans="12:22" x14ac:dyDescent="0.3">
      <c r="L1256" s="85"/>
      <c r="M1256" s="85"/>
      <c r="N1256" s="85"/>
      <c r="O1256" s="85"/>
      <c r="P1256" s="85"/>
      <c r="Q1256" s="85"/>
      <c r="R1256" s="85"/>
      <c r="S1256" s="85"/>
      <c r="T1256" s="85"/>
      <c r="U1256" s="1"/>
      <c r="V1256" s="1"/>
    </row>
    <row r="1257" spans="12:22" x14ac:dyDescent="0.3">
      <c r="L1257" s="85"/>
      <c r="M1257" s="85"/>
      <c r="N1257" s="85"/>
      <c r="O1257" s="85"/>
      <c r="P1257" s="85"/>
      <c r="Q1257" s="85"/>
      <c r="R1257" s="85"/>
      <c r="S1257" s="85"/>
      <c r="T1257" s="85"/>
      <c r="U1257" s="1"/>
      <c r="V1257" s="1"/>
    </row>
    <row r="1258" spans="12:22" x14ac:dyDescent="0.3">
      <c r="L1258" s="85"/>
      <c r="M1258" s="85"/>
      <c r="N1258" s="85"/>
      <c r="O1258" s="85"/>
      <c r="P1258" s="85"/>
      <c r="Q1258" s="85"/>
      <c r="R1258" s="85"/>
      <c r="S1258" s="85"/>
      <c r="T1258" s="85"/>
      <c r="U1258" s="1"/>
      <c r="V1258" s="1"/>
    </row>
    <row r="1259" spans="12:22" x14ac:dyDescent="0.3">
      <c r="L1259" s="85"/>
      <c r="M1259" s="85"/>
      <c r="N1259" s="85"/>
      <c r="O1259" s="85"/>
      <c r="P1259" s="85"/>
      <c r="Q1259" s="85"/>
      <c r="R1259" s="85"/>
      <c r="S1259" s="85"/>
      <c r="T1259" s="85"/>
      <c r="U1259" s="1"/>
      <c r="V1259" s="1"/>
    </row>
    <row r="1260" spans="12:22" x14ac:dyDescent="0.3">
      <c r="L1260" s="85"/>
      <c r="M1260" s="85"/>
      <c r="N1260" s="85"/>
      <c r="O1260" s="85"/>
      <c r="P1260" s="85"/>
      <c r="Q1260" s="85"/>
      <c r="R1260" s="85"/>
      <c r="S1260" s="85"/>
      <c r="T1260" s="85"/>
      <c r="U1260" s="1"/>
      <c r="V1260" s="1"/>
    </row>
    <row r="1261" spans="12:22" x14ac:dyDescent="0.3">
      <c r="L1261" s="85"/>
      <c r="M1261" s="85"/>
      <c r="N1261" s="85"/>
      <c r="O1261" s="85"/>
      <c r="P1261" s="85"/>
      <c r="Q1261" s="85"/>
      <c r="R1261" s="85"/>
      <c r="S1261" s="85"/>
      <c r="T1261" s="85"/>
      <c r="U1261" s="1"/>
      <c r="V1261" s="1"/>
    </row>
    <row r="1262" spans="12:22" x14ac:dyDescent="0.3">
      <c r="L1262" s="85"/>
      <c r="M1262" s="85"/>
      <c r="N1262" s="85"/>
      <c r="O1262" s="85"/>
      <c r="P1262" s="85"/>
      <c r="Q1262" s="85"/>
      <c r="R1262" s="85"/>
      <c r="S1262" s="85"/>
      <c r="T1262" s="85"/>
      <c r="U1262" s="1"/>
      <c r="V1262" s="1"/>
    </row>
    <row r="1263" spans="12:22" x14ac:dyDescent="0.3">
      <c r="L1263" s="85"/>
      <c r="M1263" s="85"/>
      <c r="N1263" s="85"/>
      <c r="O1263" s="85"/>
      <c r="P1263" s="85"/>
      <c r="Q1263" s="85"/>
      <c r="R1263" s="85"/>
      <c r="S1263" s="85"/>
      <c r="T1263" s="85"/>
      <c r="U1263" s="1"/>
      <c r="V1263" s="1"/>
    </row>
    <row r="1264" spans="12:22" x14ac:dyDescent="0.3">
      <c r="L1264" s="85"/>
      <c r="M1264" s="85"/>
      <c r="N1264" s="85"/>
      <c r="O1264" s="85"/>
      <c r="P1264" s="85"/>
      <c r="Q1264" s="85"/>
      <c r="R1264" s="85"/>
      <c r="S1264" s="85"/>
      <c r="T1264" s="85"/>
      <c r="U1264" s="1"/>
      <c r="V1264" s="1"/>
    </row>
    <row r="1265" spans="12:22" x14ac:dyDescent="0.3">
      <c r="L1265" s="85"/>
      <c r="M1265" s="85"/>
      <c r="N1265" s="85"/>
      <c r="O1265" s="85"/>
      <c r="P1265" s="85"/>
      <c r="Q1265" s="85"/>
      <c r="R1265" s="85"/>
      <c r="S1265" s="85"/>
      <c r="T1265" s="85"/>
      <c r="U1265" s="1"/>
      <c r="V1265" s="1"/>
    </row>
    <row r="1266" spans="12:22" x14ac:dyDescent="0.3">
      <c r="L1266" s="85"/>
      <c r="M1266" s="85"/>
      <c r="N1266" s="85"/>
      <c r="O1266" s="85"/>
      <c r="P1266" s="85"/>
      <c r="Q1266" s="85"/>
      <c r="R1266" s="85"/>
      <c r="S1266" s="85"/>
      <c r="T1266" s="85"/>
      <c r="U1266" s="1"/>
      <c r="V1266" s="1"/>
    </row>
    <row r="1267" spans="12:22" x14ac:dyDescent="0.3">
      <c r="L1267" s="85"/>
      <c r="M1267" s="85"/>
      <c r="N1267" s="85"/>
      <c r="O1267" s="85"/>
      <c r="P1267" s="85"/>
      <c r="Q1267" s="85"/>
      <c r="R1267" s="85"/>
      <c r="S1267" s="85"/>
      <c r="T1267" s="85"/>
      <c r="U1267" s="1"/>
      <c r="V1267" s="1"/>
    </row>
    <row r="1268" spans="12:22" x14ac:dyDescent="0.3">
      <c r="L1268" s="85"/>
      <c r="M1268" s="85"/>
      <c r="N1268" s="85"/>
      <c r="O1268" s="85"/>
      <c r="P1268" s="85"/>
      <c r="Q1268" s="85"/>
      <c r="R1268" s="85"/>
      <c r="S1268" s="85"/>
      <c r="T1268" s="85"/>
      <c r="U1268" s="1"/>
      <c r="V1268" s="1"/>
    </row>
    <row r="1269" spans="12:22" x14ac:dyDescent="0.3">
      <c r="L1269" s="85"/>
      <c r="M1269" s="85"/>
      <c r="N1269" s="85"/>
      <c r="O1269" s="85"/>
      <c r="P1269" s="85"/>
      <c r="Q1269" s="85"/>
      <c r="R1269" s="85"/>
      <c r="S1269" s="85"/>
      <c r="T1269" s="85"/>
      <c r="U1269" s="1"/>
      <c r="V1269" s="1"/>
    </row>
    <row r="1270" spans="12:22" x14ac:dyDescent="0.3">
      <c r="L1270" s="85"/>
      <c r="M1270" s="85"/>
      <c r="N1270" s="85"/>
      <c r="O1270" s="85"/>
      <c r="P1270" s="85"/>
      <c r="Q1270" s="85"/>
      <c r="R1270" s="85"/>
      <c r="S1270" s="85"/>
      <c r="T1270" s="85"/>
      <c r="U1270" s="1"/>
      <c r="V1270" s="1"/>
    </row>
    <row r="1271" spans="12:22" x14ac:dyDescent="0.3">
      <c r="L1271" s="85"/>
      <c r="M1271" s="85"/>
      <c r="N1271" s="85"/>
      <c r="O1271" s="85"/>
      <c r="P1271" s="85"/>
      <c r="Q1271" s="85"/>
      <c r="R1271" s="85"/>
      <c r="S1271" s="85"/>
      <c r="T1271" s="85"/>
      <c r="U1271" s="1"/>
      <c r="V1271" s="1"/>
    </row>
    <row r="1272" spans="12:22" x14ac:dyDescent="0.3">
      <c r="L1272" s="85"/>
      <c r="M1272" s="85"/>
      <c r="N1272" s="85"/>
      <c r="O1272" s="85"/>
      <c r="P1272" s="85"/>
      <c r="Q1272" s="85"/>
      <c r="R1272" s="85"/>
      <c r="S1272" s="85"/>
      <c r="T1272" s="85"/>
      <c r="U1272" s="1"/>
      <c r="V1272" s="1"/>
    </row>
    <row r="1273" spans="12:22" x14ac:dyDescent="0.3">
      <c r="L1273" s="85"/>
      <c r="M1273" s="85"/>
      <c r="N1273" s="85"/>
      <c r="O1273" s="85"/>
      <c r="P1273" s="85"/>
      <c r="Q1273" s="85"/>
      <c r="R1273" s="85"/>
      <c r="S1273" s="85"/>
      <c r="T1273" s="85"/>
      <c r="U1273" s="1"/>
      <c r="V1273" s="1"/>
    </row>
    <row r="1274" spans="12:22" x14ac:dyDescent="0.3">
      <c r="L1274" s="85"/>
      <c r="M1274" s="85"/>
      <c r="N1274" s="85"/>
      <c r="O1274" s="85"/>
      <c r="P1274" s="85"/>
      <c r="Q1274" s="85"/>
      <c r="R1274" s="85"/>
      <c r="S1274" s="85"/>
      <c r="T1274" s="85"/>
      <c r="U1274" s="1"/>
      <c r="V1274" s="1"/>
    </row>
    <row r="1275" spans="12:22" x14ac:dyDescent="0.3">
      <c r="L1275" s="85"/>
      <c r="M1275" s="85"/>
      <c r="N1275" s="85"/>
      <c r="O1275" s="85"/>
      <c r="P1275" s="85"/>
      <c r="Q1275" s="85"/>
      <c r="R1275" s="85"/>
      <c r="S1275" s="85"/>
      <c r="T1275" s="85"/>
      <c r="U1275" s="1"/>
      <c r="V1275" s="1"/>
    </row>
    <row r="1276" spans="12:22" x14ac:dyDescent="0.3">
      <c r="L1276" s="85"/>
      <c r="M1276" s="85"/>
      <c r="N1276" s="85"/>
      <c r="O1276" s="85"/>
      <c r="P1276" s="85"/>
      <c r="Q1276" s="85"/>
      <c r="R1276" s="85"/>
      <c r="S1276" s="85"/>
      <c r="T1276" s="85"/>
      <c r="U1276" s="1"/>
      <c r="V1276" s="1"/>
    </row>
    <row r="1277" spans="12:22" x14ac:dyDescent="0.3">
      <c r="L1277" s="85"/>
      <c r="M1277" s="85"/>
      <c r="N1277" s="85"/>
      <c r="O1277" s="85"/>
      <c r="P1277" s="85"/>
      <c r="Q1277" s="85"/>
      <c r="R1277" s="85"/>
      <c r="S1277" s="85"/>
      <c r="T1277" s="85"/>
      <c r="U1277" s="1"/>
      <c r="V1277" s="1"/>
    </row>
    <row r="1278" spans="12:22" x14ac:dyDescent="0.3">
      <c r="L1278" s="85"/>
      <c r="M1278" s="85"/>
      <c r="N1278" s="85"/>
      <c r="O1278" s="85"/>
      <c r="P1278" s="85"/>
      <c r="Q1278" s="85"/>
      <c r="R1278" s="85"/>
      <c r="S1278" s="85"/>
      <c r="T1278" s="85"/>
      <c r="V1278" s="1"/>
    </row>
    <row r="1279" spans="12:22" x14ac:dyDescent="0.3">
      <c r="L1279" s="85"/>
      <c r="M1279" s="85"/>
      <c r="N1279" s="85"/>
      <c r="O1279" s="85"/>
      <c r="P1279" s="85"/>
      <c r="Q1279" s="85"/>
      <c r="R1279" s="85"/>
      <c r="S1279" s="85"/>
      <c r="T1279" s="85"/>
      <c r="V1279" s="1"/>
    </row>
    <row r="1280" spans="12:22" x14ac:dyDescent="0.3">
      <c r="L1280" s="85"/>
      <c r="M1280" s="85"/>
      <c r="N1280" s="85"/>
      <c r="O1280" s="85"/>
      <c r="P1280" s="85"/>
      <c r="Q1280" s="85"/>
      <c r="R1280" s="85"/>
      <c r="S1280" s="85"/>
      <c r="T1280" s="85"/>
      <c r="V1280" s="1"/>
    </row>
    <row r="1281" spans="12:22" x14ac:dyDescent="0.3">
      <c r="L1281" s="85"/>
      <c r="M1281" s="85"/>
      <c r="N1281" s="85"/>
      <c r="O1281" s="85"/>
      <c r="P1281" s="85"/>
      <c r="Q1281" s="85"/>
      <c r="R1281" s="85"/>
      <c r="S1281" s="85"/>
      <c r="T1281" s="85"/>
      <c r="V1281" s="1"/>
    </row>
    <row r="1282" spans="12:22" x14ac:dyDescent="0.3">
      <c r="L1282" s="85"/>
      <c r="M1282" s="85"/>
      <c r="N1282" s="85"/>
      <c r="O1282" s="85"/>
      <c r="P1282" s="85"/>
      <c r="Q1282" s="85"/>
      <c r="R1282" s="85"/>
      <c r="S1282" s="85"/>
      <c r="T1282" s="85"/>
      <c r="V1282" s="1"/>
    </row>
    <row r="1283" spans="12:22" x14ac:dyDescent="0.3">
      <c r="L1283" s="85"/>
      <c r="M1283" s="85"/>
      <c r="N1283" s="85"/>
      <c r="O1283" s="85"/>
      <c r="P1283" s="85"/>
      <c r="Q1283" s="85"/>
      <c r="R1283" s="85"/>
      <c r="S1283" s="85"/>
      <c r="T1283" s="85"/>
      <c r="V1283" s="1"/>
    </row>
    <row r="1284" spans="12:22" x14ac:dyDescent="0.3">
      <c r="L1284" s="85"/>
      <c r="M1284" s="85"/>
      <c r="N1284" s="85"/>
      <c r="O1284" s="85"/>
      <c r="P1284" s="85"/>
      <c r="Q1284" s="85"/>
      <c r="R1284" s="85"/>
      <c r="S1284" s="85"/>
      <c r="T1284" s="85"/>
      <c r="V1284" s="1"/>
    </row>
    <row r="1285" spans="12:22" x14ac:dyDescent="0.3">
      <c r="L1285" s="85"/>
      <c r="M1285" s="85"/>
      <c r="N1285" s="85"/>
      <c r="O1285" s="85"/>
      <c r="P1285" s="85"/>
      <c r="Q1285" s="85"/>
      <c r="R1285" s="85"/>
      <c r="S1285" s="85"/>
      <c r="T1285" s="85"/>
      <c r="V1285" s="1"/>
    </row>
    <row r="1286" spans="12:22" x14ac:dyDescent="0.3">
      <c r="L1286" s="85"/>
      <c r="M1286" s="85"/>
      <c r="N1286" s="85"/>
      <c r="O1286" s="85"/>
      <c r="P1286" s="85"/>
      <c r="Q1286" s="85"/>
      <c r="R1286" s="85"/>
      <c r="S1286" s="85"/>
      <c r="T1286" s="85"/>
      <c r="V1286" s="1"/>
    </row>
    <row r="1287" spans="12:22" x14ac:dyDescent="0.3">
      <c r="L1287" s="85"/>
      <c r="M1287" s="85"/>
      <c r="N1287" s="85"/>
      <c r="O1287" s="85"/>
      <c r="P1287" s="85"/>
      <c r="Q1287" s="85"/>
      <c r="R1287" s="85"/>
      <c r="S1287" s="85"/>
      <c r="T1287" s="85"/>
      <c r="V1287" s="1"/>
    </row>
    <row r="1288" spans="12:22" x14ac:dyDescent="0.3">
      <c r="L1288" s="85"/>
      <c r="M1288" s="85"/>
      <c r="N1288" s="85"/>
      <c r="O1288" s="85"/>
      <c r="P1288" s="85"/>
      <c r="Q1288" s="85"/>
      <c r="R1288" s="85"/>
      <c r="S1288" s="85"/>
      <c r="T1288" s="85"/>
      <c r="V1288" s="1"/>
    </row>
    <row r="1289" spans="12:22" x14ac:dyDescent="0.3">
      <c r="L1289" s="85"/>
      <c r="M1289" s="85"/>
      <c r="N1289" s="85"/>
      <c r="O1289" s="85"/>
      <c r="P1289" s="85"/>
      <c r="Q1289" s="85"/>
      <c r="R1289" s="85"/>
      <c r="S1289" s="85"/>
      <c r="T1289" s="85"/>
      <c r="V1289" s="1"/>
    </row>
    <row r="1290" spans="12:22" x14ac:dyDescent="0.3">
      <c r="L1290" s="85"/>
      <c r="M1290" s="85"/>
      <c r="N1290" s="85"/>
      <c r="O1290" s="85"/>
      <c r="P1290" s="85"/>
      <c r="Q1290" s="85"/>
      <c r="R1290" s="85"/>
      <c r="S1290" s="85"/>
      <c r="T1290" s="85"/>
      <c r="V1290" s="1"/>
    </row>
    <row r="1291" spans="12:22" x14ac:dyDescent="0.3">
      <c r="L1291" s="85"/>
      <c r="M1291" s="85"/>
      <c r="N1291" s="85"/>
      <c r="O1291" s="85"/>
      <c r="P1291" s="85"/>
      <c r="Q1291" s="85"/>
      <c r="R1291" s="85"/>
      <c r="S1291" s="85"/>
      <c r="T1291" s="85"/>
      <c r="V1291" s="1"/>
    </row>
    <row r="1292" spans="12:22" x14ac:dyDescent="0.3">
      <c r="L1292" s="85"/>
      <c r="M1292" s="85"/>
      <c r="N1292" s="85"/>
      <c r="O1292" s="85"/>
      <c r="P1292" s="85"/>
      <c r="Q1292" s="85"/>
      <c r="R1292" s="85"/>
      <c r="S1292" s="85"/>
      <c r="T1292" s="85"/>
      <c r="V1292" s="1"/>
    </row>
    <row r="1293" spans="12:22" x14ac:dyDescent="0.3">
      <c r="L1293" s="85"/>
      <c r="M1293" s="85"/>
      <c r="N1293" s="85"/>
      <c r="O1293" s="85"/>
      <c r="P1293" s="85"/>
      <c r="Q1293" s="85"/>
      <c r="R1293" s="85"/>
      <c r="S1293" s="85"/>
      <c r="T1293" s="85"/>
      <c r="V1293" s="1"/>
    </row>
    <row r="1294" spans="12:22" x14ac:dyDescent="0.3">
      <c r="L1294" s="85"/>
      <c r="M1294" s="85"/>
      <c r="N1294" s="85"/>
      <c r="O1294" s="85"/>
      <c r="P1294" s="85"/>
      <c r="Q1294" s="85"/>
      <c r="R1294" s="85"/>
      <c r="S1294" s="85"/>
      <c r="T1294" s="85"/>
      <c r="V1294" s="1"/>
    </row>
    <row r="1295" spans="12:22" x14ac:dyDescent="0.3">
      <c r="L1295" s="85"/>
      <c r="M1295" s="85"/>
      <c r="N1295" s="85"/>
      <c r="O1295" s="85"/>
      <c r="P1295" s="85"/>
      <c r="Q1295" s="85"/>
      <c r="R1295" s="85"/>
      <c r="S1295" s="85"/>
      <c r="T1295" s="85"/>
      <c r="V1295" s="1"/>
    </row>
    <row r="1296" spans="12:22" x14ac:dyDescent="0.3">
      <c r="L1296" s="85"/>
      <c r="M1296" s="85"/>
      <c r="N1296" s="85"/>
      <c r="O1296" s="85"/>
      <c r="P1296" s="85"/>
      <c r="Q1296" s="85"/>
      <c r="R1296" s="85"/>
      <c r="S1296" s="85"/>
      <c r="T1296" s="85"/>
      <c r="V1296" s="1"/>
    </row>
    <row r="1297" spans="12:22" x14ac:dyDescent="0.3">
      <c r="L1297" s="85"/>
      <c r="M1297" s="85"/>
      <c r="N1297" s="85"/>
      <c r="O1297" s="85"/>
      <c r="P1297" s="85"/>
      <c r="Q1297" s="85"/>
      <c r="R1297" s="85"/>
      <c r="S1297" s="85"/>
      <c r="T1297" s="85"/>
      <c r="V1297" s="1"/>
    </row>
    <row r="1298" spans="12:22" x14ac:dyDescent="0.3">
      <c r="L1298" s="85"/>
      <c r="M1298" s="85"/>
      <c r="N1298" s="85"/>
      <c r="O1298" s="85"/>
      <c r="P1298" s="85"/>
      <c r="Q1298" s="85"/>
      <c r="R1298" s="85"/>
      <c r="S1298" s="85"/>
      <c r="T1298" s="85"/>
      <c r="V1298" s="1"/>
    </row>
    <row r="1299" spans="12:22" x14ac:dyDescent="0.3">
      <c r="L1299" s="85"/>
      <c r="M1299" s="85"/>
      <c r="N1299" s="85"/>
      <c r="O1299" s="85"/>
      <c r="P1299" s="85"/>
      <c r="Q1299" s="85"/>
      <c r="R1299" s="85"/>
      <c r="S1299" s="85"/>
      <c r="T1299" s="85"/>
      <c r="V1299" s="1"/>
    </row>
    <row r="1300" spans="12:22" x14ac:dyDescent="0.3">
      <c r="L1300" s="85"/>
      <c r="M1300" s="85"/>
      <c r="N1300" s="85"/>
      <c r="O1300" s="85"/>
      <c r="P1300" s="85"/>
      <c r="Q1300" s="85"/>
      <c r="R1300" s="85"/>
      <c r="S1300" s="85"/>
      <c r="T1300" s="85"/>
      <c r="V1300" s="1"/>
    </row>
    <row r="1301" spans="12:22" x14ac:dyDescent="0.3">
      <c r="L1301" s="85"/>
      <c r="M1301" s="85"/>
      <c r="N1301" s="85"/>
      <c r="O1301" s="85"/>
      <c r="P1301" s="85"/>
      <c r="Q1301" s="85"/>
      <c r="R1301" s="85"/>
      <c r="S1301" s="85"/>
      <c r="T1301" s="85"/>
      <c r="V1301" s="1"/>
    </row>
    <row r="1302" spans="12:22" x14ac:dyDescent="0.3">
      <c r="L1302" s="85"/>
      <c r="M1302" s="85"/>
      <c r="N1302" s="85"/>
      <c r="O1302" s="85"/>
      <c r="P1302" s="85"/>
      <c r="Q1302" s="85"/>
      <c r="R1302" s="85"/>
      <c r="S1302" s="85"/>
      <c r="T1302" s="85"/>
      <c r="V1302" s="1"/>
    </row>
    <row r="1303" spans="12:22" x14ac:dyDescent="0.3">
      <c r="L1303" s="85"/>
      <c r="M1303" s="85"/>
      <c r="N1303" s="85"/>
      <c r="O1303" s="85"/>
      <c r="P1303" s="85"/>
      <c r="Q1303" s="85"/>
      <c r="R1303" s="85"/>
      <c r="S1303" s="85"/>
      <c r="T1303" s="85"/>
      <c r="V1303" s="1"/>
    </row>
    <row r="1304" spans="12:22" x14ac:dyDescent="0.3">
      <c r="L1304" s="85"/>
      <c r="M1304" s="85"/>
      <c r="N1304" s="85"/>
      <c r="O1304" s="85"/>
      <c r="P1304" s="85"/>
      <c r="Q1304" s="85"/>
      <c r="R1304" s="85"/>
      <c r="S1304" s="85"/>
      <c r="T1304" s="85"/>
      <c r="V1304" s="1"/>
    </row>
    <row r="1305" spans="12:22" x14ac:dyDescent="0.3">
      <c r="L1305" s="85"/>
      <c r="M1305" s="85"/>
      <c r="N1305" s="85"/>
      <c r="O1305" s="85"/>
      <c r="P1305" s="85"/>
      <c r="Q1305" s="85"/>
      <c r="R1305" s="85"/>
      <c r="S1305" s="85"/>
      <c r="T1305" s="85"/>
      <c r="V1305" s="1"/>
    </row>
    <row r="1306" spans="12:22" x14ac:dyDescent="0.3">
      <c r="L1306" s="85"/>
      <c r="M1306" s="85"/>
      <c r="N1306" s="85"/>
      <c r="O1306" s="85"/>
      <c r="P1306" s="85"/>
      <c r="Q1306" s="85"/>
      <c r="R1306" s="85"/>
      <c r="S1306" s="85"/>
      <c r="T1306" s="85"/>
      <c r="V1306" s="1"/>
    </row>
    <row r="1307" spans="12:22" x14ac:dyDescent="0.3">
      <c r="L1307" s="85"/>
      <c r="M1307" s="85"/>
      <c r="N1307" s="85"/>
      <c r="O1307" s="85"/>
      <c r="P1307" s="85"/>
      <c r="Q1307" s="85"/>
      <c r="R1307" s="85"/>
      <c r="S1307" s="85"/>
      <c r="T1307" s="85"/>
      <c r="V1307" s="1"/>
    </row>
    <row r="1308" spans="12:22" x14ac:dyDescent="0.3">
      <c r="L1308" s="85"/>
      <c r="M1308" s="85"/>
      <c r="N1308" s="85"/>
      <c r="O1308" s="85"/>
      <c r="P1308" s="85"/>
      <c r="Q1308" s="85"/>
      <c r="R1308" s="85"/>
      <c r="S1308" s="85"/>
      <c r="T1308" s="85"/>
      <c r="V1308" s="1"/>
    </row>
    <row r="1309" spans="12:22" x14ac:dyDescent="0.3">
      <c r="L1309" s="85"/>
      <c r="M1309" s="85"/>
      <c r="N1309" s="85"/>
      <c r="O1309" s="85"/>
      <c r="P1309" s="85"/>
      <c r="Q1309" s="85"/>
      <c r="R1309" s="85"/>
      <c r="S1309" s="85"/>
      <c r="T1309" s="85"/>
      <c r="V1309" s="1"/>
    </row>
    <row r="1310" spans="12:22" x14ac:dyDescent="0.3">
      <c r="L1310" s="85"/>
      <c r="M1310" s="85"/>
      <c r="N1310" s="85"/>
      <c r="O1310" s="85"/>
      <c r="P1310" s="85"/>
      <c r="Q1310" s="85"/>
      <c r="R1310" s="85"/>
      <c r="S1310" s="85"/>
      <c r="T1310" s="85"/>
      <c r="V1310" s="1"/>
    </row>
    <row r="1311" spans="12:22" x14ac:dyDescent="0.3">
      <c r="L1311" s="85"/>
      <c r="M1311" s="85"/>
      <c r="N1311" s="85"/>
      <c r="O1311" s="85"/>
      <c r="P1311" s="85"/>
      <c r="Q1311" s="85"/>
      <c r="R1311" s="85"/>
      <c r="S1311" s="85"/>
      <c r="T1311" s="85"/>
      <c r="V1311" s="1"/>
    </row>
    <row r="1312" spans="12:22" x14ac:dyDescent="0.3">
      <c r="L1312" s="85"/>
      <c r="M1312" s="85"/>
      <c r="N1312" s="85"/>
      <c r="O1312" s="85"/>
      <c r="P1312" s="85"/>
      <c r="Q1312" s="85"/>
      <c r="R1312" s="85"/>
      <c r="S1312" s="85"/>
      <c r="T1312" s="85"/>
      <c r="V1312" s="1"/>
    </row>
    <row r="1313" spans="12:22" x14ac:dyDescent="0.3">
      <c r="L1313" s="85"/>
      <c r="M1313" s="85"/>
      <c r="N1313" s="85"/>
      <c r="O1313" s="85"/>
      <c r="P1313" s="85"/>
      <c r="Q1313" s="85"/>
      <c r="R1313" s="85"/>
      <c r="S1313" s="85"/>
      <c r="T1313" s="85"/>
      <c r="V1313" s="1"/>
    </row>
    <row r="1314" spans="12:22" x14ac:dyDescent="0.3">
      <c r="L1314" s="85"/>
      <c r="M1314" s="85"/>
      <c r="N1314" s="85"/>
      <c r="O1314" s="85"/>
      <c r="P1314" s="85"/>
      <c r="Q1314" s="85"/>
      <c r="R1314" s="85"/>
      <c r="S1314" s="85"/>
      <c r="T1314" s="85"/>
      <c r="V1314" s="1"/>
    </row>
    <row r="1315" spans="12:22" x14ac:dyDescent="0.3">
      <c r="L1315" s="85"/>
      <c r="M1315" s="85"/>
      <c r="N1315" s="85"/>
      <c r="O1315" s="85"/>
      <c r="P1315" s="85"/>
      <c r="Q1315" s="85"/>
      <c r="R1315" s="85"/>
      <c r="S1315" s="85"/>
      <c r="T1315" s="85"/>
      <c r="V1315" s="1"/>
    </row>
    <row r="1316" spans="12:22" x14ac:dyDescent="0.3">
      <c r="L1316" s="85"/>
      <c r="M1316" s="85"/>
      <c r="N1316" s="85"/>
      <c r="O1316" s="85"/>
      <c r="P1316" s="85"/>
      <c r="Q1316" s="85"/>
      <c r="R1316" s="85"/>
      <c r="S1316" s="85"/>
      <c r="T1316" s="85"/>
      <c r="V1316" s="1"/>
    </row>
    <row r="1317" spans="12:22" x14ac:dyDescent="0.3">
      <c r="L1317" s="85"/>
      <c r="M1317" s="85"/>
      <c r="N1317" s="85"/>
      <c r="O1317" s="85"/>
      <c r="P1317" s="85"/>
      <c r="Q1317" s="85"/>
      <c r="R1317" s="85"/>
      <c r="S1317" s="85"/>
      <c r="T1317" s="85"/>
      <c r="V1317" s="1"/>
    </row>
    <row r="1318" spans="12:22" x14ac:dyDescent="0.3">
      <c r="L1318" s="85"/>
      <c r="M1318" s="85"/>
      <c r="N1318" s="85"/>
      <c r="O1318" s="85"/>
      <c r="P1318" s="85"/>
      <c r="Q1318" s="85"/>
      <c r="R1318" s="85"/>
      <c r="S1318" s="85"/>
      <c r="T1318" s="85"/>
      <c r="V1318" s="1"/>
    </row>
    <row r="1319" spans="12:22" x14ac:dyDescent="0.3">
      <c r="L1319" s="85"/>
      <c r="M1319" s="85"/>
      <c r="N1319" s="85"/>
      <c r="O1319" s="85"/>
      <c r="P1319" s="85"/>
      <c r="Q1319" s="85"/>
      <c r="R1319" s="85"/>
      <c r="S1319" s="85"/>
      <c r="T1319" s="85"/>
      <c r="V1319" s="1"/>
    </row>
    <row r="1320" spans="12:22" x14ac:dyDescent="0.3">
      <c r="L1320" s="85"/>
      <c r="M1320" s="85"/>
      <c r="N1320" s="85"/>
      <c r="O1320" s="85"/>
      <c r="P1320" s="85"/>
      <c r="Q1320" s="85"/>
      <c r="R1320" s="85"/>
      <c r="S1320" s="85"/>
      <c r="T1320" s="85"/>
      <c r="V1320" s="1"/>
    </row>
    <row r="1321" spans="12:22" x14ac:dyDescent="0.3">
      <c r="L1321" s="85"/>
      <c r="M1321" s="85"/>
      <c r="N1321" s="85"/>
      <c r="O1321" s="85"/>
      <c r="P1321" s="85"/>
      <c r="Q1321" s="85"/>
      <c r="R1321" s="85"/>
      <c r="S1321" s="85"/>
      <c r="T1321" s="85"/>
      <c r="V1321" s="1"/>
    </row>
    <row r="1322" spans="12:22" x14ac:dyDescent="0.3">
      <c r="L1322" s="85"/>
      <c r="M1322" s="85"/>
      <c r="N1322" s="85"/>
      <c r="O1322" s="85"/>
      <c r="P1322" s="85"/>
      <c r="Q1322" s="85"/>
      <c r="R1322" s="85"/>
      <c r="S1322" s="85"/>
      <c r="T1322" s="85"/>
      <c r="V1322" s="1"/>
    </row>
    <row r="1323" spans="12:22" x14ac:dyDescent="0.3">
      <c r="L1323" s="85"/>
      <c r="M1323" s="85"/>
      <c r="N1323" s="85"/>
      <c r="O1323" s="85"/>
      <c r="P1323" s="85"/>
      <c r="Q1323" s="85"/>
      <c r="R1323" s="85"/>
      <c r="S1323" s="85"/>
      <c r="T1323" s="85"/>
      <c r="V1323" s="1"/>
    </row>
    <row r="1324" spans="12:22" x14ac:dyDescent="0.3">
      <c r="L1324" s="85"/>
      <c r="M1324" s="85"/>
      <c r="N1324" s="85"/>
      <c r="O1324" s="85"/>
      <c r="P1324" s="85"/>
      <c r="Q1324" s="85"/>
      <c r="R1324" s="85"/>
      <c r="S1324" s="85"/>
      <c r="T1324" s="85"/>
      <c r="V1324" s="1"/>
    </row>
    <row r="1325" spans="12:22" x14ac:dyDescent="0.3">
      <c r="L1325" s="85"/>
      <c r="M1325" s="85"/>
      <c r="N1325" s="85"/>
      <c r="O1325" s="85"/>
      <c r="P1325" s="85"/>
      <c r="Q1325" s="85"/>
      <c r="R1325" s="85"/>
      <c r="S1325" s="85"/>
      <c r="T1325" s="85"/>
      <c r="V1325" s="1"/>
    </row>
    <row r="1326" spans="12:22" x14ac:dyDescent="0.3">
      <c r="L1326" s="85"/>
      <c r="M1326" s="85"/>
      <c r="N1326" s="85"/>
      <c r="O1326" s="85"/>
      <c r="P1326" s="85"/>
      <c r="Q1326" s="85"/>
      <c r="R1326" s="85"/>
      <c r="S1326" s="85"/>
      <c r="T1326" s="85"/>
      <c r="V1326" s="1"/>
    </row>
    <row r="1327" spans="12:22" x14ac:dyDescent="0.3">
      <c r="L1327" s="85"/>
      <c r="M1327" s="85"/>
      <c r="N1327" s="85"/>
      <c r="O1327" s="85"/>
      <c r="P1327" s="85"/>
      <c r="Q1327" s="85"/>
      <c r="R1327" s="85"/>
      <c r="S1327" s="85"/>
      <c r="T1327" s="85"/>
      <c r="V1327" s="1"/>
    </row>
    <row r="1328" spans="12:22" x14ac:dyDescent="0.3">
      <c r="L1328" s="85"/>
      <c r="M1328" s="85"/>
      <c r="N1328" s="85"/>
      <c r="O1328" s="85"/>
      <c r="P1328" s="85"/>
      <c r="Q1328" s="85"/>
      <c r="R1328" s="85"/>
      <c r="S1328" s="85"/>
      <c r="T1328" s="85"/>
      <c r="V1328" s="1"/>
    </row>
    <row r="1329" spans="12:22" x14ac:dyDescent="0.3">
      <c r="L1329" s="85"/>
      <c r="M1329" s="85"/>
      <c r="N1329" s="85"/>
      <c r="O1329" s="85"/>
      <c r="P1329" s="85"/>
      <c r="Q1329" s="85"/>
      <c r="R1329" s="85"/>
      <c r="S1329" s="85"/>
      <c r="T1329" s="85"/>
      <c r="V1329" s="1"/>
    </row>
    <row r="1330" spans="12:22" x14ac:dyDescent="0.3">
      <c r="L1330" s="85"/>
      <c r="M1330" s="85"/>
      <c r="N1330" s="85"/>
      <c r="O1330" s="85"/>
      <c r="P1330" s="85"/>
      <c r="Q1330" s="85"/>
      <c r="R1330" s="85"/>
      <c r="S1330" s="85"/>
      <c r="T1330" s="85"/>
      <c r="V1330" s="1"/>
    </row>
    <row r="1331" spans="12:22" x14ac:dyDescent="0.3">
      <c r="L1331" s="85"/>
      <c r="M1331" s="85"/>
      <c r="N1331" s="85"/>
      <c r="O1331" s="85"/>
      <c r="P1331" s="85"/>
      <c r="Q1331" s="85"/>
      <c r="R1331" s="85"/>
      <c r="S1331" s="85"/>
      <c r="T1331" s="85"/>
      <c r="V1331" s="1"/>
    </row>
    <row r="1332" spans="12:22" x14ac:dyDescent="0.3">
      <c r="L1332" s="85"/>
      <c r="M1332" s="85"/>
      <c r="N1332" s="85"/>
      <c r="O1332" s="85"/>
      <c r="P1332" s="85"/>
      <c r="Q1332" s="85"/>
      <c r="R1332" s="85"/>
      <c r="S1332" s="85"/>
      <c r="T1332" s="85"/>
      <c r="V1332" s="1"/>
    </row>
    <row r="1333" spans="12:22" x14ac:dyDescent="0.3">
      <c r="L1333" s="85"/>
      <c r="M1333" s="85"/>
      <c r="N1333" s="85"/>
      <c r="O1333" s="85"/>
      <c r="P1333" s="85"/>
      <c r="Q1333" s="85"/>
      <c r="R1333" s="85"/>
      <c r="S1333" s="85"/>
      <c r="T1333" s="85"/>
      <c r="V1333" s="1"/>
    </row>
    <row r="1334" spans="12:22" x14ac:dyDescent="0.3">
      <c r="L1334" s="85"/>
      <c r="M1334" s="85"/>
      <c r="N1334" s="85"/>
      <c r="O1334" s="85"/>
      <c r="P1334" s="85"/>
      <c r="Q1334" s="85"/>
      <c r="R1334" s="85"/>
      <c r="S1334" s="85"/>
      <c r="T1334" s="85"/>
      <c r="V1334" s="1"/>
    </row>
    <row r="1335" spans="12:22" x14ac:dyDescent="0.3">
      <c r="L1335" s="85"/>
      <c r="M1335" s="85"/>
      <c r="N1335" s="85"/>
      <c r="O1335" s="85"/>
      <c r="P1335" s="85"/>
      <c r="Q1335" s="85"/>
      <c r="R1335" s="85"/>
      <c r="S1335" s="85"/>
      <c r="T1335" s="85"/>
      <c r="V1335" s="1"/>
    </row>
    <row r="1336" spans="12:22" x14ac:dyDescent="0.3">
      <c r="L1336" s="85"/>
      <c r="M1336" s="85"/>
      <c r="N1336" s="85"/>
      <c r="O1336" s="85"/>
      <c r="P1336" s="85"/>
      <c r="Q1336" s="85"/>
      <c r="R1336" s="85"/>
      <c r="S1336" s="85"/>
      <c r="T1336" s="85"/>
      <c r="V1336" s="1"/>
    </row>
    <row r="1337" spans="12:22" x14ac:dyDescent="0.3">
      <c r="L1337" s="85"/>
      <c r="M1337" s="85"/>
      <c r="N1337" s="85"/>
      <c r="O1337" s="85"/>
      <c r="P1337" s="85"/>
      <c r="Q1337" s="85"/>
      <c r="R1337" s="85"/>
      <c r="S1337" s="85"/>
      <c r="T1337" s="85"/>
      <c r="V1337" s="1"/>
    </row>
    <row r="1338" spans="12:22" x14ac:dyDescent="0.3">
      <c r="L1338" s="85"/>
      <c r="M1338" s="85"/>
      <c r="N1338" s="85"/>
      <c r="O1338" s="85"/>
      <c r="P1338" s="85"/>
      <c r="Q1338" s="85"/>
      <c r="R1338" s="85"/>
      <c r="S1338" s="85"/>
      <c r="T1338" s="85"/>
      <c r="V1338" s="1"/>
    </row>
    <row r="1339" spans="12:22" x14ac:dyDescent="0.3">
      <c r="L1339" s="85"/>
      <c r="M1339" s="85"/>
      <c r="N1339" s="85"/>
      <c r="O1339" s="85"/>
      <c r="P1339" s="85"/>
      <c r="Q1339" s="85"/>
      <c r="R1339" s="85"/>
      <c r="S1339" s="85"/>
      <c r="T1339" s="85"/>
      <c r="V1339" s="1"/>
    </row>
    <row r="1340" spans="12:22" x14ac:dyDescent="0.3">
      <c r="L1340" s="85"/>
      <c r="M1340" s="85"/>
      <c r="N1340" s="85"/>
      <c r="O1340" s="85"/>
      <c r="P1340" s="85"/>
      <c r="Q1340" s="85"/>
      <c r="R1340" s="85"/>
      <c r="S1340" s="85"/>
      <c r="T1340" s="85"/>
      <c r="V1340" s="1"/>
    </row>
    <row r="1341" spans="12:22" x14ac:dyDescent="0.3">
      <c r="L1341" s="85"/>
      <c r="M1341" s="85"/>
      <c r="N1341" s="85"/>
      <c r="O1341" s="85"/>
      <c r="P1341" s="85"/>
      <c r="Q1341" s="85"/>
      <c r="R1341" s="85"/>
      <c r="S1341" s="85"/>
      <c r="T1341" s="85"/>
      <c r="V1341" s="1"/>
    </row>
    <row r="1342" spans="12:22" x14ac:dyDescent="0.3">
      <c r="L1342" s="85"/>
      <c r="M1342" s="85"/>
      <c r="N1342" s="85"/>
      <c r="O1342" s="85"/>
      <c r="P1342" s="85"/>
      <c r="Q1342" s="85"/>
      <c r="R1342" s="85"/>
      <c r="S1342" s="85"/>
      <c r="T1342" s="85"/>
      <c r="V1342" s="1"/>
    </row>
    <row r="1343" spans="12:22" x14ac:dyDescent="0.3">
      <c r="L1343" s="85"/>
      <c r="M1343" s="85"/>
      <c r="N1343" s="85"/>
      <c r="O1343" s="85"/>
      <c r="P1343" s="85"/>
      <c r="Q1343" s="85"/>
      <c r="R1343" s="85"/>
      <c r="S1343" s="85"/>
      <c r="T1343" s="85"/>
      <c r="V1343" s="1"/>
    </row>
    <row r="1344" spans="12:22" x14ac:dyDescent="0.3">
      <c r="L1344" s="85"/>
      <c r="M1344" s="85"/>
      <c r="N1344" s="85"/>
      <c r="O1344" s="85"/>
      <c r="P1344" s="85"/>
      <c r="Q1344" s="85"/>
      <c r="R1344" s="85"/>
      <c r="S1344" s="85"/>
      <c r="T1344" s="85"/>
      <c r="V1344" s="1"/>
    </row>
    <row r="1345" spans="12:22" x14ac:dyDescent="0.3">
      <c r="L1345" s="85"/>
      <c r="M1345" s="85"/>
      <c r="N1345" s="85"/>
      <c r="O1345" s="85"/>
      <c r="P1345" s="85"/>
      <c r="Q1345" s="85"/>
      <c r="R1345" s="85"/>
      <c r="S1345" s="85"/>
      <c r="T1345" s="85"/>
      <c r="V1345" s="1"/>
    </row>
    <row r="1346" spans="12:22" x14ac:dyDescent="0.3">
      <c r="L1346" s="85"/>
      <c r="M1346" s="85"/>
      <c r="N1346" s="85"/>
      <c r="O1346" s="85"/>
      <c r="P1346" s="85"/>
      <c r="Q1346" s="85"/>
      <c r="R1346" s="85"/>
      <c r="S1346" s="85"/>
      <c r="T1346" s="85"/>
      <c r="V1346" s="1"/>
    </row>
    <row r="1347" spans="12:22" x14ac:dyDescent="0.3">
      <c r="L1347" s="85"/>
      <c r="M1347" s="85"/>
      <c r="N1347" s="85"/>
      <c r="O1347" s="85"/>
      <c r="P1347" s="85"/>
      <c r="Q1347" s="85"/>
      <c r="R1347" s="85"/>
      <c r="S1347" s="85"/>
      <c r="T1347" s="85"/>
      <c r="V1347" s="1"/>
    </row>
    <row r="1348" spans="12:22" x14ac:dyDescent="0.3">
      <c r="L1348" s="85"/>
      <c r="M1348" s="85"/>
      <c r="N1348" s="85"/>
      <c r="O1348" s="85"/>
      <c r="P1348" s="85"/>
      <c r="Q1348" s="85"/>
      <c r="R1348" s="85"/>
      <c r="S1348" s="85"/>
      <c r="T1348" s="85"/>
      <c r="V1348" s="1"/>
    </row>
    <row r="1349" spans="12:22" x14ac:dyDescent="0.3">
      <c r="L1349" s="85"/>
      <c r="M1349" s="85"/>
      <c r="N1349" s="85"/>
      <c r="O1349" s="85"/>
      <c r="P1349" s="85"/>
      <c r="Q1349" s="85"/>
      <c r="R1349" s="85"/>
      <c r="S1349" s="85"/>
      <c r="T1349" s="85"/>
      <c r="V1349" s="1"/>
    </row>
    <row r="1350" spans="12:22" x14ac:dyDescent="0.3">
      <c r="L1350" s="85"/>
      <c r="M1350" s="85"/>
      <c r="N1350" s="85"/>
      <c r="O1350" s="85"/>
      <c r="P1350" s="85"/>
      <c r="Q1350" s="85"/>
      <c r="R1350" s="85"/>
      <c r="S1350" s="85"/>
      <c r="T1350" s="85"/>
      <c r="V1350" s="1"/>
    </row>
    <row r="1351" spans="12:22" x14ac:dyDescent="0.3">
      <c r="L1351" s="85"/>
      <c r="M1351" s="85"/>
      <c r="N1351" s="85"/>
      <c r="O1351" s="85"/>
      <c r="P1351" s="85"/>
      <c r="Q1351" s="85"/>
      <c r="R1351" s="85"/>
      <c r="S1351" s="85"/>
      <c r="T1351" s="85"/>
      <c r="V1351" s="1"/>
    </row>
    <row r="1352" spans="12:22" x14ac:dyDescent="0.3">
      <c r="L1352" s="85"/>
      <c r="M1352" s="85"/>
      <c r="N1352" s="85"/>
      <c r="O1352" s="85"/>
      <c r="P1352" s="85"/>
      <c r="Q1352" s="85"/>
      <c r="R1352" s="85"/>
      <c r="S1352" s="85"/>
      <c r="T1352" s="85"/>
      <c r="V1352" s="1"/>
    </row>
    <row r="1353" spans="12:22" x14ac:dyDescent="0.3">
      <c r="L1353" s="85"/>
      <c r="M1353" s="85"/>
      <c r="N1353" s="85"/>
      <c r="O1353" s="85"/>
      <c r="P1353" s="85"/>
      <c r="Q1353" s="85"/>
      <c r="R1353" s="85"/>
      <c r="S1353" s="85"/>
      <c r="T1353" s="85"/>
      <c r="V1353" s="1"/>
    </row>
    <row r="1354" spans="12:22" x14ac:dyDescent="0.3">
      <c r="L1354" s="85"/>
      <c r="M1354" s="85"/>
      <c r="N1354" s="85"/>
      <c r="O1354" s="85"/>
      <c r="P1354" s="85"/>
      <c r="Q1354" s="85"/>
      <c r="R1354" s="85"/>
      <c r="S1354" s="85"/>
      <c r="T1354" s="85"/>
      <c r="V1354" s="1"/>
    </row>
    <row r="1355" spans="12:22" x14ac:dyDescent="0.3">
      <c r="L1355" s="85"/>
      <c r="M1355" s="85"/>
      <c r="N1355" s="85"/>
      <c r="O1355" s="85"/>
      <c r="P1355" s="85"/>
      <c r="Q1355" s="85"/>
      <c r="R1355" s="85"/>
      <c r="S1355" s="85"/>
      <c r="T1355" s="85"/>
      <c r="V1355" s="1"/>
    </row>
    <row r="1356" spans="12:22" x14ac:dyDescent="0.3">
      <c r="L1356" s="85"/>
      <c r="M1356" s="85"/>
      <c r="N1356" s="85"/>
      <c r="O1356" s="85"/>
      <c r="P1356" s="85"/>
      <c r="Q1356" s="85"/>
      <c r="R1356" s="85"/>
      <c r="S1356" s="85"/>
      <c r="T1356" s="85"/>
      <c r="V1356" s="1"/>
    </row>
    <row r="1357" spans="12:22" x14ac:dyDescent="0.3">
      <c r="L1357" s="85"/>
      <c r="M1357" s="85"/>
      <c r="N1357" s="85"/>
      <c r="O1357" s="85"/>
      <c r="P1357" s="85"/>
      <c r="Q1357" s="85"/>
      <c r="R1357" s="85"/>
      <c r="S1357" s="85"/>
      <c r="T1357" s="85"/>
      <c r="V1357" s="1"/>
    </row>
    <row r="1358" spans="12:22" x14ac:dyDescent="0.3">
      <c r="L1358" s="85"/>
      <c r="M1358" s="85"/>
      <c r="N1358" s="85"/>
      <c r="O1358" s="85"/>
      <c r="P1358" s="85"/>
      <c r="Q1358" s="85"/>
      <c r="R1358" s="85"/>
      <c r="S1358" s="85"/>
      <c r="T1358" s="85"/>
      <c r="V1358" s="1"/>
    </row>
    <row r="1359" spans="12:22" x14ac:dyDescent="0.3">
      <c r="L1359" s="85"/>
      <c r="M1359" s="85"/>
      <c r="N1359" s="85"/>
      <c r="O1359" s="85"/>
      <c r="P1359" s="85"/>
      <c r="Q1359" s="85"/>
      <c r="R1359" s="85"/>
      <c r="S1359" s="85"/>
      <c r="T1359" s="85"/>
      <c r="V1359" s="1"/>
    </row>
    <row r="1360" spans="12:22" x14ac:dyDescent="0.3">
      <c r="L1360" s="85"/>
      <c r="M1360" s="85"/>
      <c r="N1360" s="85"/>
      <c r="O1360" s="85"/>
      <c r="P1360" s="85"/>
      <c r="Q1360" s="85"/>
      <c r="R1360" s="85"/>
      <c r="S1360" s="85"/>
      <c r="T1360" s="85"/>
      <c r="V1360" s="1"/>
    </row>
    <row r="1361" spans="12:22" x14ac:dyDescent="0.3">
      <c r="L1361" s="85"/>
      <c r="M1361" s="85"/>
      <c r="N1361" s="85"/>
      <c r="O1361" s="85"/>
      <c r="P1361" s="85"/>
      <c r="Q1361" s="85"/>
      <c r="R1361" s="85"/>
      <c r="S1361" s="85"/>
      <c r="T1361" s="85"/>
      <c r="V1361" s="1"/>
    </row>
    <row r="1362" spans="12:22" x14ac:dyDescent="0.3">
      <c r="L1362" s="85"/>
      <c r="M1362" s="85"/>
      <c r="N1362" s="85"/>
      <c r="O1362" s="85"/>
      <c r="P1362" s="85"/>
      <c r="Q1362" s="85"/>
      <c r="R1362" s="85"/>
      <c r="S1362" s="85"/>
      <c r="T1362" s="85"/>
      <c r="V1362" s="1"/>
    </row>
    <row r="1363" spans="12:22" x14ac:dyDescent="0.3">
      <c r="L1363" s="85"/>
      <c r="M1363" s="85"/>
      <c r="N1363" s="85"/>
      <c r="O1363" s="85"/>
      <c r="P1363" s="85"/>
      <c r="Q1363" s="85"/>
      <c r="R1363" s="85"/>
      <c r="S1363" s="85"/>
      <c r="T1363" s="85"/>
      <c r="V1363" s="1"/>
    </row>
    <row r="1364" spans="12:22" x14ac:dyDescent="0.3">
      <c r="L1364" s="85"/>
      <c r="M1364" s="85"/>
      <c r="N1364" s="85"/>
      <c r="O1364" s="85"/>
      <c r="P1364" s="85"/>
      <c r="Q1364" s="85"/>
      <c r="R1364" s="85"/>
      <c r="S1364" s="85"/>
      <c r="T1364" s="85"/>
      <c r="V1364" s="1"/>
    </row>
    <row r="1365" spans="12:22" x14ac:dyDescent="0.3">
      <c r="L1365" s="85"/>
      <c r="M1365" s="85"/>
      <c r="N1365" s="85"/>
      <c r="O1365" s="85"/>
      <c r="P1365" s="85"/>
      <c r="Q1365" s="85"/>
      <c r="R1365" s="85"/>
      <c r="S1365" s="85"/>
      <c r="T1365" s="85"/>
      <c r="V1365" s="1"/>
    </row>
    <row r="1366" spans="12:22" x14ac:dyDescent="0.3">
      <c r="L1366" s="85"/>
      <c r="M1366" s="85"/>
      <c r="N1366" s="85"/>
      <c r="O1366" s="85"/>
      <c r="P1366" s="85"/>
      <c r="Q1366" s="85"/>
      <c r="R1366" s="85"/>
      <c r="S1366" s="85"/>
      <c r="T1366" s="85"/>
      <c r="V1366" s="1"/>
    </row>
    <row r="1367" spans="12:22" x14ac:dyDescent="0.3">
      <c r="L1367" s="85"/>
      <c r="M1367" s="85"/>
      <c r="N1367" s="85"/>
      <c r="O1367" s="85"/>
      <c r="P1367" s="85"/>
      <c r="Q1367" s="85"/>
      <c r="R1367" s="85"/>
      <c r="S1367" s="85"/>
      <c r="T1367" s="85"/>
      <c r="V1367" s="1"/>
    </row>
    <row r="1368" spans="12:22" x14ac:dyDescent="0.3">
      <c r="L1368" s="85"/>
      <c r="M1368" s="85"/>
      <c r="N1368" s="85"/>
      <c r="O1368" s="85"/>
      <c r="P1368" s="85"/>
      <c r="Q1368" s="85"/>
      <c r="R1368" s="85"/>
      <c r="S1368" s="85"/>
      <c r="T1368" s="85"/>
      <c r="V1368" s="1"/>
    </row>
    <row r="1369" spans="12:22" x14ac:dyDescent="0.3">
      <c r="L1369" s="85"/>
      <c r="M1369" s="85"/>
      <c r="N1369" s="85"/>
      <c r="O1369" s="85"/>
      <c r="P1369" s="85"/>
      <c r="Q1369" s="85"/>
      <c r="R1369" s="85"/>
      <c r="S1369" s="85"/>
      <c r="T1369" s="85"/>
      <c r="V1369" s="1"/>
    </row>
    <row r="1370" spans="12:22" x14ac:dyDescent="0.3">
      <c r="L1370" s="85"/>
      <c r="M1370" s="85"/>
      <c r="N1370" s="85"/>
      <c r="O1370" s="85"/>
      <c r="P1370" s="85"/>
      <c r="Q1370" s="85"/>
      <c r="R1370" s="85"/>
      <c r="S1370" s="85"/>
      <c r="T1370" s="85"/>
      <c r="V1370" s="1"/>
    </row>
    <row r="1371" spans="12:22" x14ac:dyDescent="0.3">
      <c r="L1371" s="85"/>
      <c r="M1371" s="85"/>
      <c r="N1371" s="85"/>
      <c r="O1371" s="85"/>
      <c r="P1371" s="85"/>
      <c r="Q1371" s="85"/>
      <c r="R1371" s="85"/>
      <c r="S1371" s="85"/>
      <c r="T1371" s="85"/>
      <c r="V1371" s="1"/>
    </row>
    <row r="1372" spans="12:22" x14ac:dyDescent="0.3">
      <c r="L1372" s="85"/>
      <c r="M1372" s="85"/>
      <c r="N1372" s="85"/>
      <c r="O1372" s="85"/>
      <c r="P1372" s="85"/>
      <c r="Q1372" s="85"/>
      <c r="R1372" s="85"/>
      <c r="S1372" s="85"/>
      <c r="T1372" s="85"/>
      <c r="V1372" s="1"/>
    </row>
    <row r="1373" spans="12:22" x14ac:dyDescent="0.3">
      <c r="L1373" s="85"/>
      <c r="M1373" s="85"/>
      <c r="N1373" s="85"/>
      <c r="O1373" s="85"/>
      <c r="P1373" s="85"/>
      <c r="Q1373" s="85"/>
      <c r="R1373" s="85"/>
      <c r="S1373" s="85"/>
      <c r="T1373" s="85"/>
      <c r="V1373" s="1"/>
    </row>
    <row r="1374" spans="12:22" x14ac:dyDescent="0.3">
      <c r="L1374" s="85"/>
      <c r="M1374" s="85"/>
      <c r="N1374" s="85"/>
      <c r="O1374" s="85"/>
      <c r="P1374" s="85"/>
      <c r="Q1374" s="85"/>
      <c r="R1374" s="85"/>
      <c r="S1374" s="85"/>
      <c r="T1374" s="85"/>
    </row>
    <row r="1375" spans="12:22" x14ac:dyDescent="0.3">
      <c r="L1375" s="85"/>
      <c r="M1375" s="85"/>
      <c r="N1375" s="85"/>
      <c r="O1375" s="85"/>
      <c r="P1375" s="85"/>
      <c r="Q1375" s="85"/>
      <c r="R1375" s="85"/>
      <c r="S1375" s="85"/>
      <c r="T1375" s="85"/>
    </row>
    <row r="1376" spans="12:22" x14ac:dyDescent="0.3">
      <c r="L1376" s="85"/>
      <c r="M1376" s="85"/>
      <c r="N1376" s="85"/>
      <c r="O1376" s="85"/>
      <c r="P1376" s="85"/>
      <c r="Q1376" s="85"/>
      <c r="R1376" s="85"/>
      <c r="S1376" s="85"/>
      <c r="T1376" s="85"/>
    </row>
    <row r="1377" spans="12:20" x14ac:dyDescent="0.3">
      <c r="L1377" s="85"/>
      <c r="M1377" s="85"/>
      <c r="N1377" s="85"/>
      <c r="O1377" s="85"/>
      <c r="P1377" s="85"/>
      <c r="Q1377" s="85"/>
      <c r="R1377" s="85"/>
      <c r="S1377" s="85"/>
      <c r="T1377" s="85"/>
    </row>
    <row r="1378" spans="12:20" x14ac:dyDescent="0.3">
      <c r="L1378" s="85"/>
      <c r="M1378" s="85"/>
      <c r="N1378" s="85"/>
      <c r="O1378" s="85"/>
      <c r="P1378" s="85"/>
      <c r="Q1378" s="85"/>
      <c r="R1378" s="85"/>
      <c r="S1378" s="85"/>
      <c r="T1378" s="85"/>
    </row>
    <row r="1379" spans="12:20" x14ac:dyDescent="0.3">
      <c r="L1379" s="85"/>
      <c r="M1379" s="85"/>
      <c r="N1379" s="85"/>
      <c r="O1379" s="85"/>
      <c r="P1379" s="85"/>
      <c r="Q1379" s="85"/>
      <c r="R1379" s="85"/>
      <c r="S1379" s="85"/>
      <c r="T1379" s="85"/>
    </row>
    <row r="1380" spans="12:20" x14ac:dyDescent="0.3">
      <c r="L1380" s="85"/>
      <c r="M1380" s="85"/>
      <c r="N1380" s="85"/>
      <c r="O1380" s="85"/>
      <c r="P1380" s="85"/>
      <c r="Q1380" s="85"/>
      <c r="R1380" s="85"/>
      <c r="S1380" s="85"/>
      <c r="T1380" s="85"/>
    </row>
    <row r="1381" spans="12:20" x14ac:dyDescent="0.3">
      <c r="L1381" s="85"/>
      <c r="M1381" s="85"/>
      <c r="N1381" s="85"/>
      <c r="O1381" s="85"/>
      <c r="P1381" s="85"/>
      <c r="Q1381" s="85"/>
      <c r="R1381" s="85"/>
      <c r="S1381" s="85"/>
      <c r="T1381" s="85"/>
    </row>
    <row r="1382" spans="12:20" x14ac:dyDescent="0.3">
      <c r="L1382" s="85"/>
      <c r="M1382" s="85"/>
      <c r="N1382" s="85"/>
      <c r="O1382" s="85"/>
      <c r="P1382" s="85"/>
      <c r="Q1382" s="85"/>
      <c r="R1382" s="85"/>
      <c r="S1382" s="85"/>
      <c r="T1382" s="85"/>
    </row>
    <row r="1383" spans="12:20" x14ac:dyDescent="0.3">
      <c r="L1383" s="85"/>
      <c r="M1383" s="85"/>
      <c r="N1383" s="85"/>
      <c r="O1383" s="85"/>
      <c r="P1383" s="85"/>
      <c r="Q1383" s="85"/>
      <c r="R1383" s="85"/>
      <c r="S1383" s="85"/>
      <c r="T1383" s="85"/>
    </row>
    <row r="1384" spans="12:20" x14ac:dyDescent="0.3">
      <c r="L1384" s="85"/>
      <c r="M1384" s="85"/>
      <c r="N1384" s="85"/>
      <c r="O1384" s="85"/>
      <c r="P1384" s="85"/>
      <c r="Q1384" s="85"/>
      <c r="R1384" s="85"/>
      <c r="S1384" s="85"/>
      <c r="T1384" s="85"/>
    </row>
    <row r="1385" spans="12:20" x14ac:dyDescent="0.3">
      <c r="L1385" s="85"/>
      <c r="M1385" s="85"/>
      <c r="N1385" s="85"/>
      <c r="O1385" s="85"/>
      <c r="P1385" s="85"/>
      <c r="Q1385" s="85"/>
      <c r="R1385" s="85"/>
      <c r="S1385" s="85"/>
      <c r="T1385" s="85"/>
    </row>
    <row r="1386" spans="12:20" x14ac:dyDescent="0.3">
      <c r="L1386" s="85"/>
      <c r="M1386" s="85"/>
      <c r="N1386" s="85"/>
      <c r="O1386" s="85"/>
      <c r="P1386" s="85"/>
      <c r="Q1386" s="85"/>
      <c r="R1386" s="85"/>
      <c r="S1386" s="85"/>
      <c r="T1386" s="85"/>
    </row>
    <row r="1387" spans="12:20" x14ac:dyDescent="0.3">
      <c r="L1387" s="85"/>
      <c r="M1387" s="85"/>
      <c r="N1387" s="85"/>
      <c r="O1387" s="85"/>
      <c r="P1387" s="85"/>
      <c r="Q1387" s="85"/>
      <c r="R1387" s="85"/>
      <c r="S1387" s="85"/>
      <c r="T1387" s="85"/>
    </row>
    <row r="1388" spans="12:20" x14ac:dyDescent="0.3">
      <c r="L1388" s="85"/>
      <c r="M1388" s="85"/>
      <c r="N1388" s="85"/>
      <c r="O1388" s="85"/>
      <c r="P1388" s="85"/>
      <c r="Q1388" s="85"/>
      <c r="R1388" s="85"/>
      <c r="S1388" s="85"/>
      <c r="T1388" s="85"/>
    </row>
    <row r="1389" spans="12:20" x14ac:dyDescent="0.3">
      <c r="L1389" s="85"/>
      <c r="M1389" s="85"/>
      <c r="N1389" s="85"/>
      <c r="O1389" s="85"/>
      <c r="P1389" s="85"/>
      <c r="Q1389" s="85"/>
      <c r="R1389" s="85"/>
      <c r="S1389" s="85"/>
      <c r="T1389" s="85"/>
    </row>
    <row r="1390" spans="12:20" x14ac:dyDescent="0.3">
      <c r="L1390" s="85"/>
      <c r="M1390" s="85"/>
      <c r="N1390" s="85"/>
      <c r="O1390" s="85"/>
      <c r="P1390" s="85"/>
      <c r="Q1390" s="85"/>
      <c r="R1390" s="85"/>
      <c r="S1390" s="85"/>
      <c r="T1390" s="85"/>
    </row>
    <row r="1391" spans="12:20" x14ac:dyDescent="0.3">
      <c r="L1391" s="85"/>
      <c r="M1391" s="85"/>
      <c r="N1391" s="85"/>
      <c r="O1391" s="85"/>
      <c r="P1391" s="85"/>
      <c r="Q1391" s="85"/>
      <c r="R1391" s="85"/>
      <c r="S1391" s="85"/>
      <c r="T1391" s="85"/>
    </row>
    <row r="1392" spans="12:20" x14ac:dyDescent="0.3">
      <c r="L1392" s="85"/>
      <c r="M1392" s="85"/>
      <c r="N1392" s="85"/>
      <c r="O1392" s="85"/>
      <c r="P1392" s="85"/>
      <c r="Q1392" s="85"/>
      <c r="R1392" s="85"/>
      <c r="S1392" s="85"/>
      <c r="T1392" s="85"/>
    </row>
    <row r="1393" spans="12:20" x14ac:dyDescent="0.3">
      <c r="L1393" s="85"/>
      <c r="M1393" s="85"/>
      <c r="N1393" s="85"/>
      <c r="O1393" s="85"/>
      <c r="P1393" s="85"/>
      <c r="Q1393" s="85"/>
      <c r="R1393" s="85"/>
      <c r="S1393" s="85"/>
      <c r="T1393" s="85"/>
    </row>
    <row r="1394" spans="12:20" x14ac:dyDescent="0.3">
      <c r="L1394" s="85"/>
      <c r="M1394" s="85"/>
      <c r="N1394" s="85"/>
      <c r="O1394" s="85"/>
      <c r="P1394" s="85"/>
      <c r="Q1394" s="85"/>
      <c r="R1394" s="85"/>
      <c r="S1394" s="85"/>
      <c r="T1394" s="85"/>
    </row>
    <row r="1395" spans="12:20" x14ac:dyDescent="0.3">
      <c r="L1395" s="85"/>
      <c r="M1395" s="85"/>
      <c r="N1395" s="85"/>
      <c r="O1395" s="85"/>
      <c r="P1395" s="85"/>
      <c r="Q1395" s="85"/>
      <c r="R1395" s="85"/>
      <c r="S1395" s="85"/>
      <c r="T1395" s="85"/>
    </row>
    <row r="1396" spans="12:20" x14ac:dyDescent="0.3">
      <c r="L1396" s="85"/>
      <c r="M1396" s="85"/>
      <c r="N1396" s="85"/>
      <c r="O1396" s="85"/>
      <c r="P1396" s="85"/>
      <c r="Q1396" s="85"/>
      <c r="R1396" s="85"/>
      <c r="S1396" s="85"/>
      <c r="T1396" s="85"/>
    </row>
    <row r="1397" spans="12:20" x14ac:dyDescent="0.3">
      <c r="L1397" s="85"/>
      <c r="M1397" s="85"/>
      <c r="N1397" s="85"/>
      <c r="O1397" s="85"/>
      <c r="P1397" s="85"/>
      <c r="Q1397" s="85"/>
      <c r="R1397" s="85"/>
      <c r="S1397" s="85"/>
      <c r="T1397" s="85"/>
    </row>
    <row r="1398" spans="12:20" x14ac:dyDescent="0.3">
      <c r="L1398" s="85"/>
      <c r="M1398" s="85"/>
      <c r="N1398" s="85"/>
      <c r="O1398" s="85"/>
      <c r="P1398" s="85"/>
      <c r="Q1398" s="85"/>
      <c r="R1398" s="85"/>
      <c r="S1398" s="85"/>
      <c r="T1398" s="85"/>
    </row>
    <row r="1399" spans="12:20" x14ac:dyDescent="0.3">
      <c r="L1399" s="85"/>
      <c r="M1399" s="85"/>
      <c r="N1399" s="85"/>
      <c r="O1399" s="85"/>
      <c r="P1399" s="85"/>
      <c r="Q1399" s="85"/>
      <c r="R1399" s="85"/>
      <c r="S1399" s="85"/>
      <c r="T1399" s="85"/>
    </row>
    <row r="1400" spans="12:20" x14ac:dyDescent="0.3">
      <c r="L1400" s="85"/>
      <c r="M1400" s="85"/>
      <c r="N1400" s="85"/>
      <c r="O1400" s="85"/>
      <c r="P1400" s="85"/>
      <c r="Q1400" s="85"/>
      <c r="R1400" s="85"/>
      <c r="S1400" s="85"/>
      <c r="T1400" s="85"/>
    </row>
    <row r="1401" spans="12:20" x14ac:dyDescent="0.3">
      <c r="L1401" s="85"/>
      <c r="M1401" s="85"/>
      <c r="N1401" s="85"/>
      <c r="O1401" s="85"/>
      <c r="P1401" s="85"/>
      <c r="Q1401" s="85"/>
      <c r="R1401" s="85"/>
      <c r="S1401" s="85"/>
      <c r="T1401" s="85"/>
    </row>
    <row r="1402" spans="12:20" x14ac:dyDescent="0.3">
      <c r="L1402" s="85"/>
      <c r="M1402" s="85"/>
      <c r="N1402" s="85"/>
      <c r="O1402" s="85"/>
      <c r="P1402" s="85"/>
      <c r="Q1402" s="85"/>
      <c r="R1402" s="85"/>
      <c r="S1402" s="85"/>
      <c r="T1402" s="85"/>
    </row>
    <row r="1403" spans="12:20" x14ac:dyDescent="0.3">
      <c r="L1403" s="85"/>
      <c r="M1403" s="85"/>
      <c r="N1403" s="85"/>
      <c r="O1403" s="85"/>
      <c r="P1403" s="85"/>
      <c r="Q1403" s="85"/>
      <c r="R1403" s="85"/>
      <c r="S1403" s="85"/>
      <c r="T1403" s="85"/>
    </row>
    <row r="1404" spans="12:20" x14ac:dyDescent="0.3">
      <c r="L1404" s="85"/>
      <c r="M1404" s="85"/>
      <c r="N1404" s="85"/>
      <c r="O1404" s="85"/>
      <c r="P1404" s="85"/>
      <c r="Q1404" s="85"/>
      <c r="R1404" s="85"/>
      <c r="S1404" s="85"/>
      <c r="T1404" s="85"/>
    </row>
    <row r="1405" spans="12:20" x14ac:dyDescent="0.3">
      <c r="L1405" s="85"/>
      <c r="M1405" s="85"/>
      <c r="N1405" s="85"/>
      <c r="O1405" s="85"/>
      <c r="P1405" s="85"/>
      <c r="Q1405" s="85"/>
      <c r="R1405" s="85"/>
      <c r="S1405" s="85"/>
      <c r="T1405" s="85"/>
    </row>
    <row r="1406" spans="12:20" x14ac:dyDescent="0.3">
      <c r="L1406" s="85"/>
      <c r="M1406" s="85"/>
      <c r="N1406" s="85"/>
      <c r="O1406" s="85"/>
      <c r="P1406" s="85"/>
      <c r="Q1406" s="85"/>
      <c r="R1406" s="85"/>
      <c r="S1406" s="85"/>
      <c r="T1406" s="85"/>
    </row>
    <row r="1407" spans="12:20" x14ac:dyDescent="0.3">
      <c r="L1407" s="85"/>
      <c r="M1407" s="85"/>
      <c r="N1407" s="85"/>
      <c r="O1407" s="85"/>
      <c r="P1407" s="85"/>
      <c r="Q1407" s="85"/>
      <c r="R1407" s="85"/>
      <c r="S1407" s="85"/>
      <c r="T1407" s="85"/>
    </row>
    <row r="1408" spans="12:20" x14ac:dyDescent="0.3">
      <c r="L1408" s="85"/>
      <c r="M1408" s="85"/>
      <c r="N1408" s="85"/>
      <c r="O1408" s="85"/>
      <c r="P1408" s="85"/>
      <c r="Q1408" s="85"/>
      <c r="R1408" s="85"/>
      <c r="S1408" s="85"/>
      <c r="T1408" s="85"/>
    </row>
    <row r="1409" spans="12:20" x14ac:dyDescent="0.3">
      <c r="L1409" s="85"/>
      <c r="M1409" s="85"/>
      <c r="N1409" s="85"/>
      <c r="O1409" s="85"/>
      <c r="P1409" s="85"/>
      <c r="Q1409" s="85"/>
      <c r="R1409" s="85"/>
      <c r="S1409" s="85"/>
      <c r="T1409" s="85"/>
    </row>
    <row r="1410" spans="12:20" x14ac:dyDescent="0.3">
      <c r="L1410" s="85"/>
      <c r="M1410" s="85"/>
      <c r="N1410" s="85"/>
      <c r="O1410" s="85"/>
      <c r="P1410" s="85"/>
      <c r="Q1410" s="85"/>
      <c r="R1410" s="85"/>
      <c r="S1410" s="85"/>
      <c r="T1410" s="85"/>
    </row>
    <row r="1411" spans="12:20" x14ac:dyDescent="0.3">
      <c r="L1411" s="85"/>
      <c r="M1411" s="85"/>
      <c r="N1411" s="85"/>
      <c r="O1411" s="85"/>
      <c r="P1411" s="85"/>
      <c r="Q1411" s="85"/>
      <c r="R1411" s="85"/>
      <c r="S1411" s="85"/>
      <c r="T1411" s="85"/>
    </row>
    <row r="1412" spans="12:20" x14ac:dyDescent="0.3">
      <c r="L1412" s="85"/>
      <c r="M1412" s="85"/>
      <c r="N1412" s="85"/>
      <c r="O1412" s="85"/>
      <c r="P1412" s="85"/>
      <c r="Q1412" s="85"/>
      <c r="R1412" s="85"/>
      <c r="S1412" s="85"/>
      <c r="T1412" s="85"/>
    </row>
    <row r="1413" spans="12:20" x14ac:dyDescent="0.3">
      <c r="L1413" s="85"/>
      <c r="M1413" s="85"/>
      <c r="N1413" s="85"/>
      <c r="O1413" s="85"/>
      <c r="P1413" s="85"/>
      <c r="Q1413" s="85"/>
      <c r="R1413" s="85"/>
      <c r="S1413" s="85"/>
      <c r="T1413" s="85"/>
    </row>
    <row r="1414" spans="12:20" x14ac:dyDescent="0.3">
      <c r="L1414" s="85"/>
      <c r="M1414" s="85"/>
      <c r="N1414" s="85"/>
      <c r="O1414" s="85"/>
      <c r="P1414" s="85"/>
      <c r="Q1414" s="85"/>
      <c r="R1414" s="85"/>
      <c r="S1414" s="85"/>
      <c r="T1414" s="85"/>
    </row>
    <row r="1415" spans="12:20" x14ac:dyDescent="0.3">
      <c r="L1415" s="85"/>
      <c r="M1415" s="85"/>
      <c r="N1415" s="85"/>
      <c r="O1415" s="85"/>
      <c r="P1415" s="85"/>
      <c r="Q1415" s="85"/>
      <c r="R1415" s="85"/>
      <c r="S1415" s="85"/>
      <c r="T1415" s="85"/>
    </row>
    <row r="1416" spans="12:20" x14ac:dyDescent="0.3">
      <c r="L1416" s="85"/>
      <c r="M1416" s="85"/>
      <c r="N1416" s="85"/>
      <c r="O1416" s="85"/>
      <c r="P1416" s="85"/>
      <c r="Q1416" s="85"/>
      <c r="R1416" s="85"/>
      <c r="S1416" s="85"/>
      <c r="T1416" s="85"/>
    </row>
    <row r="1417" spans="12:20" x14ac:dyDescent="0.3">
      <c r="L1417" s="85"/>
      <c r="M1417" s="85"/>
      <c r="N1417" s="85"/>
      <c r="O1417" s="85"/>
      <c r="P1417" s="85"/>
      <c r="Q1417" s="85"/>
      <c r="R1417" s="85"/>
      <c r="S1417" s="85"/>
      <c r="T1417" s="85"/>
    </row>
    <row r="1418" spans="12:20" x14ac:dyDescent="0.3">
      <c r="L1418" s="85"/>
      <c r="M1418" s="85"/>
      <c r="N1418" s="85"/>
      <c r="O1418" s="85"/>
      <c r="P1418" s="85"/>
      <c r="Q1418" s="85"/>
      <c r="R1418" s="85"/>
      <c r="S1418" s="85"/>
      <c r="T1418" s="85"/>
    </row>
    <row r="1419" spans="12:20" x14ac:dyDescent="0.3">
      <c r="L1419" s="85"/>
      <c r="M1419" s="85"/>
      <c r="N1419" s="85"/>
      <c r="O1419" s="85"/>
      <c r="P1419" s="85"/>
      <c r="Q1419" s="85"/>
      <c r="R1419" s="85"/>
      <c r="S1419" s="85"/>
      <c r="T1419" s="85"/>
    </row>
    <row r="1420" spans="12:20" x14ac:dyDescent="0.3">
      <c r="L1420" s="85"/>
      <c r="M1420" s="85"/>
      <c r="N1420" s="85"/>
      <c r="O1420" s="85"/>
      <c r="P1420" s="85"/>
      <c r="Q1420" s="85"/>
      <c r="R1420" s="85"/>
      <c r="S1420" s="85"/>
      <c r="T1420" s="85"/>
    </row>
    <row r="1421" spans="12:20" x14ac:dyDescent="0.3">
      <c r="L1421" s="85"/>
      <c r="M1421" s="85"/>
      <c r="N1421" s="85"/>
      <c r="O1421" s="85"/>
      <c r="P1421" s="85"/>
      <c r="Q1421" s="85"/>
      <c r="R1421" s="85"/>
      <c r="S1421" s="85"/>
      <c r="T1421" s="85"/>
    </row>
    <row r="1422" spans="12:20" x14ac:dyDescent="0.3">
      <c r="L1422" s="85"/>
      <c r="M1422" s="85"/>
      <c r="N1422" s="85"/>
      <c r="O1422" s="85"/>
      <c r="P1422" s="85"/>
      <c r="Q1422" s="85"/>
      <c r="R1422" s="85"/>
      <c r="S1422" s="85"/>
      <c r="T1422" s="85"/>
    </row>
    <row r="1423" spans="12:20" x14ac:dyDescent="0.3">
      <c r="L1423" s="85"/>
      <c r="M1423" s="85"/>
      <c r="N1423" s="85"/>
      <c r="O1423" s="85"/>
      <c r="P1423" s="85"/>
      <c r="Q1423" s="85"/>
      <c r="R1423" s="85"/>
      <c r="S1423" s="85"/>
      <c r="T1423" s="85"/>
    </row>
    <row r="1424" spans="12:20" x14ac:dyDescent="0.3">
      <c r="L1424" s="85"/>
      <c r="M1424" s="85"/>
      <c r="N1424" s="85"/>
      <c r="O1424" s="85"/>
      <c r="P1424" s="85"/>
      <c r="Q1424" s="85"/>
      <c r="R1424" s="85"/>
      <c r="S1424" s="85"/>
      <c r="T1424" s="85"/>
    </row>
    <row r="1425" spans="12:20" x14ac:dyDescent="0.3">
      <c r="L1425" s="85"/>
      <c r="M1425" s="85"/>
      <c r="N1425" s="85"/>
      <c r="O1425" s="85"/>
      <c r="P1425" s="85"/>
      <c r="Q1425" s="85"/>
      <c r="R1425" s="85"/>
      <c r="S1425" s="85"/>
      <c r="T1425" s="85"/>
    </row>
    <row r="1426" spans="12:20" x14ac:dyDescent="0.3">
      <c r="L1426" s="85"/>
      <c r="M1426" s="85"/>
      <c r="N1426" s="85"/>
      <c r="O1426" s="85"/>
      <c r="P1426" s="85"/>
      <c r="Q1426" s="85"/>
      <c r="R1426" s="85"/>
      <c r="S1426" s="85"/>
      <c r="T1426" s="85"/>
    </row>
    <row r="1427" spans="12:20" x14ac:dyDescent="0.3">
      <c r="L1427" s="85"/>
      <c r="M1427" s="85"/>
      <c r="N1427" s="85"/>
      <c r="O1427" s="85"/>
      <c r="P1427" s="85"/>
      <c r="Q1427" s="85"/>
      <c r="R1427" s="85"/>
      <c r="S1427" s="85"/>
      <c r="T1427" s="85"/>
    </row>
    <row r="1428" spans="12:20" x14ac:dyDescent="0.3">
      <c r="L1428" s="85"/>
      <c r="M1428" s="85"/>
      <c r="N1428" s="85"/>
      <c r="O1428" s="85"/>
      <c r="P1428" s="85"/>
      <c r="Q1428" s="85"/>
      <c r="R1428" s="85"/>
      <c r="S1428" s="85"/>
      <c r="T1428" s="85"/>
    </row>
    <row r="1429" spans="12:20" x14ac:dyDescent="0.3">
      <c r="L1429" s="85"/>
      <c r="M1429" s="85"/>
      <c r="N1429" s="85"/>
      <c r="O1429" s="85"/>
      <c r="P1429" s="85"/>
      <c r="Q1429" s="85"/>
      <c r="R1429" s="85"/>
      <c r="S1429" s="85"/>
      <c r="T1429" s="85"/>
    </row>
    <row r="1430" spans="12:20" x14ac:dyDescent="0.3">
      <c r="L1430" s="85"/>
      <c r="M1430" s="85"/>
      <c r="N1430" s="85"/>
      <c r="O1430" s="85"/>
      <c r="P1430" s="85"/>
      <c r="Q1430" s="85"/>
      <c r="R1430" s="85"/>
      <c r="S1430" s="85"/>
      <c r="T1430" s="85"/>
    </row>
    <row r="1431" spans="12:20" x14ac:dyDescent="0.3">
      <c r="L1431" s="85"/>
      <c r="M1431" s="85"/>
      <c r="N1431" s="85"/>
      <c r="O1431" s="85"/>
      <c r="P1431" s="85"/>
      <c r="Q1431" s="85"/>
      <c r="R1431" s="85"/>
      <c r="S1431" s="85"/>
      <c r="T1431" s="85"/>
    </row>
    <row r="1432" spans="12:20" x14ac:dyDescent="0.3">
      <c r="L1432" s="85"/>
      <c r="M1432" s="85"/>
      <c r="N1432" s="85"/>
      <c r="O1432" s="85"/>
      <c r="P1432" s="85"/>
      <c r="Q1432" s="85"/>
      <c r="R1432" s="85"/>
      <c r="S1432" s="85"/>
      <c r="T1432" s="85"/>
    </row>
    <row r="1433" spans="12:20" x14ac:dyDescent="0.3">
      <c r="L1433" s="85"/>
      <c r="M1433" s="85"/>
      <c r="N1433" s="85"/>
      <c r="O1433" s="85"/>
      <c r="P1433" s="85"/>
      <c r="Q1433" s="85"/>
      <c r="R1433" s="85"/>
      <c r="S1433" s="85"/>
      <c r="T1433" s="85"/>
    </row>
    <row r="1434" spans="12:20" x14ac:dyDescent="0.3">
      <c r="L1434" s="85"/>
      <c r="M1434" s="85"/>
      <c r="N1434" s="85"/>
      <c r="O1434" s="85"/>
      <c r="P1434" s="85"/>
      <c r="Q1434" s="85"/>
      <c r="R1434" s="85"/>
      <c r="S1434" s="85"/>
      <c r="T1434" s="85"/>
    </row>
    <row r="1435" spans="12:20" x14ac:dyDescent="0.3">
      <c r="L1435" s="85"/>
      <c r="M1435" s="85"/>
      <c r="N1435" s="85"/>
      <c r="O1435" s="85"/>
      <c r="P1435" s="85"/>
      <c r="Q1435" s="85"/>
      <c r="R1435" s="85"/>
      <c r="S1435" s="85"/>
      <c r="T1435" s="85"/>
    </row>
    <row r="1436" spans="12:20" x14ac:dyDescent="0.3">
      <c r="L1436" s="85"/>
      <c r="M1436" s="85"/>
      <c r="N1436" s="85"/>
      <c r="O1436" s="85"/>
      <c r="P1436" s="85"/>
      <c r="Q1436" s="85"/>
      <c r="R1436" s="85"/>
      <c r="S1436" s="85"/>
      <c r="T1436" s="85"/>
    </row>
    <row r="1437" spans="12:20" x14ac:dyDescent="0.3">
      <c r="L1437" s="85"/>
      <c r="M1437" s="85"/>
      <c r="N1437" s="85"/>
      <c r="O1437" s="85"/>
      <c r="P1437" s="85"/>
      <c r="Q1437" s="85"/>
      <c r="R1437" s="85"/>
      <c r="S1437" s="85"/>
      <c r="T1437" s="85"/>
    </row>
    <row r="1438" spans="12:20" x14ac:dyDescent="0.3">
      <c r="L1438" s="85"/>
      <c r="M1438" s="85"/>
      <c r="N1438" s="85"/>
      <c r="O1438" s="85"/>
      <c r="P1438" s="85"/>
      <c r="Q1438" s="85"/>
      <c r="R1438" s="85"/>
      <c r="S1438" s="85"/>
      <c r="T1438" s="85"/>
    </row>
    <row r="1439" spans="12:20" x14ac:dyDescent="0.3">
      <c r="L1439" s="85"/>
      <c r="M1439" s="85"/>
      <c r="N1439" s="85"/>
      <c r="O1439" s="85"/>
      <c r="P1439" s="85"/>
      <c r="Q1439" s="85"/>
      <c r="R1439" s="85"/>
      <c r="S1439" s="85"/>
      <c r="T1439" s="85"/>
    </row>
    <row r="1440" spans="12:20" x14ac:dyDescent="0.3">
      <c r="L1440" s="85"/>
      <c r="M1440" s="85"/>
      <c r="N1440" s="85"/>
      <c r="O1440" s="85"/>
      <c r="P1440" s="85"/>
      <c r="Q1440" s="85"/>
      <c r="R1440" s="85"/>
      <c r="S1440" s="85"/>
      <c r="T1440" s="85"/>
    </row>
    <row r="1441" spans="12:20" x14ac:dyDescent="0.3">
      <c r="L1441" s="85"/>
      <c r="M1441" s="85"/>
      <c r="N1441" s="85"/>
      <c r="O1441" s="85"/>
      <c r="P1441" s="85"/>
      <c r="Q1441" s="85"/>
      <c r="R1441" s="85"/>
      <c r="S1441" s="85"/>
      <c r="T1441" s="85"/>
    </row>
    <row r="1442" spans="12:20" x14ac:dyDescent="0.3">
      <c r="L1442" s="85"/>
      <c r="M1442" s="85"/>
      <c r="N1442" s="85"/>
      <c r="O1442" s="85"/>
      <c r="P1442" s="85"/>
      <c r="Q1442" s="85"/>
      <c r="R1442" s="85"/>
      <c r="S1442" s="85"/>
      <c r="T1442" s="85"/>
    </row>
    <row r="1443" spans="12:20" x14ac:dyDescent="0.3">
      <c r="L1443" s="85"/>
      <c r="M1443" s="85"/>
      <c r="N1443" s="85"/>
      <c r="O1443" s="85"/>
      <c r="P1443" s="85"/>
      <c r="Q1443" s="85"/>
      <c r="R1443" s="85"/>
      <c r="S1443" s="85"/>
      <c r="T1443" s="85"/>
    </row>
    <row r="1444" spans="12:20" x14ac:dyDescent="0.3">
      <c r="L1444" s="85"/>
      <c r="M1444" s="85"/>
      <c r="N1444" s="85"/>
      <c r="O1444" s="85"/>
      <c r="P1444" s="85"/>
      <c r="Q1444" s="85"/>
      <c r="R1444" s="85"/>
      <c r="S1444" s="85"/>
      <c r="T1444" s="85"/>
    </row>
    <row r="1445" spans="12:20" x14ac:dyDescent="0.3">
      <c r="L1445" s="85"/>
      <c r="M1445" s="85"/>
      <c r="N1445" s="85"/>
      <c r="O1445" s="85"/>
      <c r="P1445" s="85"/>
      <c r="Q1445" s="85"/>
      <c r="R1445" s="85"/>
      <c r="S1445" s="85"/>
      <c r="T1445" s="85"/>
    </row>
    <row r="1446" spans="12:20" x14ac:dyDescent="0.3">
      <c r="L1446" s="85"/>
      <c r="M1446" s="85"/>
      <c r="N1446" s="85"/>
      <c r="O1446" s="85"/>
      <c r="P1446" s="85"/>
      <c r="Q1446" s="85"/>
      <c r="R1446" s="85"/>
      <c r="S1446" s="85"/>
      <c r="T1446" s="85"/>
    </row>
    <row r="1447" spans="12:20" x14ac:dyDescent="0.3">
      <c r="L1447" s="85"/>
      <c r="M1447" s="85"/>
      <c r="N1447" s="85"/>
      <c r="O1447" s="85"/>
      <c r="P1447" s="85"/>
      <c r="Q1447" s="85"/>
      <c r="R1447" s="85"/>
      <c r="S1447" s="85"/>
      <c r="T1447" s="85"/>
    </row>
    <row r="1448" spans="12:20" x14ac:dyDescent="0.3">
      <c r="L1448" s="85"/>
      <c r="M1448" s="85"/>
      <c r="N1448" s="85"/>
      <c r="O1448" s="85"/>
      <c r="P1448" s="85"/>
      <c r="Q1448" s="85"/>
      <c r="R1448" s="85"/>
      <c r="S1448" s="85"/>
      <c r="T1448" s="85"/>
    </row>
    <row r="1449" spans="12:20" x14ac:dyDescent="0.3">
      <c r="L1449" s="85"/>
      <c r="M1449" s="85"/>
      <c r="N1449" s="85"/>
      <c r="O1449" s="85"/>
      <c r="P1449" s="85"/>
      <c r="Q1449" s="85"/>
      <c r="R1449" s="85"/>
      <c r="S1449" s="85"/>
      <c r="T1449" s="85"/>
    </row>
    <row r="1450" spans="12:20" x14ac:dyDescent="0.3">
      <c r="L1450" s="85"/>
      <c r="M1450" s="85"/>
      <c r="N1450" s="85"/>
      <c r="O1450" s="85"/>
      <c r="P1450" s="85"/>
      <c r="Q1450" s="85"/>
      <c r="R1450" s="85"/>
      <c r="S1450" s="85"/>
      <c r="T1450" s="85"/>
    </row>
    <row r="1451" spans="12:20" x14ac:dyDescent="0.3">
      <c r="L1451" s="85"/>
      <c r="M1451" s="85"/>
      <c r="N1451" s="85"/>
      <c r="O1451" s="85"/>
      <c r="P1451" s="85"/>
      <c r="Q1451" s="85"/>
      <c r="R1451" s="85"/>
      <c r="S1451" s="85"/>
      <c r="T1451" s="85"/>
    </row>
    <row r="1452" spans="12:20" x14ac:dyDescent="0.3">
      <c r="L1452" s="85"/>
      <c r="M1452" s="85"/>
      <c r="N1452" s="85"/>
      <c r="O1452" s="85"/>
      <c r="P1452" s="85"/>
      <c r="Q1452" s="85"/>
      <c r="R1452" s="85"/>
      <c r="S1452" s="85"/>
      <c r="T1452" s="85"/>
    </row>
    <row r="1453" spans="12:20" x14ac:dyDescent="0.3">
      <c r="L1453" s="85"/>
      <c r="M1453" s="85"/>
      <c r="N1453" s="85"/>
      <c r="O1453" s="85"/>
      <c r="P1453" s="85"/>
      <c r="Q1453" s="85"/>
      <c r="R1453" s="85"/>
      <c r="S1453" s="85"/>
      <c r="T1453" s="85"/>
    </row>
    <row r="1454" spans="12:20" x14ac:dyDescent="0.3">
      <c r="L1454" s="85"/>
      <c r="M1454" s="85"/>
      <c r="N1454" s="85"/>
      <c r="O1454" s="85"/>
      <c r="P1454" s="85"/>
      <c r="Q1454" s="85"/>
      <c r="R1454" s="85"/>
      <c r="S1454" s="85"/>
      <c r="T1454" s="85"/>
    </row>
    <row r="1455" spans="12:20" x14ac:dyDescent="0.3">
      <c r="L1455" s="85"/>
      <c r="M1455" s="85"/>
      <c r="N1455" s="85"/>
      <c r="O1455" s="85"/>
      <c r="P1455" s="85"/>
      <c r="Q1455" s="85"/>
      <c r="R1455" s="85"/>
      <c r="S1455" s="85"/>
      <c r="T1455" s="85"/>
    </row>
    <row r="1456" spans="12:20" x14ac:dyDescent="0.3">
      <c r="L1456" s="85"/>
      <c r="M1456" s="85"/>
      <c r="N1456" s="85"/>
      <c r="O1456" s="85"/>
      <c r="P1456" s="85"/>
      <c r="Q1456" s="85"/>
      <c r="R1456" s="85"/>
      <c r="S1456" s="85"/>
      <c r="T1456" s="85"/>
    </row>
    <row r="1457" spans="12:20" x14ac:dyDescent="0.3">
      <c r="L1457" s="85"/>
      <c r="M1457" s="85"/>
      <c r="N1457" s="85"/>
      <c r="O1457" s="85"/>
      <c r="P1457" s="85"/>
      <c r="Q1457" s="85"/>
      <c r="R1457" s="85"/>
      <c r="S1457" s="85"/>
      <c r="T1457" s="85"/>
    </row>
    <row r="1458" spans="12:20" x14ac:dyDescent="0.3">
      <c r="L1458" s="85"/>
      <c r="M1458" s="85"/>
      <c r="N1458" s="85"/>
      <c r="O1458" s="85"/>
      <c r="P1458" s="85"/>
      <c r="Q1458" s="85"/>
      <c r="R1458" s="85"/>
      <c r="S1458" s="85"/>
      <c r="T1458" s="85"/>
    </row>
    <row r="1459" spans="12:20" x14ac:dyDescent="0.3">
      <c r="L1459" s="85"/>
      <c r="M1459" s="85"/>
      <c r="N1459" s="85"/>
      <c r="O1459" s="85"/>
      <c r="P1459" s="85"/>
      <c r="Q1459" s="85"/>
      <c r="R1459" s="85"/>
      <c r="S1459" s="85"/>
      <c r="T1459" s="85"/>
    </row>
    <row r="1460" spans="12:20" x14ac:dyDescent="0.3">
      <c r="L1460" s="85"/>
      <c r="M1460" s="85"/>
      <c r="N1460" s="85"/>
      <c r="O1460" s="85"/>
      <c r="P1460" s="85"/>
      <c r="Q1460" s="85"/>
      <c r="R1460" s="85"/>
      <c r="S1460" s="85"/>
      <c r="T1460" s="85"/>
    </row>
    <row r="1461" spans="12:20" x14ac:dyDescent="0.3">
      <c r="L1461" s="85"/>
      <c r="M1461" s="85"/>
      <c r="N1461" s="85"/>
      <c r="O1461" s="85"/>
      <c r="P1461" s="85"/>
      <c r="Q1461" s="85"/>
      <c r="R1461" s="85"/>
      <c r="S1461" s="85"/>
      <c r="T1461" s="85"/>
    </row>
    <row r="1462" spans="12:20" x14ac:dyDescent="0.3">
      <c r="L1462" s="85"/>
      <c r="M1462" s="85"/>
      <c r="N1462" s="85"/>
      <c r="O1462" s="85"/>
      <c r="P1462" s="85"/>
      <c r="Q1462" s="85"/>
      <c r="R1462" s="85"/>
      <c r="S1462" s="85"/>
      <c r="T1462" s="85"/>
    </row>
    <row r="1463" spans="12:20" x14ac:dyDescent="0.3">
      <c r="L1463" s="85"/>
      <c r="M1463" s="85"/>
      <c r="N1463" s="85"/>
      <c r="O1463" s="85"/>
      <c r="P1463" s="85"/>
      <c r="Q1463" s="85"/>
      <c r="R1463" s="85"/>
      <c r="S1463" s="85"/>
      <c r="T1463" s="85"/>
    </row>
    <row r="1464" spans="12:20" x14ac:dyDescent="0.3">
      <c r="L1464" s="85"/>
      <c r="M1464" s="85"/>
      <c r="N1464" s="85"/>
      <c r="O1464" s="85"/>
      <c r="P1464" s="85"/>
      <c r="Q1464" s="85"/>
      <c r="R1464" s="85"/>
      <c r="S1464" s="85"/>
      <c r="T1464" s="85"/>
    </row>
    <row r="1465" spans="12:20" x14ac:dyDescent="0.3">
      <c r="L1465" s="85"/>
      <c r="M1465" s="85"/>
      <c r="N1465" s="85"/>
      <c r="O1465" s="85"/>
      <c r="P1465" s="85"/>
      <c r="Q1465" s="85"/>
      <c r="R1465" s="85"/>
      <c r="S1465" s="85"/>
      <c r="T1465" s="85"/>
    </row>
    <row r="1466" spans="12:20" x14ac:dyDescent="0.3">
      <c r="L1466" s="85"/>
      <c r="M1466" s="85"/>
      <c r="N1466" s="85"/>
      <c r="O1466" s="85"/>
      <c r="P1466" s="85"/>
      <c r="Q1466" s="85"/>
      <c r="R1466" s="85"/>
      <c r="S1466" s="85"/>
      <c r="T1466" s="85"/>
    </row>
    <row r="1467" spans="12:20" x14ac:dyDescent="0.3">
      <c r="L1467" s="85"/>
      <c r="M1467" s="85"/>
      <c r="N1467" s="85"/>
      <c r="O1467" s="85"/>
      <c r="P1467" s="85"/>
      <c r="Q1467" s="85"/>
      <c r="R1467" s="85"/>
      <c r="S1467" s="85"/>
      <c r="T1467" s="85"/>
    </row>
    <row r="1468" spans="12:20" x14ac:dyDescent="0.3">
      <c r="L1468" s="85"/>
      <c r="M1468" s="85"/>
      <c r="N1468" s="85"/>
      <c r="O1468" s="85"/>
      <c r="P1468" s="85"/>
      <c r="Q1468" s="85"/>
      <c r="R1468" s="85"/>
      <c r="S1468" s="85"/>
      <c r="T1468" s="85"/>
    </row>
    <row r="1469" spans="12:20" x14ac:dyDescent="0.3">
      <c r="L1469" s="85"/>
      <c r="M1469" s="85"/>
      <c r="N1469" s="85"/>
      <c r="O1469" s="85"/>
      <c r="P1469" s="85"/>
      <c r="Q1469" s="85"/>
      <c r="R1469" s="85"/>
      <c r="S1469" s="85"/>
      <c r="T1469" s="85"/>
    </row>
    <row r="1470" spans="12:20" x14ac:dyDescent="0.3">
      <c r="L1470" s="85"/>
      <c r="M1470" s="85"/>
      <c r="N1470" s="85"/>
      <c r="O1470" s="85"/>
      <c r="P1470" s="85"/>
      <c r="Q1470" s="85"/>
      <c r="R1470" s="85"/>
      <c r="S1470" s="85"/>
      <c r="T1470" s="85"/>
    </row>
    <row r="1471" spans="12:20" x14ac:dyDescent="0.3">
      <c r="L1471" s="85"/>
      <c r="M1471" s="85"/>
      <c r="N1471" s="85"/>
      <c r="O1471" s="85"/>
      <c r="P1471" s="85"/>
      <c r="Q1471" s="85"/>
      <c r="R1471" s="85"/>
      <c r="S1471" s="85"/>
      <c r="T1471" s="85"/>
    </row>
    <row r="1472" spans="12:20" x14ac:dyDescent="0.3">
      <c r="L1472" s="85"/>
      <c r="M1472" s="85"/>
      <c r="N1472" s="85"/>
      <c r="O1472" s="85"/>
      <c r="P1472" s="85"/>
      <c r="Q1472" s="85"/>
      <c r="R1472" s="85"/>
      <c r="S1472" s="85"/>
      <c r="T1472" s="85"/>
    </row>
    <row r="1473" spans="12:20" x14ac:dyDescent="0.3">
      <c r="L1473" s="85"/>
      <c r="M1473" s="85"/>
      <c r="N1473" s="85"/>
      <c r="O1473" s="85"/>
      <c r="P1473" s="85"/>
      <c r="Q1473" s="85"/>
      <c r="R1473" s="85"/>
      <c r="S1473" s="85"/>
      <c r="T1473" s="85"/>
    </row>
    <row r="1474" spans="12:20" x14ac:dyDescent="0.3">
      <c r="L1474" s="85"/>
      <c r="M1474" s="85"/>
      <c r="N1474" s="85"/>
      <c r="O1474" s="85"/>
      <c r="P1474" s="85"/>
      <c r="Q1474" s="85"/>
      <c r="R1474" s="85"/>
      <c r="S1474" s="85"/>
      <c r="T1474" s="85"/>
    </row>
    <row r="1475" spans="12:20" x14ac:dyDescent="0.3">
      <c r="L1475" s="85"/>
      <c r="M1475" s="85"/>
      <c r="N1475" s="85"/>
      <c r="O1475" s="85"/>
      <c r="P1475" s="85"/>
      <c r="Q1475" s="85"/>
      <c r="R1475" s="85"/>
      <c r="S1475" s="85"/>
      <c r="T1475" s="85"/>
    </row>
    <row r="1476" spans="12:20" x14ac:dyDescent="0.3">
      <c r="L1476" s="85"/>
      <c r="M1476" s="85"/>
      <c r="N1476" s="85"/>
      <c r="O1476" s="85"/>
      <c r="P1476" s="85"/>
      <c r="Q1476" s="85"/>
      <c r="R1476" s="85"/>
      <c r="S1476" s="85"/>
      <c r="T1476" s="85"/>
    </row>
    <row r="1477" spans="12:20" x14ac:dyDescent="0.3">
      <c r="L1477" s="85"/>
      <c r="M1477" s="85"/>
      <c r="N1477" s="85"/>
      <c r="O1477" s="85"/>
      <c r="P1477" s="85"/>
      <c r="Q1477" s="85"/>
      <c r="R1477" s="85"/>
      <c r="S1477" s="85"/>
      <c r="T1477" s="85"/>
    </row>
    <row r="1478" spans="12:20" x14ac:dyDescent="0.3">
      <c r="L1478" s="85"/>
      <c r="M1478" s="85"/>
      <c r="N1478" s="85"/>
      <c r="O1478" s="85"/>
      <c r="P1478" s="85"/>
      <c r="Q1478" s="85"/>
      <c r="R1478" s="85"/>
      <c r="S1478" s="85"/>
      <c r="T1478" s="85"/>
    </row>
    <row r="1479" spans="12:20" x14ac:dyDescent="0.3">
      <c r="L1479" s="85"/>
      <c r="M1479" s="85"/>
      <c r="N1479" s="85"/>
      <c r="O1479" s="85"/>
      <c r="P1479" s="85"/>
      <c r="Q1479" s="85"/>
      <c r="R1479" s="85"/>
      <c r="S1479" s="85"/>
      <c r="T1479" s="85"/>
    </row>
    <row r="1480" spans="12:20" x14ac:dyDescent="0.3">
      <c r="L1480" s="85"/>
      <c r="M1480" s="85"/>
      <c r="N1480" s="85"/>
      <c r="O1480" s="85"/>
      <c r="P1480" s="85"/>
      <c r="Q1480" s="85"/>
      <c r="R1480" s="85"/>
      <c r="S1480" s="85"/>
      <c r="T1480" s="85"/>
    </row>
    <row r="1481" spans="12:20" x14ac:dyDescent="0.3">
      <c r="L1481" s="85"/>
      <c r="M1481" s="85"/>
      <c r="N1481" s="85"/>
      <c r="O1481" s="85"/>
      <c r="P1481" s="85"/>
      <c r="Q1481" s="85"/>
      <c r="R1481" s="85"/>
      <c r="S1481" s="85"/>
      <c r="T1481" s="85"/>
    </row>
    <row r="1482" spans="12:20" x14ac:dyDescent="0.3">
      <c r="L1482" s="85"/>
      <c r="M1482" s="85"/>
      <c r="N1482" s="85"/>
      <c r="O1482" s="85"/>
      <c r="P1482" s="85"/>
      <c r="Q1482" s="85"/>
      <c r="R1482" s="85"/>
      <c r="S1482" s="85"/>
      <c r="T1482" s="85"/>
    </row>
    <row r="1483" spans="12:20" x14ac:dyDescent="0.3">
      <c r="L1483" s="85"/>
      <c r="M1483" s="85"/>
      <c r="N1483" s="85"/>
      <c r="O1483" s="85"/>
      <c r="P1483" s="85"/>
      <c r="Q1483" s="85"/>
      <c r="R1483" s="85"/>
      <c r="S1483" s="85"/>
      <c r="T1483" s="85"/>
    </row>
    <row r="1484" spans="12:20" x14ac:dyDescent="0.3">
      <c r="L1484" s="85"/>
      <c r="M1484" s="85"/>
      <c r="N1484" s="85"/>
      <c r="O1484" s="85"/>
      <c r="P1484" s="85"/>
      <c r="Q1484" s="85"/>
      <c r="R1484" s="85"/>
      <c r="S1484" s="85"/>
      <c r="T1484" s="85"/>
    </row>
    <row r="1485" spans="12:20" x14ac:dyDescent="0.3">
      <c r="L1485" s="85"/>
      <c r="M1485" s="85"/>
      <c r="N1485" s="85"/>
      <c r="O1485" s="85"/>
      <c r="P1485" s="85"/>
      <c r="Q1485" s="85"/>
      <c r="R1485" s="85"/>
      <c r="S1485" s="85"/>
      <c r="T1485" s="85"/>
    </row>
    <row r="1486" spans="12:20" x14ac:dyDescent="0.3">
      <c r="L1486" s="85"/>
      <c r="M1486" s="85"/>
      <c r="N1486" s="85"/>
      <c r="O1486" s="85"/>
      <c r="P1486" s="85"/>
      <c r="Q1486" s="85"/>
      <c r="R1486" s="85"/>
      <c r="S1486" s="85"/>
      <c r="T1486" s="85"/>
    </row>
    <row r="1487" spans="12:20" x14ac:dyDescent="0.3">
      <c r="L1487" s="85"/>
      <c r="M1487" s="85"/>
      <c r="N1487" s="85"/>
      <c r="O1487" s="85"/>
      <c r="P1487" s="85"/>
      <c r="Q1487" s="85"/>
      <c r="R1487" s="85"/>
      <c r="S1487" s="85"/>
      <c r="T1487" s="85"/>
    </row>
    <row r="1488" spans="12:20" x14ac:dyDescent="0.3">
      <c r="L1488" s="85"/>
      <c r="M1488" s="85"/>
      <c r="N1488" s="85"/>
      <c r="O1488" s="85"/>
      <c r="P1488" s="85"/>
      <c r="Q1488" s="85"/>
      <c r="R1488" s="85"/>
      <c r="S1488" s="85"/>
      <c r="T1488" s="85"/>
    </row>
    <row r="1489" spans="12:20" x14ac:dyDescent="0.3">
      <c r="L1489" s="85"/>
      <c r="M1489" s="85"/>
      <c r="N1489" s="85"/>
      <c r="O1489" s="85"/>
      <c r="P1489" s="85"/>
      <c r="Q1489" s="85"/>
      <c r="R1489" s="85"/>
      <c r="S1489" s="85"/>
      <c r="T1489" s="85"/>
    </row>
    <row r="1490" spans="12:20" x14ac:dyDescent="0.3">
      <c r="L1490" s="85"/>
      <c r="M1490" s="85"/>
      <c r="N1490" s="85"/>
      <c r="O1490" s="85"/>
      <c r="P1490" s="85"/>
      <c r="Q1490" s="85"/>
      <c r="R1490" s="85"/>
      <c r="S1490" s="85"/>
      <c r="T1490" s="85"/>
    </row>
    <row r="1491" spans="12:20" x14ac:dyDescent="0.3">
      <c r="L1491" s="85"/>
      <c r="M1491" s="85"/>
      <c r="N1491" s="85"/>
      <c r="O1491" s="85"/>
      <c r="P1491" s="85"/>
      <c r="Q1491" s="85"/>
      <c r="R1491" s="85"/>
      <c r="S1491" s="85"/>
      <c r="T1491" s="85"/>
    </row>
    <row r="1492" spans="12:20" x14ac:dyDescent="0.3">
      <c r="L1492" s="85"/>
      <c r="M1492" s="85"/>
      <c r="N1492" s="85"/>
      <c r="O1492" s="85"/>
      <c r="P1492" s="85"/>
      <c r="Q1492" s="85"/>
      <c r="R1492" s="85"/>
      <c r="S1492" s="85"/>
      <c r="T1492" s="85"/>
    </row>
    <row r="1493" spans="12:20" x14ac:dyDescent="0.3">
      <c r="L1493" s="85"/>
      <c r="M1493" s="85"/>
      <c r="N1493" s="85"/>
      <c r="O1493" s="85"/>
      <c r="P1493" s="85"/>
      <c r="Q1493" s="85"/>
      <c r="R1493" s="85"/>
      <c r="S1493" s="85"/>
      <c r="T1493" s="85"/>
    </row>
    <row r="1494" spans="12:20" x14ac:dyDescent="0.3">
      <c r="L1494" s="85"/>
      <c r="M1494" s="85"/>
      <c r="N1494" s="85"/>
      <c r="O1494" s="85"/>
      <c r="P1494" s="85"/>
      <c r="Q1494" s="85"/>
      <c r="R1494" s="85"/>
      <c r="S1494" s="85"/>
      <c r="T1494" s="85"/>
    </row>
    <row r="1495" spans="12:20" x14ac:dyDescent="0.3">
      <c r="L1495" s="85"/>
      <c r="M1495" s="85"/>
      <c r="N1495" s="85"/>
      <c r="O1495" s="85"/>
      <c r="P1495" s="85"/>
      <c r="Q1495" s="85"/>
      <c r="R1495" s="85"/>
      <c r="S1495" s="85"/>
      <c r="T1495" s="85"/>
    </row>
    <row r="1496" spans="12:20" x14ac:dyDescent="0.3">
      <c r="L1496" s="85"/>
      <c r="M1496" s="85"/>
      <c r="N1496" s="85"/>
      <c r="O1496" s="85"/>
      <c r="P1496" s="85"/>
      <c r="Q1496" s="85"/>
      <c r="R1496" s="85"/>
      <c r="S1496" s="85"/>
      <c r="T1496" s="85"/>
    </row>
    <row r="1497" spans="12:20" x14ac:dyDescent="0.3">
      <c r="L1497" s="85"/>
      <c r="M1497" s="85"/>
      <c r="N1497" s="85"/>
      <c r="O1497" s="85"/>
      <c r="P1497" s="85"/>
      <c r="Q1497" s="85"/>
      <c r="R1497" s="85"/>
      <c r="S1497" s="85"/>
      <c r="T1497" s="85"/>
    </row>
    <row r="1498" spans="12:20" x14ac:dyDescent="0.3">
      <c r="L1498" s="85"/>
      <c r="M1498" s="85"/>
      <c r="N1498" s="85"/>
      <c r="O1498" s="85"/>
      <c r="P1498" s="85"/>
      <c r="Q1498" s="85"/>
      <c r="R1498" s="85"/>
      <c r="S1498" s="85"/>
      <c r="T1498" s="85"/>
    </row>
    <row r="1499" spans="12:20" x14ac:dyDescent="0.3">
      <c r="L1499" s="85"/>
      <c r="M1499" s="85"/>
      <c r="N1499" s="85"/>
      <c r="O1499" s="85"/>
      <c r="P1499" s="85"/>
      <c r="Q1499" s="85"/>
      <c r="R1499" s="85"/>
      <c r="S1499" s="85"/>
      <c r="T1499" s="85"/>
    </row>
    <row r="1500" spans="12:20" x14ac:dyDescent="0.3">
      <c r="L1500" s="85"/>
      <c r="M1500" s="85"/>
      <c r="N1500" s="85"/>
      <c r="O1500" s="85"/>
      <c r="P1500" s="85"/>
      <c r="Q1500" s="85"/>
      <c r="R1500" s="85"/>
      <c r="S1500" s="85"/>
      <c r="T1500" s="85"/>
    </row>
    <row r="1501" spans="12:20" x14ac:dyDescent="0.3">
      <c r="L1501" s="85"/>
      <c r="M1501" s="85"/>
      <c r="N1501" s="85"/>
      <c r="O1501" s="85"/>
      <c r="P1501" s="85"/>
      <c r="Q1501" s="85"/>
      <c r="R1501" s="85"/>
      <c r="S1501" s="85"/>
      <c r="T1501" s="85"/>
    </row>
    <row r="1502" spans="12:20" x14ac:dyDescent="0.3">
      <c r="L1502" s="85"/>
      <c r="M1502" s="85"/>
      <c r="N1502" s="85"/>
      <c r="O1502" s="85"/>
      <c r="P1502" s="85"/>
      <c r="Q1502" s="85"/>
      <c r="R1502" s="85"/>
      <c r="S1502" s="85"/>
      <c r="T1502" s="85"/>
    </row>
    <row r="1503" spans="12:20" x14ac:dyDescent="0.3">
      <c r="L1503" s="85"/>
      <c r="M1503" s="85"/>
      <c r="N1503" s="85"/>
      <c r="O1503" s="85"/>
      <c r="P1503" s="85"/>
      <c r="Q1503" s="85"/>
      <c r="R1503" s="85"/>
      <c r="S1503" s="85"/>
      <c r="T1503" s="85"/>
    </row>
    <row r="1504" spans="12:20" x14ac:dyDescent="0.3">
      <c r="L1504" s="85"/>
      <c r="M1504" s="85"/>
      <c r="N1504" s="85"/>
      <c r="O1504" s="85"/>
      <c r="P1504" s="85"/>
      <c r="Q1504" s="85"/>
      <c r="R1504" s="85"/>
      <c r="S1504" s="85"/>
      <c r="T1504" s="85"/>
    </row>
    <row r="1505" spans="12:20" x14ac:dyDescent="0.3">
      <c r="L1505" s="85"/>
      <c r="M1505" s="85"/>
      <c r="N1505" s="85"/>
      <c r="O1505" s="85"/>
      <c r="P1505" s="85"/>
      <c r="Q1505" s="85"/>
      <c r="R1505" s="85"/>
      <c r="S1505" s="85"/>
      <c r="T1505" s="85"/>
    </row>
    <row r="1506" spans="12:20" x14ac:dyDescent="0.3">
      <c r="L1506" s="85"/>
      <c r="M1506" s="85"/>
      <c r="N1506" s="85"/>
      <c r="O1506" s="85"/>
      <c r="P1506" s="85"/>
      <c r="Q1506" s="85"/>
      <c r="R1506" s="85"/>
      <c r="S1506" s="85"/>
      <c r="T1506" s="85"/>
    </row>
    <row r="1507" spans="12:20" x14ac:dyDescent="0.3">
      <c r="L1507" s="85"/>
      <c r="M1507" s="85"/>
      <c r="N1507" s="85"/>
      <c r="O1507" s="85"/>
      <c r="P1507" s="85"/>
      <c r="Q1507" s="85"/>
      <c r="R1507" s="85"/>
      <c r="S1507" s="85"/>
      <c r="T1507" s="85"/>
    </row>
    <row r="1508" spans="12:20" x14ac:dyDescent="0.3">
      <c r="L1508" s="85"/>
      <c r="M1508" s="85"/>
      <c r="N1508" s="85"/>
      <c r="O1508" s="85"/>
      <c r="P1508" s="85"/>
      <c r="Q1508" s="85"/>
      <c r="R1508" s="85"/>
      <c r="S1508" s="85"/>
      <c r="T1508" s="85"/>
    </row>
    <row r="1509" spans="12:20" x14ac:dyDescent="0.3">
      <c r="L1509" s="85"/>
      <c r="M1509" s="85"/>
      <c r="N1509" s="85"/>
      <c r="O1509" s="85"/>
      <c r="P1509" s="85"/>
      <c r="Q1509" s="85"/>
      <c r="R1509" s="85"/>
      <c r="S1509" s="85"/>
      <c r="T1509" s="85"/>
    </row>
    <row r="1510" spans="12:20" x14ac:dyDescent="0.3">
      <c r="L1510" s="85"/>
      <c r="M1510" s="85"/>
      <c r="N1510" s="85"/>
      <c r="O1510" s="85"/>
      <c r="P1510" s="85"/>
      <c r="Q1510" s="85"/>
      <c r="R1510" s="85"/>
      <c r="S1510" s="85"/>
      <c r="T1510" s="85"/>
    </row>
    <row r="1511" spans="12:20" x14ac:dyDescent="0.3">
      <c r="L1511" s="85"/>
      <c r="M1511" s="85"/>
      <c r="N1511" s="85"/>
      <c r="O1511" s="85"/>
      <c r="P1511" s="85"/>
      <c r="Q1511" s="85"/>
      <c r="R1511" s="85"/>
      <c r="S1511" s="85"/>
      <c r="T1511" s="85"/>
    </row>
    <row r="1512" spans="12:20" x14ac:dyDescent="0.3">
      <c r="L1512" s="85"/>
      <c r="M1512" s="85"/>
      <c r="N1512" s="85"/>
      <c r="O1512" s="85"/>
      <c r="P1512" s="85"/>
      <c r="Q1512" s="85"/>
      <c r="R1512" s="85"/>
      <c r="S1512" s="85"/>
      <c r="T1512" s="85"/>
    </row>
    <row r="1513" spans="12:20" x14ac:dyDescent="0.3">
      <c r="L1513" s="85"/>
      <c r="M1513" s="85"/>
      <c r="N1513" s="85"/>
      <c r="O1513" s="85"/>
      <c r="P1513" s="85"/>
      <c r="Q1513" s="85"/>
      <c r="R1513" s="85"/>
      <c r="S1513" s="85"/>
      <c r="T1513" s="85"/>
    </row>
    <row r="1514" spans="12:20" x14ac:dyDescent="0.3">
      <c r="L1514" s="85"/>
      <c r="M1514" s="85"/>
      <c r="N1514" s="85"/>
      <c r="O1514" s="85"/>
      <c r="P1514" s="85"/>
      <c r="Q1514" s="85"/>
      <c r="R1514" s="85"/>
      <c r="S1514" s="85"/>
      <c r="T1514" s="85"/>
    </row>
    <row r="1515" spans="12:20" x14ac:dyDescent="0.3">
      <c r="L1515" s="85"/>
      <c r="M1515" s="85"/>
      <c r="N1515" s="85"/>
      <c r="O1515" s="85"/>
      <c r="P1515" s="85"/>
      <c r="Q1515" s="85"/>
      <c r="R1515" s="85"/>
      <c r="S1515" s="85"/>
      <c r="T1515" s="85"/>
    </row>
    <row r="1516" spans="12:20" x14ac:dyDescent="0.3">
      <c r="L1516" s="85"/>
      <c r="M1516" s="85"/>
      <c r="N1516" s="85"/>
      <c r="O1516" s="85"/>
      <c r="P1516" s="85"/>
      <c r="Q1516" s="85"/>
      <c r="R1516" s="85"/>
      <c r="S1516" s="85"/>
      <c r="T1516" s="85"/>
    </row>
    <row r="1517" spans="12:20" x14ac:dyDescent="0.3">
      <c r="L1517" s="85"/>
      <c r="M1517" s="85"/>
      <c r="N1517" s="85"/>
      <c r="O1517" s="85"/>
      <c r="P1517" s="85"/>
      <c r="Q1517" s="85"/>
      <c r="R1517" s="85"/>
      <c r="S1517" s="85"/>
      <c r="T1517" s="85"/>
    </row>
    <row r="1518" spans="12:20" x14ac:dyDescent="0.3">
      <c r="L1518" s="85"/>
      <c r="M1518" s="85"/>
      <c r="N1518" s="85"/>
      <c r="O1518" s="85"/>
      <c r="P1518" s="85"/>
      <c r="Q1518" s="85"/>
      <c r="R1518" s="85"/>
      <c r="S1518" s="85"/>
      <c r="T1518" s="85"/>
    </row>
    <row r="1519" spans="12:20" x14ac:dyDescent="0.3">
      <c r="L1519" s="85"/>
      <c r="M1519" s="85"/>
      <c r="N1519" s="85"/>
      <c r="O1519" s="85"/>
      <c r="P1519" s="85"/>
      <c r="Q1519" s="85"/>
      <c r="R1519" s="85"/>
      <c r="S1519" s="85"/>
      <c r="T1519" s="85"/>
    </row>
    <row r="1520" spans="12:20" x14ac:dyDescent="0.3">
      <c r="L1520" s="85"/>
      <c r="M1520" s="85"/>
      <c r="N1520" s="85"/>
      <c r="O1520" s="85"/>
      <c r="P1520" s="85"/>
      <c r="Q1520" s="85"/>
      <c r="R1520" s="85"/>
      <c r="S1520" s="85"/>
      <c r="T1520" s="85"/>
    </row>
    <row r="1521" spans="12:20" x14ac:dyDescent="0.3">
      <c r="L1521" s="85"/>
      <c r="M1521" s="85"/>
      <c r="N1521" s="85"/>
      <c r="O1521" s="85"/>
      <c r="P1521" s="85"/>
      <c r="Q1521" s="85"/>
      <c r="R1521" s="85"/>
      <c r="S1521" s="85"/>
      <c r="T1521" s="85"/>
    </row>
    <row r="1522" spans="12:20" x14ac:dyDescent="0.3">
      <c r="L1522" s="85"/>
      <c r="M1522" s="85"/>
      <c r="N1522" s="85"/>
      <c r="O1522" s="85"/>
      <c r="P1522" s="85"/>
      <c r="Q1522" s="85"/>
      <c r="R1522" s="85"/>
      <c r="S1522" s="85"/>
      <c r="T1522" s="85"/>
    </row>
    <row r="1523" spans="12:20" x14ac:dyDescent="0.3">
      <c r="L1523" s="85"/>
      <c r="M1523" s="85"/>
      <c r="N1523" s="85"/>
      <c r="O1523" s="85"/>
      <c r="P1523" s="85"/>
      <c r="Q1523" s="85"/>
      <c r="R1523" s="85"/>
      <c r="S1523" s="85"/>
      <c r="T1523" s="85"/>
    </row>
    <row r="1524" spans="12:20" x14ac:dyDescent="0.3">
      <c r="L1524" s="85"/>
      <c r="M1524" s="85"/>
      <c r="N1524" s="85"/>
      <c r="O1524" s="85"/>
      <c r="P1524" s="85"/>
      <c r="Q1524" s="85"/>
      <c r="R1524" s="85"/>
      <c r="S1524" s="85"/>
      <c r="T1524" s="85"/>
    </row>
    <row r="1525" spans="12:20" x14ac:dyDescent="0.3">
      <c r="L1525" s="85"/>
      <c r="M1525" s="85"/>
      <c r="N1525" s="85"/>
      <c r="O1525" s="85"/>
      <c r="P1525" s="85"/>
      <c r="Q1525" s="85"/>
      <c r="R1525" s="85"/>
      <c r="S1525" s="85"/>
      <c r="T1525" s="85"/>
    </row>
    <row r="1526" spans="12:20" x14ac:dyDescent="0.3">
      <c r="L1526" s="85"/>
      <c r="M1526" s="85"/>
      <c r="N1526" s="85"/>
      <c r="O1526" s="85"/>
      <c r="P1526" s="85"/>
      <c r="Q1526" s="85"/>
      <c r="R1526" s="85"/>
      <c r="S1526" s="85"/>
      <c r="T1526" s="85"/>
    </row>
    <row r="1527" spans="12:20" x14ac:dyDescent="0.3">
      <c r="L1527" s="85"/>
      <c r="M1527" s="85"/>
      <c r="N1527" s="85"/>
      <c r="O1527" s="85"/>
      <c r="P1527" s="85"/>
      <c r="Q1527" s="85"/>
      <c r="R1527" s="85"/>
      <c r="S1527" s="85"/>
      <c r="T1527" s="85"/>
    </row>
    <row r="1528" spans="12:20" x14ac:dyDescent="0.3">
      <c r="L1528" s="85"/>
      <c r="M1528" s="85"/>
      <c r="N1528" s="85"/>
      <c r="O1528" s="85"/>
      <c r="P1528" s="85"/>
      <c r="Q1528" s="85"/>
      <c r="R1528" s="85"/>
      <c r="S1528" s="85"/>
      <c r="T1528" s="85"/>
    </row>
    <row r="1529" spans="12:20" x14ac:dyDescent="0.3">
      <c r="L1529" s="85"/>
      <c r="M1529" s="85"/>
      <c r="N1529" s="85"/>
      <c r="O1529" s="85"/>
      <c r="P1529" s="85"/>
      <c r="Q1529" s="85"/>
      <c r="R1529" s="85"/>
      <c r="S1529" s="85"/>
      <c r="T1529" s="85"/>
    </row>
    <row r="1530" spans="12:20" x14ac:dyDescent="0.3">
      <c r="L1530" s="85"/>
      <c r="M1530" s="85"/>
      <c r="N1530" s="85"/>
      <c r="O1530" s="85"/>
      <c r="P1530" s="85"/>
      <c r="Q1530" s="85"/>
      <c r="R1530" s="85"/>
      <c r="S1530" s="85"/>
      <c r="T1530" s="85"/>
    </row>
    <row r="1531" spans="12:20" x14ac:dyDescent="0.3">
      <c r="L1531" s="85"/>
      <c r="M1531" s="85"/>
      <c r="N1531" s="85"/>
      <c r="O1531" s="85"/>
      <c r="P1531" s="85"/>
      <c r="Q1531" s="85"/>
      <c r="R1531" s="85"/>
      <c r="S1531" s="85"/>
      <c r="T1531" s="85"/>
    </row>
    <row r="1532" spans="12:20" x14ac:dyDescent="0.3">
      <c r="L1532" s="85"/>
      <c r="M1532" s="85"/>
      <c r="N1532" s="85"/>
      <c r="O1532" s="85"/>
      <c r="P1532" s="85"/>
      <c r="Q1532" s="85"/>
      <c r="R1532" s="85"/>
      <c r="S1532" s="85"/>
      <c r="T1532" s="85"/>
    </row>
    <row r="1533" spans="12:20" x14ac:dyDescent="0.3">
      <c r="L1533" s="85"/>
      <c r="M1533" s="85"/>
      <c r="N1533" s="85"/>
      <c r="O1533" s="85"/>
      <c r="P1533" s="85"/>
      <c r="Q1533" s="85"/>
      <c r="R1533" s="85"/>
      <c r="S1533" s="85"/>
      <c r="T1533" s="85"/>
    </row>
    <row r="1534" spans="12:20" x14ac:dyDescent="0.3">
      <c r="L1534" s="85"/>
      <c r="M1534" s="85"/>
      <c r="N1534" s="85"/>
      <c r="O1534" s="85"/>
      <c r="P1534" s="85"/>
      <c r="Q1534" s="85"/>
      <c r="R1534" s="85"/>
      <c r="S1534" s="85"/>
      <c r="T1534" s="85"/>
    </row>
    <row r="1535" spans="12:20" x14ac:dyDescent="0.3">
      <c r="L1535" s="85"/>
      <c r="M1535" s="85"/>
      <c r="N1535" s="85"/>
      <c r="O1535" s="85"/>
      <c r="P1535" s="85"/>
      <c r="Q1535" s="85"/>
      <c r="R1535" s="85"/>
      <c r="S1535" s="85"/>
      <c r="T1535" s="85"/>
    </row>
    <row r="1536" spans="12:20" x14ac:dyDescent="0.3">
      <c r="L1536" s="85"/>
      <c r="M1536" s="85"/>
      <c r="N1536" s="85"/>
      <c r="O1536" s="85"/>
      <c r="P1536" s="85"/>
      <c r="Q1536" s="85"/>
      <c r="R1536" s="85"/>
      <c r="S1536" s="85"/>
      <c r="T1536" s="85"/>
    </row>
    <row r="1537" spans="12:20" x14ac:dyDescent="0.3">
      <c r="L1537" s="85"/>
      <c r="M1537" s="85"/>
      <c r="N1537" s="85"/>
      <c r="O1537" s="85"/>
      <c r="P1537" s="85"/>
      <c r="Q1537" s="85"/>
      <c r="R1537" s="85"/>
      <c r="S1537" s="85"/>
      <c r="T1537" s="85"/>
    </row>
    <row r="1538" spans="12:20" x14ac:dyDescent="0.3">
      <c r="L1538" s="85"/>
      <c r="M1538" s="85"/>
      <c r="N1538" s="85"/>
      <c r="O1538" s="85"/>
      <c r="P1538" s="85"/>
      <c r="Q1538" s="85"/>
      <c r="R1538" s="85"/>
      <c r="S1538" s="85"/>
      <c r="T1538" s="85"/>
    </row>
    <row r="1539" spans="12:20" x14ac:dyDescent="0.3">
      <c r="L1539" s="85"/>
      <c r="M1539" s="85"/>
      <c r="N1539" s="85"/>
      <c r="O1539" s="85"/>
      <c r="P1539" s="85"/>
      <c r="Q1539" s="85"/>
      <c r="R1539" s="85"/>
      <c r="S1539" s="85"/>
      <c r="T1539" s="85"/>
    </row>
    <row r="1540" spans="12:20" x14ac:dyDescent="0.3">
      <c r="L1540" s="85"/>
      <c r="M1540" s="85"/>
      <c r="N1540" s="85"/>
      <c r="O1540" s="85"/>
      <c r="P1540" s="85"/>
      <c r="Q1540" s="85"/>
      <c r="R1540" s="85"/>
      <c r="S1540" s="85"/>
      <c r="T1540" s="85"/>
    </row>
    <row r="1541" spans="12:20" x14ac:dyDescent="0.3">
      <c r="L1541" s="85"/>
      <c r="M1541" s="85"/>
      <c r="N1541" s="85"/>
      <c r="O1541" s="85"/>
      <c r="P1541" s="85"/>
      <c r="Q1541" s="85"/>
      <c r="R1541" s="85"/>
      <c r="S1541" s="85"/>
      <c r="T1541" s="85"/>
    </row>
    <row r="1542" spans="12:20" x14ac:dyDescent="0.3">
      <c r="L1542" s="85"/>
      <c r="M1542" s="85"/>
      <c r="N1542" s="85"/>
      <c r="O1542" s="85"/>
      <c r="P1542" s="85"/>
      <c r="Q1542" s="85"/>
      <c r="R1542" s="85"/>
      <c r="S1542" s="85"/>
      <c r="T1542" s="85"/>
    </row>
    <row r="1543" spans="12:20" x14ac:dyDescent="0.3">
      <c r="L1543" s="85"/>
      <c r="M1543" s="85"/>
      <c r="N1543" s="85"/>
      <c r="O1543" s="85"/>
      <c r="P1543" s="85"/>
      <c r="Q1543" s="85"/>
      <c r="R1543" s="85"/>
      <c r="S1543" s="85"/>
      <c r="T1543" s="85"/>
    </row>
    <row r="1544" spans="12:20" x14ac:dyDescent="0.3">
      <c r="L1544" s="85"/>
      <c r="M1544" s="85"/>
      <c r="N1544" s="85"/>
      <c r="O1544" s="85"/>
      <c r="P1544" s="85"/>
      <c r="Q1544" s="85"/>
      <c r="R1544" s="85"/>
      <c r="S1544" s="85"/>
      <c r="T1544" s="85"/>
    </row>
    <row r="1545" spans="12:20" x14ac:dyDescent="0.3">
      <c r="L1545" s="85"/>
      <c r="M1545" s="85"/>
      <c r="N1545" s="85"/>
      <c r="O1545" s="85"/>
      <c r="P1545" s="85"/>
      <c r="Q1545" s="85"/>
      <c r="R1545" s="85"/>
      <c r="S1545" s="85"/>
      <c r="T1545" s="85"/>
    </row>
    <row r="1546" spans="12:20" x14ac:dyDescent="0.3">
      <c r="L1546" s="85"/>
      <c r="M1546" s="85"/>
      <c r="N1546" s="85"/>
      <c r="O1546" s="85"/>
      <c r="P1546" s="85"/>
      <c r="Q1546" s="85"/>
      <c r="R1546" s="85"/>
      <c r="S1546" s="85"/>
      <c r="T1546" s="85"/>
    </row>
    <row r="1547" spans="12:20" x14ac:dyDescent="0.3">
      <c r="L1547" s="85"/>
      <c r="M1547" s="85"/>
      <c r="N1547" s="85"/>
      <c r="O1547" s="85"/>
      <c r="P1547" s="85"/>
      <c r="Q1547" s="85"/>
      <c r="R1547" s="85"/>
      <c r="S1547" s="85"/>
      <c r="T1547" s="85"/>
    </row>
    <row r="1548" spans="12:20" x14ac:dyDescent="0.3">
      <c r="L1548" s="85"/>
      <c r="M1548" s="85"/>
      <c r="N1548" s="85"/>
      <c r="O1548" s="85"/>
      <c r="P1548" s="85"/>
      <c r="Q1548" s="85"/>
      <c r="R1548" s="85"/>
      <c r="S1548" s="85"/>
      <c r="T1548" s="85"/>
    </row>
    <row r="1549" spans="12:20" x14ac:dyDescent="0.3">
      <c r="L1549" s="85"/>
      <c r="M1549" s="85"/>
      <c r="N1549" s="85"/>
      <c r="O1549" s="85"/>
      <c r="P1549" s="85"/>
      <c r="Q1549" s="85"/>
      <c r="R1549" s="85"/>
      <c r="S1549" s="85"/>
      <c r="T1549" s="85"/>
    </row>
    <row r="1550" spans="12:20" x14ac:dyDescent="0.3">
      <c r="L1550" s="85"/>
      <c r="M1550" s="85"/>
      <c r="N1550" s="85"/>
      <c r="O1550" s="85"/>
      <c r="P1550" s="85"/>
      <c r="Q1550" s="85"/>
      <c r="R1550" s="85"/>
      <c r="S1550" s="85"/>
      <c r="T1550" s="85"/>
    </row>
    <row r="1551" spans="12:20" x14ac:dyDescent="0.3">
      <c r="L1551" s="85"/>
      <c r="M1551" s="85"/>
      <c r="N1551" s="85"/>
      <c r="O1551" s="85"/>
      <c r="P1551" s="85"/>
      <c r="Q1551" s="85"/>
      <c r="R1551" s="85"/>
      <c r="S1551" s="85"/>
      <c r="T1551" s="85"/>
    </row>
    <row r="1552" spans="12:20" x14ac:dyDescent="0.3">
      <c r="L1552" s="85"/>
      <c r="M1552" s="85"/>
      <c r="N1552" s="85"/>
      <c r="O1552" s="85"/>
      <c r="P1552" s="85"/>
      <c r="Q1552" s="85"/>
      <c r="R1552" s="85"/>
      <c r="S1552" s="85"/>
      <c r="T1552" s="85"/>
    </row>
    <row r="1553" spans="12:20" x14ac:dyDescent="0.3">
      <c r="L1553" s="85"/>
      <c r="M1553" s="85"/>
      <c r="N1553" s="85"/>
      <c r="O1553" s="85"/>
      <c r="P1553" s="85"/>
      <c r="Q1553" s="85"/>
      <c r="R1553" s="85"/>
      <c r="S1553" s="85"/>
      <c r="T1553" s="85"/>
    </row>
    <row r="1554" spans="12:20" x14ac:dyDescent="0.3">
      <c r="L1554" s="85"/>
      <c r="M1554" s="85"/>
      <c r="N1554" s="85"/>
      <c r="O1554" s="85"/>
      <c r="P1554" s="85"/>
      <c r="Q1554" s="85"/>
      <c r="R1554" s="85"/>
      <c r="S1554" s="85"/>
      <c r="T1554" s="85"/>
    </row>
    <row r="1555" spans="12:20" x14ac:dyDescent="0.3">
      <c r="L1555" s="85"/>
      <c r="M1555" s="85"/>
      <c r="N1555" s="85"/>
      <c r="O1555" s="85"/>
      <c r="P1555" s="85"/>
      <c r="Q1555" s="85"/>
      <c r="R1555" s="85"/>
      <c r="S1555" s="85"/>
      <c r="T1555" s="85"/>
    </row>
    <row r="1556" spans="12:20" x14ac:dyDescent="0.3">
      <c r="L1556" s="85"/>
      <c r="M1556" s="85"/>
      <c r="N1556" s="85"/>
      <c r="O1556" s="85"/>
      <c r="P1556" s="85"/>
      <c r="Q1556" s="85"/>
      <c r="R1556" s="85"/>
      <c r="S1556" s="85"/>
      <c r="T1556" s="85"/>
    </row>
    <row r="1557" spans="12:20" x14ac:dyDescent="0.3">
      <c r="L1557" s="85"/>
      <c r="M1557" s="85"/>
      <c r="N1557" s="85"/>
      <c r="O1557" s="85"/>
      <c r="P1557" s="85"/>
      <c r="Q1557" s="85"/>
      <c r="R1557" s="85"/>
      <c r="S1557" s="85"/>
      <c r="T1557" s="85"/>
    </row>
    <row r="1558" spans="12:20" x14ac:dyDescent="0.3">
      <c r="L1558" s="85"/>
      <c r="M1558" s="85"/>
      <c r="N1558" s="85"/>
      <c r="O1558" s="85"/>
      <c r="P1558" s="85"/>
      <c r="Q1558" s="85"/>
      <c r="R1558" s="85"/>
      <c r="S1558" s="85"/>
      <c r="T1558" s="85"/>
    </row>
    <row r="1559" spans="12:20" x14ac:dyDescent="0.3">
      <c r="L1559" s="85"/>
      <c r="M1559" s="85"/>
      <c r="N1559" s="85"/>
      <c r="O1559" s="85"/>
      <c r="P1559" s="85"/>
      <c r="Q1559" s="85"/>
      <c r="R1559" s="85"/>
      <c r="S1559" s="85"/>
      <c r="T1559" s="85"/>
    </row>
    <row r="1560" spans="12:20" x14ac:dyDescent="0.3">
      <c r="L1560" s="85"/>
      <c r="M1560" s="85"/>
      <c r="N1560" s="85"/>
      <c r="O1560" s="85"/>
      <c r="P1560" s="85"/>
      <c r="Q1560" s="85"/>
      <c r="R1560" s="85"/>
      <c r="S1560" s="85"/>
      <c r="T1560" s="85"/>
    </row>
    <row r="1561" spans="12:20" x14ac:dyDescent="0.3">
      <c r="L1561" s="85"/>
      <c r="M1561" s="85"/>
      <c r="N1561" s="85"/>
      <c r="O1561" s="85"/>
      <c r="P1561" s="85"/>
      <c r="Q1561" s="85"/>
      <c r="R1561" s="85"/>
      <c r="S1561" s="85"/>
      <c r="T1561" s="85"/>
    </row>
    <row r="1562" spans="12:20" x14ac:dyDescent="0.3">
      <c r="L1562" s="85"/>
      <c r="M1562" s="85"/>
      <c r="N1562" s="85"/>
      <c r="O1562" s="85"/>
      <c r="P1562" s="85"/>
      <c r="Q1562" s="85"/>
      <c r="R1562" s="85"/>
      <c r="S1562" s="85"/>
      <c r="T1562" s="85"/>
    </row>
    <row r="1563" spans="12:20" x14ac:dyDescent="0.3">
      <c r="L1563" s="85"/>
      <c r="M1563" s="85"/>
      <c r="N1563" s="85"/>
      <c r="O1563" s="85"/>
      <c r="P1563" s="85"/>
      <c r="Q1563" s="85"/>
      <c r="R1563" s="85"/>
      <c r="S1563" s="85"/>
      <c r="T1563" s="85"/>
    </row>
    <row r="1564" spans="12:20" x14ac:dyDescent="0.3">
      <c r="L1564" s="85"/>
      <c r="M1564" s="85"/>
      <c r="N1564" s="85"/>
      <c r="O1564" s="85"/>
      <c r="P1564" s="85"/>
      <c r="Q1564" s="85"/>
      <c r="R1564" s="85"/>
      <c r="S1564" s="85"/>
      <c r="T1564" s="85"/>
    </row>
    <row r="1565" spans="12:20" x14ac:dyDescent="0.3">
      <c r="L1565" s="85"/>
      <c r="M1565" s="85"/>
      <c r="N1565" s="85"/>
      <c r="O1565" s="85"/>
      <c r="P1565" s="85"/>
      <c r="Q1565" s="85"/>
      <c r="R1565" s="85"/>
      <c r="S1565" s="85"/>
      <c r="T1565" s="85"/>
    </row>
    <row r="1566" spans="12:20" x14ac:dyDescent="0.3">
      <c r="L1566" s="85"/>
      <c r="M1566" s="85"/>
      <c r="N1566" s="85"/>
      <c r="O1566" s="85"/>
      <c r="P1566" s="85"/>
      <c r="Q1566" s="85"/>
      <c r="R1566" s="85"/>
      <c r="S1566" s="85"/>
      <c r="T1566" s="85"/>
    </row>
    <row r="1567" spans="12:20" x14ac:dyDescent="0.3">
      <c r="L1567" s="85"/>
      <c r="M1567" s="85"/>
      <c r="N1567" s="85"/>
      <c r="O1567" s="85"/>
      <c r="P1567" s="85"/>
      <c r="Q1567" s="85"/>
      <c r="R1567" s="85"/>
      <c r="S1567" s="85"/>
      <c r="T1567" s="85"/>
    </row>
    <row r="1568" spans="12:20" x14ac:dyDescent="0.3">
      <c r="L1568" s="85"/>
      <c r="M1568" s="85"/>
      <c r="N1568" s="85"/>
      <c r="O1568" s="85"/>
      <c r="P1568" s="85"/>
      <c r="Q1568" s="85"/>
      <c r="R1568" s="85"/>
      <c r="S1568" s="85"/>
      <c r="T1568" s="85"/>
    </row>
    <row r="1569" spans="12:20" x14ac:dyDescent="0.3">
      <c r="L1569" s="85"/>
      <c r="M1569" s="85"/>
      <c r="N1569" s="85"/>
      <c r="O1569" s="85"/>
      <c r="P1569" s="85"/>
      <c r="Q1569" s="85"/>
      <c r="R1569" s="85"/>
      <c r="S1569" s="85"/>
      <c r="T1569" s="85"/>
    </row>
    <row r="1570" spans="12:20" x14ac:dyDescent="0.3">
      <c r="L1570" s="85"/>
      <c r="M1570" s="85"/>
      <c r="N1570" s="85"/>
      <c r="O1570" s="85"/>
      <c r="P1570" s="85"/>
      <c r="Q1570" s="85"/>
      <c r="R1570" s="85"/>
      <c r="S1570" s="85"/>
      <c r="T1570" s="85"/>
    </row>
    <row r="1571" spans="12:20" x14ac:dyDescent="0.3">
      <c r="L1571" s="85"/>
      <c r="M1571" s="85"/>
      <c r="N1571" s="85"/>
      <c r="O1571" s="85"/>
      <c r="P1571" s="85"/>
      <c r="Q1571" s="85"/>
      <c r="R1571" s="85"/>
      <c r="S1571" s="85"/>
      <c r="T1571" s="85"/>
    </row>
    <row r="1572" spans="12:20" x14ac:dyDescent="0.3">
      <c r="L1572" s="85"/>
      <c r="M1572" s="86"/>
      <c r="N1572" s="86"/>
      <c r="O1572" s="85"/>
      <c r="P1572" s="87"/>
      <c r="Q1572" s="87"/>
      <c r="R1572" s="87"/>
      <c r="S1572" s="87"/>
      <c r="T1572" s="85"/>
    </row>
    <row r="1573" spans="12:20" x14ac:dyDescent="0.3">
      <c r="L1573" s="85"/>
      <c r="M1573" s="86"/>
      <c r="N1573" s="86"/>
      <c r="O1573" s="87"/>
      <c r="P1573" s="87"/>
      <c r="Q1573" s="87"/>
      <c r="R1573" s="87"/>
      <c r="S1573" s="87"/>
      <c r="T1573" s="85"/>
    </row>
    <row r="1574" spans="12:20" x14ac:dyDescent="0.3">
      <c r="L1574" s="85"/>
      <c r="M1574" s="86"/>
      <c r="N1574" s="86"/>
      <c r="O1574" s="87"/>
      <c r="P1574" s="87"/>
      <c r="Q1574" s="87"/>
      <c r="R1574" s="87"/>
      <c r="S1574" s="87"/>
      <c r="T1574" s="85"/>
    </row>
    <row r="1575" spans="12:20" x14ac:dyDescent="0.3">
      <c r="L1575" s="85"/>
      <c r="M1575" s="86"/>
      <c r="N1575" s="86"/>
      <c r="O1575" s="87"/>
      <c r="P1575" s="87"/>
      <c r="Q1575" s="87"/>
      <c r="R1575" s="87"/>
      <c r="S1575" s="87"/>
      <c r="T1575" s="85"/>
    </row>
    <row r="1576" spans="12:20" x14ac:dyDescent="0.3">
      <c r="L1576" s="85"/>
      <c r="M1576" s="86"/>
      <c r="N1576" s="86"/>
      <c r="O1576" s="87"/>
      <c r="P1576" s="87"/>
      <c r="Q1576" s="87"/>
      <c r="R1576" s="87"/>
      <c r="S1576" s="87"/>
      <c r="T1576" s="85"/>
    </row>
    <row r="1577" spans="12:20" x14ac:dyDescent="0.3">
      <c r="L1577" s="85"/>
      <c r="M1577" s="86"/>
      <c r="N1577" s="86"/>
      <c r="O1577" s="87"/>
      <c r="P1577" s="87"/>
      <c r="Q1577" s="87"/>
      <c r="R1577" s="87"/>
      <c r="S1577" s="87"/>
      <c r="T1577" s="85"/>
    </row>
    <row r="1578" spans="12:20" x14ac:dyDescent="0.3">
      <c r="L1578" s="85"/>
      <c r="M1578" s="86"/>
      <c r="N1578" s="86"/>
      <c r="O1578" s="87"/>
      <c r="P1578" s="87"/>
      <c r="Q1578" s="87"/>
      <c r="R1578" s="87"/>
      <c r="S1578" s="87"/>
      <c r="T1578" s="85"/>
    </row>
    <row r="1579" spans="12:20" x14ac:dyDescent="0.3">
      <c r="L1579" s="85"/>
      <c r="M1579" s="86"/>
      <c r="N1579" s="86"/>
      <c r="O1579" s="87"/>
      <c r="P1579" s="87"/>
      <c r="Q1579" s="87"/>
      <c r="R1579" s="87"/>
      <c r="S1579" s="87"/>
      <c r="T1579" s="85"/>
    </row>
    <row r="1580" spans="12:20" x14ac:dyDescent="0.3">
      <c r="L1580" s="85"/>
      <c r="M1580" s="86"/>
      <c r="N1580" s="86"/>
      <c r="O1580" s="87"/>
      <c r="P1580" s="87"/>
      <c r="Q1580" s="87"/>
      <c r="R1580" s="87"/>
      <c r="S1580" s="87"/>
      <c r="T1580" s="85"/>
    </row>
    <row r="1581" spans="12:20" x14ac:dyDescent="0.3">
      <c r="L1581" s="85"/>
      <c r="M1581" s="86"/>
      <c r="N1581" s="86"/>
      <c r="O1581" s="87"/>
      <c r="P1581" s="87"/>
      <c r="Q1581" s="87"/>
      <c r="R1581" s="87"/>
      <c r="S1581" s="87"/>
      <c r="T1581" s="85"/>
    </row>
    <row r="1582" spans="12:20" x14ac:dyDescent="0.3">
      <c r="L1582" s="85"/>
      <c r="M1582" s="86"/>
      <c r="N1582" s="86"/>
      <c r="O1582" s="87"/>
      <c r="P1582" s="87"/>
      <c r="Q1582" s="87"/>
      <c r="R1582" s="87"/>
      <c r="S1582" s="87"/>
      <c r="T1582" s="85"/>
    </row>
    <row r="1583" spans="12:20" x14ac:dyDescent="0.3">
      <c r="L1583" s="85"/>
      <c r="M1583" s="86"/>
      <c r="N1583" s="86"/>
      <c r="O1583" s="87"/>
      <c r="P1583" s="87"/>
      <c r="Q1583" s="87"/>
      <c r="R1583" s="87"/>
      <c r="S1583" s="87"/>
      <c r="T1583" s="85"/>
    </row>
    <row r="1584" spans="12:20" x14ac:dyDescent="0.3">
      <c r="L1584" s="85"/>
      <c r="M1584" s="86"/>
      <c r="N1584" s="86"/>
      <c r="O1584" s="87"/>
      <c r="P1584" s="87"/>
      <c r="Q1584" s="87"/>
      <c r="R1584" s="87"/>
      <c r="S1584" s="87"/>
      <c r="T1584" s="85"/>
    </row>
    <row r="1585" spans="12:20" x14ac:dyDescent="0.3">
      <c r="L1585" s="85"/>
      <c r="M1585" s="86"/>
      <c r="N1585" s="86"/>
      <c r="O1585" s="87"/>
      <c r="P1585" s="87"/>
      <c r="Q1585" s="87"/>
      <c r="R1585" s="87"/>
      <c r="S1585" s="87"/>
      <c r="T1585" s="85"/>
    </row>
    <row r="1586" spans="12:20" x14ac:dyDescent="0.3">
      <c r="L1586" s="85"/>
      <c r="M1586" s="86"/>
      <c r="N1586" s="86"/>
      <c r="O1586" s="87"/>
      <c r="P1586" s="87"/>
      <c r="Q1586" s="87"/>
      <c r="R1586" s="87"/>
      <c r="S1586" s="87"/>
      <c r="T1586" s="85"/>
    </row>
    <row r="1587" spans="12:20" x14ac:dyDescent="0.3">
      <c r="L1587" s="85"/>
      <c r="M1587" s="86"/>
      <c r="N1587" s="86"/>
      <c r="O1587" s="87"/>
      <c r="P1587" s="87"/>
      <c r="Q1587" s="87"/>
      <c r="R1587" s="87"/>
      <c r="S1587" s="87"/>
      <c r="T1587" s="85"/>
    </row>
    <row r="1588" spans="12:20" x14ac:dyDescent="0.3">
      <c r="L1588" s="85"/>
      <c r="M1588" s="86"/>
      <c r="N1588" s="86"/>
      <c r="O1588" s="87"/>
      <c r="P1588" s="87"/>
      <c r="Q1588" s="87"/>
      <c r="R1588" s="87"/>
      <c r="S1588" s="87"/>
      <c r="T1588" s="85"/>
    </row>
    <row r="1589" spans="12:20" x14ac:dyDescent="0.3">
      <c r="L1589" s="85"/>
      <c r="M1589" s="86"/>
      <c r="N1589" s="86"/>
      <c r="O1589" s="87"/>
      <c r="P1589" s="87"/>
      <c r="Q1589" s="87"/>
      <c r="R1589" s="87"/>
      <c r="S1589" s="87"/>
      <c r="T1589" s="85"/>
    </row>
    <row r="1590" spans="12:20" x14ac:dyDescent="0.3">
      <c r="L1590" s="85"/>
      <c r="M1590" s="86"/>
      <c r="N1590" s="86"/>
      <c r="O1590" s="87"/>
      <c r="P1590" s="87"/>
      <c r="Q1590" s="87"/>
      <c r="R1590" s="87"/>
      <c r="S1590" s="87"/>
      <c r="T1590" s="85"/>
    </row>
    <row r="1591" spans="12:20" x14ac:dyDescent="0.3">
      <c r="L1591" s="85"/>
      <c r="M1591" s="86"/>
      <c r="N1591" s="86"/>
      <c r="O1591" s="87"/>
      <c r="P1591" s="87"/>
      <c r="Q1591" s="87"/>
      <c r="R1591" s="87"/>
      <c r="S1591" s="87"/>
      <c r="T1591" s="85"/>
    </row>
    <row r="1592" spans="12:20" x14ac:dyDescent="0.3">
      <c r="L1592" s="85"/>
      <c r="M1592" s="86"/>
      <c r="N1592" s="86"/>
      <c r="O1592" s="87"/>
      <c r="P1592" s="87"/>
      <c r="Q1592" s="87"/>
      <c r="R1592" s="87"/>
      <c r="S1592" s="87"/>
      <c r="T1592" s="85"/>
    </row>
    <row r="1593" spans="12:20" x14ac:dyDescent="0.3">
      <c r="L1593" s="85"/>
      <c r="M1593" s="86"/>
      <c r="N1593" s="86"/>
      <c r="O1593" s="87"/>
      <c r="P1593" s="87"/>
      <c r="Q1593" s="87"/>
      <c r="R1593" s="87"/>
      <c r="S1593" s="87"/>
      <c r="T1593" s="85"/>
    </row>
    <row r="1594" spans="12:20" x14ac:dyDescent="0.3">
      <c r="L1594" s="85"/>
      <c r="M1594" s="86"/>
      <c r="N1594" s="86"/>
      <c r="O1594" s="87"/>
      <c r="P1594" s="87"/>
      <c r="Q1594" s="87"/>
      <c r="R1594" s="87"/>
      <c r="S1594" s="87"/>
      <c r="T1594" s="85"/>
    </row>
    <row r="1595" spans="12:20" x14ac:dyDescent="0.3">
      <c r="L1595" s="85"/>
      <c r="M1595" s="86"/>
      <c r="N1595" s="86"/>
      <c r="O1595" s="87"/>
      <c r="P1595" s="87"/>
      <c r="Q1595" s="87"/>
      <c r="R1595" s="87"/>
      <c r="S1595" s="87"/>
      <c r="T1595" s="85"/>
    </row>
    <row r="1596" spans="12:20" x14ac:dyDescent="0.3">
      <c r="L1596" s="85"/>
      <c r="M1596" s="86"/>
      <c r="N1596" s="86"/>
      <c r="O1596" s="87"/>
      <c r="P1596" s="87"/>
      <c r="Q1596" s="87"/>
      <c r="R1596" s="87"/>
      <c r="S1596" s="87"/>
      <c r="T1596" s="85"/>
    </row>
    <row r="1597" spans="12:20" x14ac:dyDescent="0.3">
      <c r="L1597" s="85"/>
      <c r="M1597" s="86"/>
      <c r="N1597" s="86"/>
      <c r="O1597" s="87"/>
      <c r="P1597" s="87"/>
      <c r="Q1597" s="87"/>
      <c r="R1597" s="87"/>
      <c r="S1597" s="87"/>
      <c r="T1597" s="85"/>
    </row>
    <row r="1598" spans="12:20" x14ac:dyDescent="0.3">
      <c r="L1598" s="85"/>
      <c r="M1598" s="86"/>
      <c r="N1598" s="86"/>
      <c r="O1598" s="87"/>
      <c r="P1598" s="87"/>
      <c r="Q1598" s="87"/>
      <c r="R1598" s="87"/>
      <c r="S1598" s="87"/>
      <c r="T1598" s="85"/>
    </row>
    <row r="1599" spans="12:20" x14ac:dyDescent="0.3">
      <c r="L1599" s="85"/>
      <c r="M1599" s="86"/>
      <c r="N1599" s="86"/>
      <c r="O1599" s="87"/>
      <c r="P1599" s="87"/>
      <c r="Q1599" s="87"/>
      <c r="R1599" s="87"/>
      <c r="S1599" s="87"/>
      <c r="T1599" s="85"/>
    </row>
    <row r="1600" spans="12:20" x14ac:dyDescent="0.3">
      <c r="L1600" s="85"/>
      <c r="M1600" s="86"/>
      <c r="N1600" s="86"/>
      <c r="O1600" s="87"/>
      <c r="P1600" s="87"/>
      <c r="Q1600" s="87"/>
      <c r="R1600" s="87"/>
      <c r="S1600" s="87"/>
      <c r="T1600" s="85"/>
    </row>
    <row r="1601" spans="12:20" x14ac:dyDescent="0.3">
      <c r="L1601" s="85"/>
      <c r="M1601" s="86"/>
      <c r="N1601" s="86"/>
      <c r="O1601" s="87"/>
      <c r="P1601" s="87"/>
      <c r="Q1601" s="87"/>
      <c r="R1601" s="87"/>
      <c r="S1601" s="87"/>
      <c r="T1601" s="85"/>
    </row>
    <row r="1602" spans="12:20" x14ac:dyDescent="0.3">
      <c r="L1602" s="85"/>
      <c r="M1602" s="86"/>
      <c r="N1602" s="86"/>
      <c r="O1602" s="87"/>
      <c r="P1602" s="87"/>
      <c r="Q1602" s="87"/>
      <c r="R1602" s="87"/>
      <c r="S1602" s="87"/>
      <c r="T1602" s="85"/>
    </row>
    <row r="1603" spans="12:20" x14ac:dyDescent="0.3">
      <c r="L1603" s="85"/>
      <c r="M1603" s="86"/>
      <c r="N1603" s="86"/>
      <c r="O1603" s="87"/>
      <c r="P1603" s="87"/>
      <c r="Q1603" s="87"/>
      <c r="R1603" s="87"/>
      <c r="S1603" s="87"/>
      <c r="T1603" s="85"/>
    </row>
    <row r="1604" spans="12:20" x14ac:dyDescent="0.3">
      <c r="L1604" s="85"/>
      <c r="M1604" s="86"/>
      <c r="N1604" s="86"/>
      <c r="O1604" s="87"/>
      <c r="P1604" s="87"/>
      <c r="Q1604" s="87"/>
      <c r="R1604" s="87"/>
      <c r="S1604" s="87"/>
      <c r="T1604" s="85"/>
    </row>
    <row r="1605" spans="12:20" x14ac:dyDescent="0.3">
      <c r="L1605" s="85"/>
      <c r="M1605" s="86"/>
      <c r="N1605" s="86"/>
      <c r="O1605" s="87"/>
      <c r="P1605" s="87"/>
      <c r="Q1605" s="87"/>
      <c r="R1605" s="87"/>
      <c r="S1605" s="87"/>
      <c r="T1605" s="85"/>
    </row>
    <row r="1606" spans="12:20" x14ac:dyDescent="0.3">
      <c r="L1606" s="85"/>
      <c r="M1606" s="86"/>
      <c r="N1606" s="86"/>
      <c r="O1606" s="87"/>
      <c r="P1606" s="87"/>
      <c r="Q1606" s="87"/>
      <c r="R1606" s="87"/>
      <c r="S1606" s="87"/>
      <c r="T1606" s="85"/>
    </row>
    <row r="1607" spans="12:20" x14ac:dyDescent="0.3">
      <c r="L1607" s="85"/>
      <c r="M1607" s="86"/>
      <c r="N1607" s="86"/>
      <c r="O1607" s="87"/>
      <c r="P1607" s="87"/>
      <c r="Q1607" s="87"/>
      <c r="R1607" s="87"/>
      <c r="S1607" s="87"/>
      <c r="T1607" s="85"/>
    </row>
    <row r="1608" spans="12:20" x14ac:dyDescent="0.3">
      <c r="L1608" s="85"/>
      <c r="M1608" s="86"/>
      <c r="N1608" s="86"/>
      <c r="O1608" s="87"/>
      <c r="P1608" s="87"/>
      <c r="Q1608" s="87"/>
      <c r="R1608" s="87"/>
      <c r="S1608" s="87"/>
      <c r="T1608" s="85"/>
    </row>
    <row r="1609" spans="12:20" x14ac:dyDescent="0.3">
      <c r="L1609" s="85"/>
      <c r="M1609" s="86"/>
      <c r="N1609" s="86"/>
      <c r="O1609" s="87"/>
      <c r="P1609" s="87"/>
      <c r="Q1609" s="87"/>
      <c r="R1609" s="87"/>
      <c r="S1609" s="87"/>
      <c r="T1609" s="85"/>
    </row>
    <row r="1610" spans="12:20" x14ac:dyDescent="0.3">
      <c r="L1610" s="85"/>
      <c r="M1610" s="86"/>
      <c r="N1610" s="86"/>
      <c r="O1610" s="87"/>
      <c r="P1610" s="87"/>
      <c r="Q1610" s="87"/>
      <c r="R1610" s="87"/>
      <c r="S1610" s="87"/>
      <c r="T1610" s="85"/>
    </row>
    <row r="1611" spans="12:20" x14ac:dyDescent="0.3">
      <c r="L1611" s="85"/>
      <c r="M1611" s="86"/>
      <c r="N1611" s="86"/>
      <c r="O1611" s="87"/>
      <c r="P1611" s="87"/>
      <c r="Q1611" s="87"/>
      <c r="R1611" s="87"/>
      <c r="S1611" s="87"/>
      <c r="T1611" s="85"/>
    </row>
    <row r="1612" spans="12:20" x14ac:dyDescent="0.3">
      <c r="L1612" s="85"/>
      <c r="M1612" s="86"/>
      <c r="N1612" s="86"/>
      <c r="O1612" s="87"/>
      <c r="P1612" s="87"/>
      <c r="Q1612" s="87"/>
      <c r="R1612" s="87"/>
      <c r="S1612" s="87"/>
      <c r="T1612" s="85"/>
    </row>
    <row r="1613" spans="12:20" x14ac:dyDescent="0.3">
      <c r="L1613" s="85"/>
      <c r="M1613" s="86"/>
      <c r="N1613" s="86"/>
      <c r="O1613" s="87"/>
      <c r="P1613" s="87"/>
      <c r="Q1613" s="87"/>
      <c r="R1613" s="87"/>
      <c r="S1613" s="87"/>
      <c r="T1613" s="85"/>
    </row>
    <row r="1614" spans="12:20" x14ac:dyDescent="0.3">
      <c r="L1614" s="85"/>
      <c r="M1614" s="86"/>
      <c r="N1614" s="86"/>
      <c r="O1614" s="87"/>
      <c r="P1614" s="87"/>
      <c r="Q1614" s="87"/>
      <c r="R1614" s="87"/>
      <c r="S1614" s="87"/>
      <c r="T1614" s="85"/>
    </row>
    <row r="1615" spans="12:20" x14ac:dyDescent="0.3">
      <c r="L1615" s="85"/>
      <c r="M1615" s="86"/>
      <c r="N1615" s="86"/>
      <c r="O1615" s="87"/>
      <c r="P1615" s="87"/>
      <c r="Q1615" s="87"/>
      <c r="R1615" s="87"/>
      <c r="S1615" s="87"/>
      <c r="T1615" s="85"/>
    </row>
    <row r="1616" spans="12:20" x14ac:dyDescent="0.3">
      <c r="L1616" s="85"/>
      <c r="M1616" s="86"/>
      <c r="N1616" s="86"/>
      <c r="O1616" s="87"/>
      <c r="P1616" s="87"/>
      <c r="Q1616" s="87"/>
      <c r="R1616" s="87"/>
      <c r="S1616" s="87"/>
      <c r="T1616" s="85"/>
    </row>
    <row r="1617" spans="12:20" x14ac:dyDescent="0.3">
      <c r="L1617" s="85"/>
      <c r="M1617" s="86"/>
      <c r="N1617" s="86"/>
      <c r="O1617" s="87"/>
      <c r="P1617" s="87"/>
      <c r="Q1617" s="87"/>
      <c r="R1617" s="87"/>
      <c r="S1617" s="87"/>
      <c r="T1617" s="85"/>
    </row>
    <row r="1618" spans="12:20" x14ac:dyDescent="0.3">
      <c r="L1618" s="85"/>
      <c r="M1618" s="86"/>
      <c r="N1618" s="86"/>
      <c r="O1618" s="87"/>
      <c r="P1618" s="87"/>
      <c r="Q1618" s="87"/>
      <c r="R1618" s="87"/>
      <c r="S1618" s="87"/>
      <c r="T1618" s="85"/>
    </row>
    <row r="1619" spans="12:20" x14ac:dyDescent="0.3">
      <c r="L1619" s="85"/>
      <c r="M1619" s="86"/>
      <c r="N1619" s="86"/>
      <c r="O1619" s="87"/>
      <c r="P1619" s="87"/>
      <c r="Q1619" s="87"/>
      <c r="R1619" s="87"/>
      <c r="S1619" s="87"/>
      <c r="T1619" s="85"/>
    </row>
    <row r="1620" spans="12:20" x14ac:dyDescent="0.3">
      <c r="L1620" s="85"/>
      <c r="M1620" s="86"/>
      <c r="N1620" s="86"/>
      <c r="O1620" s="87"/>
      <c r="P1620" s="87"/>
      <c r="Q1620" s="87"/>
      <c r="R1620" s="87"/>
      <c r="S1620" s="87"/>
      <c r="T1620" s="85"/>
    </row>
    <row r="1621" spans="12:20" x14ac:dyDescent="0.3">
      <c r="L1621" s="85"/>
      <c r="M1621" s="86"/>
      <c r="N1621" s="86"/>
      <c r="O1621" s="87"/>
      <c r="P1621" s="87"/>
      <c r="Q1621" s="87"/>
      <c r="R1621" s="87"/>
      <c r="S1621" s="87"/>
      <c r="T1621" s="85"/>
    </row>
    <row r="1622" spans="12:20" x14ac:dyDescent="0.3">
      <c r="L1622" s="85"/>
      <c r="M1622" s="86"/>
      <c r="N1622" s="86"/>
      <c r="O1622" s="87"/>
      <c r="P1622" s="87"/>
      <c r="Q1622" s="87"/>
      <c r="R1622" s="87"/>
      <c r="S1622" s="87"/>
      <c r="T1622" s="85"/>
    </row>
    <row r="1623" spans="12:20" x14ac:dyDescent="0.3">
      <c r="L1623" s="85"/>
      <c r="M1623" s="86"/>
      <c r="N1623" s="86"/>
      <c r="O1623" s="87"/>
      <c r="P1623" s="87"/>
      <c r="Q1623" s="87"/>
      <c r="R1623" s="87"/>
      <c r="S1623" s="87"/>
      <c r="T1623" s="85"/>
    </row>
    <row r="1624" spans="12:20" x14ac:dyDescent="0.3">
      <c r="L1624" s="85"/>
      <c r="M1624" s="86"/>
      <c r="N1624" s="86"/>
      <c r="O1624" s="87"/>
      <c r="P1624" s="87"/>
      <c r="Q1624" s="87"/>
      <c r="R1624" s="87"/>
      <c r="S1624" s="87"/>
      <c r="T1624" s="85"/>
    </row>
    <row r="1625" spans="12:20" x14ac:dyDescent="0.3">
      <c r="L1625" s="85"/>
      <c r="M1625" s="86"/>
      <c r="N1625" s="86"/>
      <c r="O1625" s="87"/>
      <c r="P1625" s="87"/>
      <c r="Q1625" s="87"/>
      <c r="R1625" s="87"/>
      <c r="S1625" s="87"/>
      <c r="T1625" s="85"/>
    </row>
    <row r="1626" spans="12:20" x14ac:dyDescent="0.3">
      <c r="L1626" s="85"/>
      <c r="M1626" s="86"/>
      <c r="N1626" s="86"/>
      <c r="O1626" s="87"/>
      <c r="P1626" s="87"/>
      <c r="Q1626" s="87"/>
      <c r="R1626" s="87"/>
      <c r="S1626" s="87"/>
      <c r="T1626" s="85"/>
    </row>
    <row r="1627" spans="12:20" x14ac:dyDescent="0.3">
      <c r="L1627" s="85"/>
      <c r="M1627" s="86"/>
      <c r="N1627" s="86"/>
      <c r="O1627" s="87"/>
      <c r="P1627" s="87"/>
      <c r="Q1627" s="87"/>
      <c r="R1627" s="87"/>
      <c r="S1627" s="87"/>
      <c r="T1627" s="85"/>
    </row>
    <row r="1628" spans="12:20" x14ac:dyDescent="0.3">
      <c r="L1628" s="85"/>
      <c r="M1628" s="86"/>
      <c r="N1628" s="86"/>
      <c r="O1628" s="87"/>
      <c r="P1628" s="87"/>
      <c r="Q1628" s="87"/>
      <c r="R1628" s="87"/>
      <c r="S1628" s="87"/>
      <c r="T1628" s="85"/>
    </row>
    <row r="1629" spans="12:20" x14ac:dyDescent="0.3">
      <c r="L1629" s="85"/>
      <c r="M1629" s="86"/>
      <c r="N1629" s="86"/>
      <c r="O1629" s="87"/>
      <c r="P1629" s="87"/>
      <c r="Q1629" s="87"/>
      <c r="R1629" s="87"/>
      <c r="S1629" s="87"/>
      <c r="T1629" s="85"/>
    </row>
    <row r="1630" spans="12:20" x14ac:dyDescent="0.3">
      <c r="L1630" s="85"/>
      <c r="M1630" s="86"/>
      <c r="N1630" s="86"/>
      <c r="O1630" s="87"/>
      <c r="P1630" s="87"/>
      <c r="Q1630" s="87"/>
      <c r="R1630" s="87"/>
      <c r="S1630" s="87"/>
      <c r="T1630" s="85"/>
    </row>
    <row r="1631" spans="12:20" x14ac:dyDescent="0.3">
      <c r="L1631" s="85"/>
      <c r="M1631" s="86"/>
      <c r="N1631" s="86"/>
      <c r="O1631" s="87"/>
      <c r="P1631" s="87"/>
      <c r="Q1631" s="87"/>
      <c r="R1631" s="87"/>
      <c r="S1631" s="87"/>
      <c r="T1631" s="85"/>
    </row>
    <row r="1632" spans="12:20" x14ac:dyDescent="0.3">
      <c r="L1632" s="85"/>
      <c r="M1632" s="86"/>
      <c r="N1632" s="86"/>
      <c r="O1632" s="87"/>
      <c r="P1632" s="87"/>
      <c r="Q1632" s="87"/>
      <c r="R1632" s="87"/>
      <c r="S1632" s="87"/>
      <c r="T1632" s="85"/>
    </row>
    <row r="1633" spans="12:20" x14ac:dyDescent="0.3">
      <c r="L1633" s="85"/>
      <c r="M1633" s="86"/>
      <c r="N1633" s="86"/>
      <c r="O1633" s="87"/>
      <c r="P1633" s="87"/>
      <c r="Q1633" s="87"/>
      <c r="R1633" s="87"/>
      <c r="S1633" s="87"/>
      <c r="T1633" s="85"/>
    </row>
    <row r="1634" spans="12:20" x14ac:dyDescent="0.3">
      <c r="L1634" s="85"/>
      <c r="M1634" s="86"/>
      <c r="N1634" s="86"/>
      <c r="O1634" s="87"/>
      <c r="P1634" s="87"/>
      <c r="Q1634" s="87"/>
      <c r="R1634" s="87"/>
      <c r="S1634" s="87"/>
      <c r="T1634" s="85"/>
    </row>
    <row r="1635" spans="12:20" x14ac:dyDescent="0.3">
      <c r="L1635" s="85"/>
      <c r="M1635" s="86"/>
      <c r="N1635" s="86"/>
      <c r="O1635" s="87"/>
      <c r="P1635" s="87"/>
      <c r="Q1635" s="87"/>
      <c r="R1635" s="87"/>
      <c r="S1635" s="87"/>
      <c r="T1635" s="85"/>
    </row>
    <row r="1636" spans="12:20" x14ac:dyDescent="0.3">
      <c r="L1636" s="85"/>
      <c r="M1636" s="86"/>
      <c r="N1636" s="86"/>
      <c r="O1636" s="87"/>
      <c r="P1636" s="87"/>
      <c r="Q1636" s="87"/>
      <c r="R1636" s="87"/>
      <c r="S1636" s="87"/>
      <c r="T1636" s="85"/>
    </row>
    <row r="1637" spans="12:20" x14ac:dyDescent="0.3">
      <c r="L1637" s="85"/>
      <c r="M1637" s="86"/>
      <c r="N1637" s="86"/>
      <c r="O1637" s="87"/>
      <c r="P1637" s="87"/>
      <c r="Q1637" s="87"/>
      <c r="R1637" s="87"/>
      <c r="S1637" s="87"/>
      <c r="T1637" s="85"/>
    </row>
    <row r="1638" spans="12:20" x14ac:dyDescent="0.3">
      <c r="L1638" s="85"/>
      <c r="M1638" s="86"/>
      <c r="N1638" s="86"/>
      <c r="O1638" s="87"/>
      <c r="P1638" s="87"/>
      <c r="Q1638" s="87"/>
      <c r="R1638" s="87"/>
      <c r="S1638" s="87"/>
      <c r="T1638" s="85"/>
    </row>
    <row r="1639" spans="12:20" x14ac:dyDescent="0.3">
      <c r="L1639" s="85"/>
      <c r="M1639" s="86"/>
      <c r="N1639" s="86"/>
      <c r="O1639" s="87"/>
      <c r="P1639" s="87"/>
      <c r="Q1639" s="87"/>
      <c r="R1639" s="87"/>
      <c r="S1639" s="87"/>
      <c r="T1639" s="85"/>
    </row>
    <row r="1640" spans="12:20" x14ac:dyDescent="0.3">
      <c r="L1640" s="85"/>
      <c r="M1640" s="86"/>
      <c r="N1640" s="86"/>
      <c r="O1640" s="87"/>
      <c r="P1640" s="87"/>
      <c r="Q1640" s="87"/>
      <c r="R1640" s="87"/>
      <c r="S1640" s="87"/>
      <c r="T1640" s="85"/>
    </row>
    <row r="1641" spans="12:20" x14ac:dyDescent="0.3">
      <c r="L1641" s="85"/>
      <c r="M1641" s="86"/>
      <c r="N1641" s="86"/>
      <c r="O1641" s="87"/>
      <c r="P1641" s="87"/>
      <c r="Q1641" s="87"/>
      <c r="R1641" s="87"/>
      <c r="S1641" s="87"/>
      <c r="T1641" s="85"/>
    </row>
    <row r="1642" spans="12:20" x14ac:dyDescent="0.3">
      <c r="L1642" s="85"/>
      <c r="M1642" s="86"/>
      <c r="N1642" s="86"/>
      <c r="O1642" s="87"/>
      <c r="P1642" s="87"/>
      <c r="Q1642" s="87"/>
      <c r="R1642" s="87"/>
      <c r="S1642" s="87"/>
      <c r="T1642" s="85"/>
    </row>
    <row r="1643" spans="12:20" x14ac:dyDescent="0.3">
      <c r="L1643" s="85"/>
      <c r="M1643" s="86"/>
      <c r="N1643" s="86"/>
      <c r="O1643" s="87"/>
      <c r="P1643" s="87"/>
      <c r="Q1643" s="87"/>
      <c r="R1643" s="87"/>
      <c r="S1643" s="87"/>
      <c r="T1643" s="85"/>
    </row>
    <row r="1644" spans="12:20" x14ac:dyDescent="0.3">
      <c r="L1644" s="85"/>
      <c r="M1644" s="86"/>
      <c r="N1644" s="86"/>
      <c r="O1644" s="87"/>
      <c r="P1644" s="87"/>
      <c r="Q1644" s="87"/>
      <c r="R1644" s="87"/>
      <c r="S1644" s="87"/>
      <c r="T1644" s="85"/>
    </row>
    <row r="1645" spans="12:20" x14ac:dyDescent="0.3">
      <c r="L1645" s="85"/>
      <c r="M1645" s="86"/>
      <c r="N1645" s="86"/>
      <c r="O1645" s="87"/>
      <c r="P1645" s="87"/>
      <c r="Q1645" s="87"/>
      <c r="R1645" s="87"/>
      <c r="S1645" s="87"/>
      <c r="T1645" s="85"/>
    </row>
    <row r="1646" spans="12:20" x14ac:dyDescent="0.3">
      <c r="L1646" s="85"/>
      <c r="M1646" s="86"/>
      <c r="N1646" s="86"/>
      <c r="O1646" s="87"/>
      <c r="P1646" s="87"/>
      <c r="Q1646" s="87"/>
      <c r="R1646" s="87"/>
      <c r="S1646" s="87"/>
      <c r="T1646" s="85"/>
    </row>
    <row r="1647" spans="12:20" x14ac:dyDescent="0.3">
      <c r="L1647" s="85"/>
      <c r="M1647" s="86"/>
      <c r="N1647" s="86"/>
      <c r="O1647" s="87"/>
      <c r="P1647" s="87"/>
      <c r="Q1647" s="87"/>
      <c r="R1647" s="87"/>
      <c r="S1647" s="87"/>
      <c r="T1647" s="85"/>
    </row>
    <row r="1648" spans="12:20" x14ac:dyDescent="0.3">
      <c r="L1648" s="85"/>
      <c r="M1648" s="86"/>
      <c r="N1648" s="86"/>
      <c r="O1648" s="87"/>
      <c r="P1648" s="87"/>
      <c r="Q1648" s="87"/>
      <c r="R1648" s="87"/>
      <c r="S1648" s="87"/>
      <c r="T1648" s="85"/>
    </row>
    <row r="1649" spans="12:20" x14ac:dyDescent="0.3">
      <c r="L1649" s="85"/>
      <c r="M1649" s="86"/>
      <c r="N1649" s="86"/>
      <c r="O1649" s="87"/>
      <c r="P1649" s="87"/>
      <c r="Q1649" s="87"/>
      <c r="R1649" s="87"/>
      <c r="S1649" s="87"/>
      <c r="T1649" s="85"/>
    </row>
    <row r="1650" spans="12:20" x14ac:dyDescent="0.3">
      <c r="L1650" s="85"/>
      <c r="M1650" s="86"/>
      <c r="N1650" s="86"/>
      <c r="O1650" s="87"/>
      <c r="P1650" s="87"/>
      <c r="Q1650" s="87"/>
      <c r="R1650" s="87"/>
      <c r="S1650" s="87"/>
      <c r="T1650" s="85"/>
    </row>
    <row r="1651" spans="12:20" x14ac:dyDescent="0.3">
      <c r="L1651" s="85"/>
      <c r="M1651" s="86"/>
      <c r="N1651" s="86"/>
      <c r="O1651" s="87"/>
      <c r="P1651" s="87"/>
      <c r="Q1651" s="87"/>
      <c r="R1651" s="87"/>
      <c r="S1651" s="87"/>
      <c r="T1651" s="85"/>
    </row>
    <row r="1652" spans="12:20" x14ac:dyDescent="0.3">
      <c r="L1652" s="85"/>
      <c r="M1652" s="86"/>
      <c r="N1652" s="86"/>
      <c r="O1652" s="87"/>
      <c r="P1652" s="87"/>
      <c r="Q1652" s="87"/>
      <c r="R1652" s="87"/>
      <c r="S1652" s="87"/>
      <c r="T1652" s="85"/>
    </row>
    <row r="1653" spans="12:20" x14ac:dyDescent="0.3">
      <c r="L1653" s="85"/>
      <c r="M1653" s="86"/>
      <c r="N1653" s="86"/>
      <c r="O1653" s="87"/>
      <c r="P1653" s="87"/>
      <c r="Q1653" s="87"/>
      <c r="R1653" s="87"/>
      <c r="S1653" s="87"/>
      <c r="T1653" s="85"/>
    </row>
    <row r="1654" spans="12:20" x14ac:dyDescent="0.3">
      <c r="L1654" s="85"/>
      <c r="M1654" s="86"/>
      <c r="N1654" s="86"/>
      <c r="O1654" s="87"/>
      <c r="P1654" s="87"/>
      <c r="Q1654" s="87"/>
      <c r="R1654" s="87"/>
      <c r="S1654" s="87"/>
      <c r="T1654" s="85"/>
    </row>
    <row r="1655" spans="12:20" x14ac:dyDescent="0.3">
      <c r="L1655" s="85"/>
      <c r="M1655" s="86"/>
      <c r="N1655" s="86"/>
      <c r="O1655" s="87"/>
      <c r="P1655" s="87"/>
      <c r="Q1655" s="87"/>
      <c r="R1655" s="87"/>
      <c r="S1655" s="87"/>
      <c r="T1655" s="85"/>
    </row>
    <row r="1656" spans="12:20" x14ac:dyDescent="0.3">
      <c r="L1656" s="85"/>
      <c r="M1656" s="86"/>
      <c r="N1656" s="86"/>
      <c r="O1656" s="87"/>
      <c r="P1656" s="87"/>
      <c r="Q1656" s="87"/>
      <c r="R1656" s="87"/>
      <c r="S1656" s="87"/>
      <c r="T1656" s="85"/>
    </row>
    <row r="1657" spans="12:20" x14ac:dyDescent="0.3">
      <c r="L1657" s="85"/>
      <c r="M1657" s="86"/>
      <c r="N1657" s="86"/>
      <c r="O1657" s="87"/>
      <c r="P1657" s="87"/>
      <c r="Q1657" s="87"/>
      <c r="R1657" s="87"/>
      <c r="S1657" s="87"/>
      <c r="T1657" s="85"/>
    </row>
    <row r="1658" spans="12:20" x14ac:dyDescent="0.3">
      <c r="L1658" s="85"/>
      <c r="M1658" s="86"/>
      <c r="N1658" s="86"/>
      <c r="O1658" s="87"/>
      <c r="P1658" s="87"/>
      <c r="Q1658" s="87"/>
      <c r="R1658" s="87"/>
      <c r="S1658" s="87"/>
      <c r="T1658" s="85"/>
    </row>
    <row r="1659" spans="12:20" x14ac:dyDescent="0.3">
      <c r="L1659" s="85"/>
      <c r="M1659" s="86"/>
      <c r="N1659" s="86"/>
      <c r="O1659" s="87"/>
      <c r="P1659" s="87"/>
      <c r="Q1659" s="87"/>
      <c r="R1659" s="87"/>
      <c r="S1659" s="87"/>
      <c r="T1659" s="85"/>
    </row>
    <row r="1660" spans="12:20" x14ac:dyDescent="0.3">
      <c r="L1660" s="85"/>
      <c r="M1660" s="86"/>
      <c r="N1660" s="86"/>
      <c r="O1660" s="87"/>
      <c r="P1660" s="87"/>
      <c r="Q1660" s="87"/>
      <c r="R1660" s="87"/>
      <c r="S1660" s="87"/>
      <c r="T1660" s="85"/>
    </row>
    <row r="1661" spans="12:20" x14ac:dyDescent="0.3">
      <c r="L1661" s="85"/>
      <c r="M1661" s="86"/>
      <c r="N1661" s="86"/>
      <c r="O1661" s="87"/>
      <c r="P1661" s="87"/>
      <c r="Q1661" s="87"/>
      <c r="R1661" s="87"/>
      <c r="S1661" s="87"/>
      <c r="T1661" s="85"/>
    </row>
    <row r="1662" spans="12:20" x14ac:dyDescent="0.3">
      <c r="L1662" s="85"/>
      <c r="M1662" s="86"/>
      <c r="N1662" s="86"/>
      <c r="O1662" s="87"/>
      <c r="P1662" s="87"/>
      <c r="Q1662" s="87"/>
      <c r="R1662" s="87"/>
      <c r="S1662" s="87"/>
      <c r="T1662" s="85"/>
    </row>
    <row r="1663" spans="12:20" x14ac:dyDescent="0.3">
      <c r="L1663" s="85"/>
      <c r="M1663" s="86"/>
      <c r="N1663" s="86"/>
      <c r="O1663" s="87"/>
      <c r="P1663" s="87"/>
      <c r="Q1663" s="87"/>
      <c r="R1663" s="87"/>
      <c r="S1663" s="87"/>
      <c r="T1663" s="85"/>
    </row>
    <row r="1664" spans="12:20" x14ac:dyDescent="0.3">
      <c r="L1664" s="85"/>
      <c r="M1664" s="86"/>
      <c r="N1664" s="86"/>
      <c r="O1664" s="87"/>
      <c r="P1664" s="87"/>
      <c r="Q1664" s="87"/>
      <c r="R1664" s="87"/>
      <c r="S1664" s="87"/>
      <c r="T1664" s="85"/>
    </row>
    <row r="1665" spans="12:20" x14ac:dyDescent="0.3">
      <c r="L1665" s="85"/>
      <c r="M1665" s="86"/>
      <c r="N1665" s="86"/>
      <c r="O1665" s="87"/>
      <c r="P1665" s="87"/>
      <c r="Q1665" s="87"/>
      <c r="R1665" s="87"/>
      <c r="S1665" s="87"/>
      <c r="T1665" s="85"/>
    </row>
    <row r="1666" spans="12:20" x14ac:dyDescent="0.3">
      <c r="L1666" s="85"/>
      <c r="M1666" s="86"/>
      <c r="N1666" s="86"/>
      <c r="O1666" s="87"/>
      <c r="P1666" s="87"/>
      <c r="Q1666" s="87"/>
      <c r="R1666" s="87"/>
      <c r="S1666" s="87"/>
      <c r="T1666" s="85"/>
    </row>
    <row r="1667" spans="12:20" x14ac:dyDescent="0.3">
      <c r="L1667" s="85"/>
      <c r="M1667" s="86"/>
      <c r="N1667" s="86"/>
      <c r="O1667" s="87"/>
      <c r="P1667" s="87"/>
      <c r="Q1667" s="87"/>
      <c r="R1667" s="87"/>
      <c r="S1667" s="87"/>
      <c r="T1667" s="85"/>
    </row>
    <row r="1668" spans="12:20" x14ac:dyDescent="0.3">
      <c r="L1668" s="85"/>
      <c r="M1668" s="86"/>
      <c r="N1668" s="86"/>
      <c r="O1668" s="87"/>
      <c r="P1668" s="87"/>
      <c r="Q1668" s="87"/>
      <c r="R1668" s="87"/>
      <c r="S1668" s="87"/>
      <c r="T1668" s="85"/>
    </row>
    <row r="1669" spans="12:20" x14ac:dyDescent="0.3">
      <c r="L1669" s="85"/>
      <c r="M1669" s="86"/>
      <c r="N1669" s="86"/>
      <c r="O1669" s="87"/>
      <c r="P1669" s="87"/>
      <c r="Q1669" s="87"/>
      <c r="R1669" s="87"/>
      <c r="S1669" s="87"/>
      <c r="T1669" s="85"/>
    </row>
    <row r="1670" spans="12:20" x14ac:dyDescent="0.3">
      <c r="L1670" s="85"/>
      <c r="M1670" s="86"/>
      <c r="N1670" s="86"/>
      <c r="O1670" s="87"/>
      <c r="P1670" s="87"/>
      <c r="Q1670" s="87"/>
      <c r="R1670" s="87"/>
      <c r="S1670" s="87"/>
      <c r="T1670" s="85"/>
    </row>
    <row r="1671" spans="12:20" x14ac:dyDescent="0.3">
      <c r="L1671" s="85"/>
      <c r="M1671" s="86"/>
      <c r="N1671" s="86"/>
      <c r="O1671" s="87"/>
      <c r="P1671" s="87"/>
      <c r="Q1671" s="87"/>
      <c r="R1671" s="87"/>
      <c r="S1671" s="87"/>
      <c r="T1671" s="85"/>
    </row>
    <row r="1672" spans="12:20" x14ac:dyDescent="0.3">
      <c r="L1672" s="85"/>
      <c r="M1672" s="86"/>
      <c r="N1672" s="86"/>
      <c r="O1672" s="87"/>
      <c r="P1672" s="87"/>
      <c r="Q1672" s="87"/>
      <c r="R1672" s="87"/>
      <c r="S1672" s="87"/>
      <c r="T1672" s="85"/>
    </row>
    <row r="1673" spans="12:20" x14ac:dyDescent="0.3">
      <c r="L1673" s="85"/>
      <c r="M1673" s="86"/>
      <c r="N1673" s="86"/>
      <c r="O1673" s="87"/>
      <c r="P1673" s="87"/>
      <c r="Q1673" s="87"/>
      <c r="R1673" s="87"/>
      <c r="S1673" s="87"/>
      <c r="T1673" s="85"/>
    </row>
    <row r="1674" spans="12:20" x14ac:dyDescent="0.3">
      <c r="L1674" s="85"/>
      <c r="M1674" s="86"/>
      <c r="N1674" s="86"/>
      <c r="O1674" s="87"/>
      <c r="P1674" s="87"/>
      <c r="Q1674" s="87"/>
      <c r="R1674" s="87"/>
      <c r="S1674" s="87"/>
      <c r="T1674" s="85"/>
    </row>
    <row r="1675" spans="12:20" x14ac:dyDescent="0.3">
      <c r="L1675" s="85"/>
      <c r="M1675" s="86"/>
      <c r="N1675" s="86"/>
      <c r="O1675" s="87"/>
      <c r="P1675" s="87"/>
      <c r="Q1675" s="87"/>
      <c r="R1675" s="87"/>
      <c r="S1675" s="87"/>
      <c r="T1675" s="85"/>
    </row>
    <row r="1676" spans="12:20" x14ac:dyDescent="0.3">
      <c r="L1676" s="85"/>
      <c r="M1676" s="86"/>
      <c r="N1676" s="86"/>
      <c r="O1676" s="87"/>
      <c r="P1676" s="87"/>
      <c r="Q1676" s="87"/>
      <c r="R1676" s="87"/>
      <c r="S1676" s="87"/>
      <c r="T1676" s="85"/>
    </row>
    <row r="1677" spans="12:20" x14ac:dyDescent="0.3">
      <c r="L1677" s="85"/>
      <c r="M1677" s="86"/>
      <c r="N1677" s="86"/>
      <c r="O1677" s="87"/>
      <c r="P1677" s="87"/>
      <c r="Q1677" s="87"/>
      <c r="R1677" s="87"/>
      <c r="S1677" s="87"/>
      <c r="T1677" s="85"/>
    </row>
    <row r="1678" spans="12:20" x14ac:dyDescent="0.3">
      <c r="L1678" s="85"/>
      <c r="M1678" s="86"/>
      <c r="N1678" s="86"/>
      <c r="O1678" s="87"/>
      <c r="P1678" s="87"/>
      <c r="Q1678" s="87"/>
      <c r="R1678" s="87"/>
      <c r="S1678" s="87"/>
      <c r="T1678" s="85"/>
    </row>
    <row r="1679" spans="12:20" x14ac:dyDescent="0.3">
      <c r="L1679" s="85"/>
      <c r="M1679" s="86"/>
      <c r="N1679" s="86"/>
      <c r="O1679" s="87"/>
      <c r="P1679" s="87"/>
      <c r="Q1679" s="87"/>
      <c r="R1679" s="87"/>
      <c r="S1679" s="87"/>
      <c r="T1679" s="85"/>
    </row>
    <row r="1680" spans="12:20" x14ac:dyDescent="0.3">
      <c r="L1680" s="85"/>
      <c r="M1680" s="86"/>
      <c r="N1680" s="86"/>
      <c r="O1680" s="87"/>
      <c r="P1680" s="87"/>
      <c r="Q1680" s="87"/>
      <c r="R1680" s="87"/>
      <c r="S1680" s="87"/>
      <c r="T1680" s="85"/>
    </row>
    <row r="1681" spans="12:20" x14ac:dyDescent="0.3">
      <c r="L1681" s="85"/>
      <c r="M1681" s="86"/>
      <c r="N1681" s="86"/>
      <c r="O1681" s="87"/>
      <c r="P1681" s="87"/>
      <c r="Q1681" s="87"/>
      <c r="R1681" s="87"/>
      <c r="S1681" s="87"/>
      <c r="T1681" s="85"/>
    </row>
    <row r="1682" spans="12:20" x14ac:dyDescent="0.3">
      <c r="L1682" s="85"/>
      <c r="M1682" s="86"/>
      <c r="N1682" s="86"/>
      <c r="O1682" s="87"/>
      <c r="P1682" s="87"/>
      <c r="Q1682" s="87"/>
      <c r="R1682" s="87"/>
      <c r="S1682" s="87"/>
      <c r="T1682" s="85"/>
    </row>
    <row r="1683" spans="12:20" x14ac:dyDescent="0.3">
      <c r="L1683" s="85"/>
      <c r="M1683" s="86"/>
      <c r="N1683" s="86"/>
      <c r="O1683" s="87"/>
      <c r="P1683" s="87"/>
      <c r="Q1683" s="87"/>
      <c r="R1683" s="87"/>
      <c r="S1683" s="87"/>
      <c r="T1683" s="85"/>
    </row>
    <row r="1684" spans="12:20" x14ac:dyDescent="0.3">
      <c r="L1684" s="85"/>
      <c r="M1684" s="86"/>
      <c r="N1684" s="86"/>
      <c r="O1684" s="87"/>
      <c r="P1684" s="87"/>
      <c r="Q1684" s="87"/>
      <c r="R1684" s="87"/>
      <c r="S1684" s="87"/>
      <c r="T1684" s="85"/>
    </row>
    <row r="1685" spans="12:20" x14ac:dyDescent="0.3">
      <c r="L1685" s="85"/>
      <c r="M1685" s="86"/>
      <c r="N1685" s="86"/>
      <c r="O1685" s="87"/>
      <c r="P1685" s="87"/>
      <c r="Q1685" s="87"/>
      <c r="R1685" s="87"/>
      <c r="S1685" s="87"/>
      <c r="T1685" s="85"/>
    </row>
    <row r="1686" spans="12:20" x14ac:dyDescent="0.3">
      <c r="L1686" s="85"/>
      <c r="M1686" s="86"/>
      <c r="N1686" s="86"/>
      <c r="O1686" s="87"/>
      <c r="P1686" s="87"/>
      <c r="Q1686" s="87"/>
      <c r="R1686" s="87"/>
      <c r="S1686" s="87"/>
      <c r="T1686" s="85"/>
    </row>
    <row r="1687" spans="12:20" x14ac:dyDescent="0.3">
      <c r="L1687" s="85"/>
      <c r="M1687" s="86"/>
      <c r="N1687" s="86"/>
      <c r="O1687" s="87"/>
      <c r="P1687" s="87"/>
      <c r="Q1687" s="87"/>
      <c r="R1687" s="87"/>
      <c r="S1687" s="87"/>
      <c r="T1687" s="85"/>
    </row>
    <row r="1688" spans="12:20" x14ac:dyDescent="0.3">
      <c r="L1688" s="85"/>
      <c r="M1688" s="86"/>
      <c r="N1688" s="86"/>
      <c r="O1688" s="87"/>
      <c r="P1688" s="87"/>
      <c r="Q1688" s="87"/>
      <c r="R1688" s="87"/>
      <c r="S1688" s="87"/>
      <c r="T1688" s="85"/>
    </row>
    <row r="1689" spans="12:20" x14ac:dyDescent="0.3">
      <c r="L1689" s="85"/>
      <c r="M1689" s="86"/>
      <c r="N1689" s="86"/>
      <c r="O1689" s="87"/>
      <c r="P1689" s="87"/>
      <c r="Q1689" s="87"/>
      <c r="R1689" s="87"/>
      <c r="S1689" s="87"/>
      <c r="T1689" s="85"/>
    </row>
    <row r="1690" spans="12:20" x14ac:dyDescent="0.3">
      <c r="L1690" s="85"/>
      <c r="M1690" s="86"/>
      <c r="N1690" s="86"/>
      <c r="O1690" s="87"/>
      <c r="P1690" s="87"/>
      <c r="Q1690" s="87"/>
      <c r="R1690" s="87"/>
      <c r="S1690" s="87"/>
      <c r="T1690" s="85"/>
    </row>
    <row r="1691" spans="12:20" x14ac:dyDescent="0.3">
      <c r="L1691" s="85"/>
      <c r="M1691" s="86"/>
      <c r="N1691" s="86"/>
      <c r="O1691" s="87"/>
      <c r="P1691" s="87"/>
      <c r="Q1691" s="87"/>
      <c r="R1691" s="87"/>
      <c r="S1691" s="87"/>
      <c r="T1691" s="85"/>
    </row>
    <row r="1692" spans="12:20" x14ac:dyDescent="0.3">
      <c r="L1692" s="85"/>
      <c r="M1692" s="86"/>
      <c r="N1692" s="86"/>
      <c r="O1692" s="87"/>
      <c r="P1692" s="87"/>
      <c r="Q1692" s="87"/>
      <c r="R1692" s="87"/>
      <c r="S1692" s="87"/>
      <c r="T1692" s="85"/>
    </row>
    <row r="1693" spans="12:20" x14ac:dyDescent="0.3">
      <c r="L1693" s="85"/>
      <c r="M1693" s="86"/>
      <c r="N1693" s="86"/>
      <c r="O1693" s="87"/>
      <c r="P1693" s="87"/>
      <c r="Q1693" s="87"/>
      <c r="R1693" s="87"/>
      <c r="S1693" s="87"/>
      <c r="T1693" s="85"/>
    </row>
    <row r="1694" spans="12:20" x14ac:dyDescent="0.3">
      <c r="L1694" s="85"/>
      <c r="M1694" s="86"/>
      <c r="N1694" s="86"/>
      <c r="O1694" s="87"/>
      <c r="P1694" s="87"/>
      <c r="Q1694" s="87"/>
      <c r="R1694" s="87"/>
      <c r="S1694" s="87"/>
      <c r="T1694" s="85"/>
    </row>
    <row r="1695" spans="12:20" x14ac:dyDescent="0.3">
      <c r="L1695" s="85"/>
      <c r="M1695" s="86"/>
      <c r="N1695" s="86"/>
      <c r="O1695" s="87"/>
      <c r="P1695" s="87"/>
      <c r="Q1695" s="87"/>
      <c r="R1695" s="87"/>
      <c r="S1695" s="87"/>
      <c r="T1695" s="85"/>
    </row>
    <row r="1696" spans="12:20" x14ac:dyDescent="0.3">
      <c r="L1696" s="85"/>
      <c r="M1696" s="86"/>
      <c r="N1696" s="86"/>
      <c r="O1696" s="87"/>
      <c r="P1696" s="87"/>
      <c r="Q1696" s="87"/>
      <c r="R1696" s="87"/>
      <c r="S1696" s="87"/>
      <c r="T1696" s="85"/>
    </row>
    <row r="1697" spans="12:20" x14ac:dyDescent="0.3">
      <c r="L1697" s="85"/>
      <c r="M1697" s="86"/>
      <c r="N1697" s="86"/>
      <c r="O1697" s="87"/>
      <c r="P1697" s="87"/>
      <c r="Q1697" s="87"/>
      <c r="R1697" s="87"/>
      <c r="S1697" s="87"/>
      <c r="T1697" s="85"/>
    </row>
    <row r="1698" spans="12:20" x14ac:dyDescent="0.3">
      <c r="L1698" s="85"/>
      <c r="M1698" s="86"/>
      <c r="N1698" s="86"/>
      <c r="O1698" s="87"/>
      <c r="P1698" s="87"/>
      <c r="Q1698" s="87"/>
      <c r="R1698" s="87"/>
      <c r="S1698" s="87"/>
      <c r="T1698" s="85"/>
    </row>
    <row r="1699" spans="12:20" x14ac:dyDescent="0.3">
      <c r="L1699" s="85"/>
      <c r="M1699" s="86"/>
      <c r="N1699" s="86"/>
      <c r="O1699" s="87"/>
      <c r="P1699" s="87"/>
      <c r="Q1699" s="87"/>
      <c r="R1699" s="87"/>
      <c r="S1699" s="87"/>
      <c r="T1699" s="85"/>
    </row>
    <row r="1700" spans="12:20" x14ac:dyDescent="0.3">
      <c r="L1700" s="85"/>
      <c r="M1700" s="86"/>
      <c r="N1700" s="86"/>
      <c r="O1700" s="87"/>
      <c r="P1700" s="87"/>
      <c r="Q1700" s="87"/>
      <c r="R1700" s="87"/>
      <c r="S1700" s="87"/>
      <c r="T1700" s="85"/>
    </row>
    <row r="1701" spans="12:20" x14ac:dyDescent="0.3">
      <c r="L1701" s="85"/>
      <c r="M1701" s="86"/>
      <c r="N1701" s="86"/>
      <c r="O1701" s="87"/>
      <c r="P1701" s="87"/>
      <c r="Q1701" s="87"/>
      <c r="R1701" s="87"/>
      <c r="S1701" s="87"/>
      <c r="T1701" s="85"/>
    </row>
    <row r="1702" spans="12:20" x14ac:dyDescent="0.3">
      <c r="L1702" s="85"/>
      <c r="M1702" s="86"/>
      <c r="N1702" s="86"/>
      <c r="O1702" s="87"/>
      <c r="P1702" s="87"/>
      <c r="Q1702" s="87"/>
      <c r="R1702" s="87"/>
      <c r="S1702" s="87"/>
      <c r="T1702" s="85"/>
    </row>
    <row r="1703" spans="12:20" x14ac:dyDescent="0.3">
      <c r="L1703" s="85"/>
      <c r="M1703" s="86"/>
      <c r="N1703" s="86"/>
      <c r="O1703" s="87"/>
      <c r="P1703" s="85"/>
      <c r="Q1703" s="85"/>
      <c r="R1703" s="85"/>
      <c r="S1703" s="85"/>
      <c r="T1703" s="85"/>
    </row>
    <row r="1704" spans="12:20" x14ac:dyDescent="0.3">
      <c r="L1704" s="85"/>
      <c r="M1704" s="86"/>
      <c r="N1704" s="86"/>
      <c r="O1704" s="85"/>
      <c r="P1704" s="85"/>
      <c r="Q1704" s="85"/>
      <c r="R1704" s="85"/>
      <c r="S1704" s="85"/>
      <c r="T1704" s="85"/>
    </row>
    <row r="1705" spans="12:20" x14ac:dyDescent="0.3">
      <c r="L1705" s="85"/>
      <c r="M1705" s="86"/>
      <c r="N1705" s="86"/>
      <c r="O1705" s="85"/>
      <c r="P1705" s="85"/>
      <c r="Q1705" s="85"/>
      <c r="R1705" s="85"/>
      <c r="S1705" s="85"/>
      <c r="T1705" s="85"/>
    </row>
    <row r="1706" spans="12:20" x14ac:dyDescent="0.3">
      <c r="L1706" s="85"/>
      <c r="M1706" s="86"/>
      <c r="N1706" s="86"/>
      <c r="O1706" s="85"/>
      <c r="P1706" s="85"/>
      <c r="Q1706" s="85"/>
      <c r="R1706" s="85"/>
      <c r="S1706" s="85"/>
      <c r="T1706" s="85"/>
    </row>
    <row r="1707" spans="12:20" x14ac:dyDescent="0.3">
      <c r="L1707" s="85"/>
      <c r="M1707" s="86"/>
      <c r="N1707" s="86"/>
      <c r="O1707" s="85"/>
      <c r="P1707" s="85"/>
      <c r="Q1707" s="85"/>
      <c r="R1707" s="85"/>
      <c r="S1707" s="85"/>
      <c r="T1707" s="85"/>
    </row>
    <row r="1708" spans="12:20" x14ac:dyDescent="0.3">
      <c r="L1708" s="85"/>
      <c r="M1708" s="86"/>
      <c r="N1708" s="86"/>
      <c r="O1708" s="85"/>
      <c r="P1708" s="85"/>
      <c r="Q1708" s="85"/>
      <c r="R1708" s="85"/>
      <c r="S1708" s="85"/>
      <c r="T1708" s="85"/>
    </row>
    <row r="1709" spans="12:20" x14ac:dyDescent="0.3">
      <c r="L1709" s="85"/>
      <c r="M1709" s="86"/>
      <c r="N1709" s="86"/>
      <c r="O1709" s="85"/>
      <c r="P1709" s="85"/>
      <c r="Q1709" s="85"/>
      <c r="R1709" s="85"/>
      <c r="S1709" s="85"/>
      <c r="T1709" s="85"/>
    </row>
    <row r="1710" spans="12:20" x14ac:dyDescent="0.3">
      <c r="L1710" s="85"/>
      <c r="M1710" s="86"/>
      <c r="N1710" s="86"/>
      <c r="O1710" s="85"/>
      <c r="P1710" s="85"/>
      <c r="Q1710" s="85"/>
      <c r="R1710" s="85"/>
      <c r="S1710" s="85"/>
      <c r="T1710" s="85"/>
    </row>
    <row r="1711" spans="12:20" x14ac:dyDescent="0.3">
      <c r="L1711" s="85"/>
      <c r="M1711" s="86"/>
      <c r="N1711" s="86"/>
      <c r="O1711" s="85"/>
      <c r="P1711" s="85"/>
      <c r="Q1711" s="85"/>
      <c r="R1711" s="85"/>
      <c r="S1711" s="85"/>
      <c r="T1711" s="85"/>
    </row>
    <row r="1712" spans="12:20" x14ac:dyDescent="0.3">
      <c r="L1712" s="85"/>
      <c r="M1712" s="86"/>
      <c r="N1712" s="86"/>
      <c r="O1712" s="85"/>
      <c r="P1712" s="85"/>
      <c r="Q1712" s="85"/>
      <c r="R1712" s="85"/>
      <c r="S1712" s="85"/>
      <c r="T1712" s="85"/>
    </row>
    <row r="1713" spans="12:20" x14ac:dyDescent="0.3">
      <c r="L1713" s="85"/>
      <c r="M1713" s="86"/>
      <c r="N1713" s="86"/>
      <c r="O1713" s="85"/>
      <c r="P1713" s="85"/>
      <c r="Q1713" s="85"/>
      <c r="R1713" s="85"/>
      <c r="S1713" s="85"/>
      <c r="T1713" s="85"/>
    </row>
    <row r="1714" spans="12:20" x14ac:dyDescent="0.3">
      <c r="L1714" s="85"/>
      <c r="M1714" s="86"/>
      <c r="N1714" s="86"/>
      <c r="O1714" s="85"/>
      <c r="P1714" s="85"/>
      <c r="Q1714" s="85"/>
      <c r="R1714" s="85"/>
      <c r="S1714" s="85"/>
      <c r="T1714" s="85"/>
    </row>
    <row r="1715" spans="12:20" x14ac:dyDescent="0.3">
      <c r="L1715" s="85"/>
      <c r="M1715" s="86"/>
      <c r="N1715" s="86"/>
      <c r="O1715" s="85"/>
      <c r="P1715" s="85"/>
      <c r="Q1715" s="85"/>
      <c r="R1715" s="85"/>
      <c r="S1715" s="85"/>
      <c r="T1715" s="85"/>
    </row>
    <row r="1716" spans="12:20" x14ac:dyDescent="0.3">
      <c r="L1716" s="85"/>
      <c r="M1716" s="86"/>
      <c r="N1716" s="86"/>
      <c r="O1716" s="85"/>
      <c r="P1716" s="85"/>
      <c r="Q1716" s="85"/>
      <c r="R1716" s="85"/>
      <c r="S1716" s="85"/>
      <c r="T1716" s="85"/>
    </row>
    <row r="1717" spans="12:20" x14ac:dyDescent="0.3">
      <c r="L1717" s="85"/>
      <c r="M1717" s="86"/>
      <c r="N1717" s="86"/>
      <c r="O1717" s="85"/>
      <c r="P1717" s="85"/>
      <c r="Q1717" s="85"/>
      <c r="R1717" s="85"/>
      <c r="S1717" s="85"/>
      <c r="T1717" s="85"/>
    </row>
    <row r="1718" spans="12:20" x14ac:dyDescent="0.3">
      <c r="L1718" s="85"/>
      <c r="M1718" s="86"/>
      <c r="N1718" s="86"/>
      <c r="O1718" s="85"/>
      <c r="P1718" s="85"/>
      <c r="Q1718" s="85"/>
      <c r="R1718" s="85"/>
      <c r="S1718" s="85"/>
      <c r="T1718" s="85"/>
    </row>
    <row r="1719" spans="12:20" x14ac:dyDescent="0.3">
      <c r="L1719" s="85"/>
      <c r="M1719" s="86"/>
      <c r="N1719" s="86"/>
      <c r="O1719" s="85"/>
      <c r="P1719" s="85"/>
      <c r="Q1719" s="85"/>
      <c r="R1719" s="85"/>
      <c r="S1719" s="85"/>
      <c r="T1719" s="85"/>
    </row>
    <row r="1720" spans="12:20" x14ac:dyDescent="0.3">
      <c r="L1720" s="85"/>
      <c r="M1720" s="86"/>
      <c r="N1720" s="86"/>
      <c r="O1720" s="85"/>
      <c r="P1720" s="85"/>
      <c r="Q1720" s="85"/>
      <c r="R1720" s="85"/>
      <c r="S1720" s="85"/>
      <c r="T1720" s="85"/>
    </row>
    <row r="1721" spans="12:20" x14ac:dyDescent="0.3">
      <c r="L1721" s="85"/>
      <c r="M1721" s="86"/>
      <c r="N1721" s="86"/>
      <c r="O1721" s="85"/>
      <c r="P1721" s="85"/>
      <c r="Q1721" s="85"/>
      <c r="R1721" s="85"/>
      <c r="S1721" s="85"/>
      <c r="T1721" s="85"/>
    </row>
    <row r="1722" spans="12:20" x14ac:dyDescent="0.3">
      <c r="L1722" s="85"/>
      <c r="M1722" s="86"/>
      <c r="N1722" s="86"/>
      <c r="O1722" s="85"/>
      <c r="P1722" s="85"/>
      <c r="Q1722" s="85"/>
      <c r="R1722" s="85"/>
      <c r="S1722" s="85"/>
      <c r="T1722" s="85"/>
    </row>
    <row r="1723" spans="12:20" x14ac:dyDescent="0.3">
      <c r="L1723" s="85"/>
      <c r="M1723" s="86"/>
      <c r="N1723" s="86"/>
      <c r="O1723" s="85"/>
      <c r="P1723" s="85"/>
      <c r="Q1723" s="85"/>
      <c r="R1723" s="85"/>
      <c r="S1723" s="85"/>
      <c r="T1723" s="85"/>
    </row>
    <row r="1724" spans="12:20" x14ac:dyDescent="0.3">
      <c r="L1724" s="85"/>
      <c r="M1724" s="86"/>
      <c r="N1724" s="86"/>
      <c r="O1724" s="85"/>
      <c r="P1724" s="85"/>
      <c r="Q1724" s="85"/>
      <c r="R1724" s="85"/>
      <c r="S1724" s="85"/>
      <c r="T1724" s="85"/>
    </row>
    <row r="1725" spans="12:20" x14ac:dyDescent="0.3">
      <c r="L1725" s="85"/>
      <c r="M1725" s="86"/>
      <c r="N1725" s="86"/>
      <c r="O1725" s="85"/>
      <c r="P1725" s="85"/>
      <c r="Q1725" s="85"/>
      <c r="R1725" s="85"/>
      <c r="S1725" s="85"/>
      <c r="T1725" s="85"/>
    </row>
    <row r="1726" spans="12:20" x14ac:dyDescent="0.3">
      <c r="L1726" s="85"/>
      <c r="M1726" s="86"/>
      <c r="N1726" s="86"/>
      <c r="O1726" s="85"/>
      <c r="P1726" s="85"/>
      <c r="Q1726" s="85"/>
      <c r="R1726" s="85"/>
      <c r="S1726" s="85"/>
      <c r="T1726" s="85"/>
    </row>
    <row r="1727" spans="12:20" x14ac:dyDescent="0.3">
      <c r="L1727" s="85"/>
      <c r="M1727" s="86"/>
      <c r="N1727" s="86"/>
      <c r="O1727" s="85"/>
      <c r="P1727" s="85"/>
      <c r="Q1727" s="85"/>
      <c r="R1727" s="85"/>
      <c r="S1727" s="85"/>
      <c r="T1727" s="85"/>
    </row>
    <row r="1728" spans="12:20" x14ac:dyDescent="0.3">
      <c r="O1728" s="85"/>
    </row>
  </sheetData>
  <sortState ref="O6:U34">
    <sortCondition ref="T6:T34"/>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AY785"/>
  <sheetViews>
    <sheetView zoomScale="60" zoomScaleNormal="60" workbookViewId="0">
      <selection activeCell="AT5" sqref="AT5:AT101"/>
    </sheetView>
  </sheetViews>
  <sheetFormatPr baseColWidth="10" defaultRowHeight="14.4" x14ac:dyDescent="0.3"/>
  <cols>
    <col min="1" max="1" width="2.5546875" customWidth="1"/>
    <col min="2" max="2" width="5" bestFit="1" customWidth="1"/>
    <col min="3" max="3" width="5.5546875" bestFit="1" customWidth="1"/>
    <col min="4" max="4" width="10.21875" customWidth="1"/>
    <col min="5" max="5" width="9.88671875" customWidth="1"/>
    <col min="6" max="6" width="12.109375" customWidth="1"/>
    <col min="7" max="7" width="10.77734375" customWidth="1"/>
    <col min="8" max="8" width="5.88671875" bestFit="1" customWidth="1"/>
    <col min="9" max="9" width="5.6640625" customWidth="1"/>
    <col min="10" max="10" width="11.5546875" bestFit="1" customWidth="1"/>
    <col min="11" max="11" width="3.88671875" customWidth="1"/>
    <col min="12" max="12" width="5.5546875" bestFit="1" customWidth="1"/>
    <col min="13" max="13" width="6.33203125" bestFit="1" customWidth="1"/>
    <col min="14" max="14" width="5.33203125" customWidth="1"/>
    <col min="15" max="15" width="5.5546875" customWidth="1"/>
    <col min="16" max="16" width="5.5546875" bestFit="1" customWidth="1"/>
    <col min="17" max="17" width="7.33203125" customWidth="1"/>
    <col min="18" max="18" width="5.5546875" customWidth="1"/>
    <col min="19" max="19" width="11.5546875" bestFit="1" customWidth="1"/>
    <col min="20" max="20" width="2.33203125" hidden="1" customWidth="1"/>
    <col min="21" max="21" width="5.5546875" hidden="1" customWidth="1"/>
    <col min="22" max="22" width="4.6640625" hidden="1" customWidth="1"/>
    <col min="23" max="23" width="5.109375" hidden="1" customWidth="1"/>
    <col min="24" max="24" width="4.88671875" hidden="1" customWidth="1"/>
    <col min="25" max="25" width="5.33203125" hidden="1" customWidth="1"/>
    <col min="26" max="27" width="5.5546875" hidden="1" customWidth="1"/>
    <col min="28" max="28" width="11.5546875" hidden="1" customWidth="1"/>
    <col min="29" max="29" width="1.6640625" hidden="1" customWidth="1"/>
    <col min="30" max="30" width="5.5546875" hidden="1" customWidth="1"/>
    <col min="31" max="35" width="6" hidden="1" customWidth="1"/>
    <col min="36" max="36" width="4" hidden="1" customWidth="1"/>
    <col min="37" max="37" width="1.88671875" customWidth="1"/>
    <col min="38" max="38" width="4.5546875" hidden="1" customWidth="1"/>
    <col min="39" max="39" width="5.5546875" bestFit="1" customWidth="1"/>
    <col min="40" max="40" width="6.6640625" bestFit="1" customWidth="1"/>
    <col min="41" max="41" width="7.109375" customWidth="1"/>
    <col min="42" max="42" width="6" bestFit="1" customWidth="1"/>
    <col min="43" max="43" width="6.88671875" customWidth="1"/>
    <col min="44" max="44" width="6.33203125" customWidth="1"/>
    <col min="45" max="45" width="5.88671875" bestFit="1" customWidth="1"/>
    <col min="46" max="46" width="11.5546875" bestFit="1" customWidth="1"/>
    <col min="47" max="47" width="8.6640625" bestFit="1" customWidth="1"/>
    <col min="48" max="50" width="6.44140625" bestFit="1" customWidth="1"/>
    <col min="51" max="51" width="6.44140625" customWidth="1"/>
  </cols>
  <sheetData>
    <row r="3" spans="3:48" x14ac:dyDescent="0.3">
      <c r="F3" t="s">
        <v>51</v>
      </c>
      <c r="O3">
        <v>1910</v>
      </c>
      <c r="AP3" t="s">
        <v>30</v>
      </c>
    </row>
    <row r="4" spans="3:48" s="4" customFormat="1" ht="123.6" x14ac:dyDescent="0.3">
      <c r="C4" s="5"/>
      <c r="D4" s="89" t="s">
        <v>1</v>
      </c>
      <c r="E4" s="89" t="s">
        <v>2</v>
      </c>
      <c r="F4" s="89" t="s">
        <v>3</v>
      </c>
      <c r="G4" s="89" t="s">
        <v>4</v>
      </c>
      <c r="H4" s="89" t="s">
        <v>5</v>
      </c>
      <c r="I4" s="89" t="s">
        <v>0</v>
      </c>
      <c r="J4" s="89" t="s">
        <v>6</v>
      </c>
      <c r="L4" s="5"/>
      <c r="M4" s="6" t="s">
        <v>1</v>
      </c>
      <c r="N4" s="6" t="s">
        <v>2</v>
      </c>
      <c r="O4" s="6" t="s">
        <v>3</v>
      </c>
      <c r="P4" s="6" t="s">
        <v>4</v>
      </c>
      <c r="Q4" s="6" t="s">
        <v>5</v>
      </c>
      <c r="R4" s="6" t="s">
        <v>0</v>
      </c>
      <c r="S4" s="6" t="s">
        <v>6</v>
      </c>
      <c r="U4" s="5"/>
      <c r="V4" s="6" t="s">
        <v>1</v>
      </c>
      <c r="W4" s="6" t="s">
        <v>2</v>
      </c>
      <c r="X4" s="6" t="s">
        <v>3</v>
      </c>
      <c r="Y4" s="6" t="s">
        <v>4</v>
      </c>
      <c r="Z4" s="6" t="s">
        <v>5</v>
      </c>
      <c r="AA4" s="6" t="s">
        <v>0</v>
      </c>
      <c r="AB4" s="6" t="s">
        <v>6</v>
      </c>
      <c r="AE4" s="8"/>
      <c r="AF4" s="8"/>
      <c r="AG4" s="8"/>
      <c r="AH4" s="8"/>
      <c r="AI4" s="8"/>
      <c r="AJ4" s="8"/>
      <c r="AK4" s="8"/>
      <c r="AM4" s="5"/>
      <c r="AN4" s="6" t="s">
        <v>1</v>
      </c>
      <c r="AO4" s="6" t="s">
        <v>2</v>
      </c>
      <c r="AP4" s="6" t="s">
        <v>3</v>
      </c>
      <c r="AQ4" s="6" t="s">
        <v>4</v>
      </c>
      <c r="AR4" s="6" t="s">
        <v>5</v>
      </c>
      <c r="AS4" s="6" t="s">
        <v>0</v>
      </c>
      <c r="AT4" s="6" t="s">
        <v>6</v>
      </c>
    </row>
    <row r="5" spans="3:48" ht="15.6" x14ac:dyDescent="0.3">
      <c r="C5" s="85">
        <v>1</v>
      </c>
      <c r="D5" s="116">
        <v>5</v>
      </c>
      <c r="E5" s="116">
        <v>5</v>
      </c>
      <c r="F5" s="116">
        <v>5</v>
      </c>
      <c r="G5" s="116">
        <v>5</v>
      </c>
      <c r="H5" s="116">
        <v>5</v>
      </c>
      <c r="I5" s="85" t="s">
        <v>51</v>
      </c>
      <c r="J5" s="106">
        <v>45415</v>
      </c>
      <c r="K5" s="3"/>
      <c r="L5" s="85">
        <v>1</v>
      </c>
      <c r="M5" s="129">
        <v>5</v>
      </c>
      <c r="N5" s="129">
        <v>2</v>
      </c>
      <c r="O5" s="129">
        <v>3</v>
      </c>
      <c r="P5" s="129">
        <v>3</v>
      </c>
      <c r="Q5" s="129">
        <v>4</v>
      </c>
      <c r="R5" s="85">
        <v>1910</v>
      </c>
      <c r="S5" s="106">
        <v>45413.602071759262</v>
      </c>
      <c r="U5" s="85"/>
      <c r="V5" s="85"/>
      <c r="W5" s="85"/>
      <c r="X5" s="85"/>
      <c r="Y5" s="85"/>
      <c r="Z5" s="85"/>
      <c r="AA5" s="85"/>
      <c r="AB5" s="1"/>
      <c r="AD5" s="3"/>
      <c r="AM5" s="85">
        <v>1</v>
      </c>
      <c r="AN5" s="128">
        <v>5</v>
      </c>
      <c r="AO5" s="128">
        <v>5</v>
      </c>
      <c r="AP5" s="128">
        <v>4</v>
      </c>
      <c r="AQ5" s="128">
        <v>4</v>
      </c>
      <c r="AR5" s="128">
        <v>3</v>
      </c>
      <c r="AS5" s="85" t="s">
        <v>30</v>
      </c>
      <c r="AT5" s="106">
        <v>45413.570625</v>
      </c>
      <c r="AV5" s="3"/>
    </row>
    <row r="6" spans="3:48" ht="15.6" x14ac:dyDescent="0.3">
      <c r="C6" s="85">
        <v>2</v>
      </c>
      <c r="D6" s="116">
        <v>5</v>
      </c>
      <c r="E6" s="116">
        <v>5</v>
      </c>
      <c r="F6" s="116">
        <v>5</v>
      </c>
      <c r="G6" s="116">
        <v>5</v>
      </c>
      <c r="H6" s="116">
        <v>5</v>
      </c>
      <c r="I6" s="85" t="s">
        <v>51</v>
      </c>
      <c r="J6" s="106">
        <v>45415</v>
      </c>
      <c r="K6" s="3"/>
      <c r="L6" s="85">
        <v>2</v>
      </c>
      <c r="M6" s="129">
        <v>5</v>
      </c>
      <c r="N6" s="129">
        <v>5</v>
      </c>
      <c r="O6" s="129">
        <v>5</v>
      </c>
      <c r="P6" s="129">
        <v>5</v>
      </c>
      <c r="Q6" s="129">
        <v>5</v>
      </c>
      <c r="R6" s="85">
        <v>1910</v>
      </c>
      <c r="S6" s="106">
        <v>45413.642800925925</v>
      </c>
      <c r="U6" s="85"/>
      <c r="V6" s="85"/>
      <c r="W6" s="85"/>
      <c r="X6" s="85"/>
      <c r="Y6" s="85"/>
      <c r="Z6" s="85"/>
      <c r="AA6" s="85"/>
      <c r="AB6" s="1"/>
      <c r="AD6" s="3"/>
      <c r="AM6" s="85">
        <v>2</v>
      </c>
      <c r="AN6" s="128">
        <v>5</v>
      </c>
      <c r="AO6" s="128">
        <v>5</v>
      </c>
      <c r="AP6" s="128">
        <v>4</v>
      </c>
      <c r="AQ6" s="128">
        <v>4</v>
      </c>
      <c r="AR6" s="128">
        <v>3</v>
      </c>
      <c r="AS6" s="85" t="s">
        <v>30</v>
      </c>
      <c r="AT6" s="106">
        <v>45413.572118055556</v>
      </c>
      <c r="AV6" s="3"/>
    </row>
    <row r="7" spans="3:48" ht="15.6" x14ac:dyDescent="0.3">
      <c r="C7" s="85">
        <v>3</v>
      </c>
      <c r="D7" s="116">
        <v>5</v>
      </c>
      <c r="E7" s="116">
        <v>5</v>
      </c>
      <c r="F7" s="116">
        <v>5</v>
      </c>
      <c r="G7" s="116">
        <v>5</v>
      </c>
      <c r="H7" s="116">
        <v>5</v>
      </c>
      <c r="I7" s="85" t="s">
        <v>51</v>
      </c>
      <c r="J7" s="106">
        <v>45415</v>
      </c>
      <c r="K7" s="3"/>
      <c r="L7" s="85">
        <v>3</v>
      </c>
      <c r="M7" s="129">
        <v>5</v>
      </c>
      <c r="N7" s="129">
        <v>5</v>
      </c>
      <c r="O7" s="129">
        <v>5</v>
      </c>
      <c r="P7" s="129">
        <v>5</v>
      </c>
      <c r="Q7" s="129">
        <v>5</v>
      </c>
      <c r="R7" s="85">
        <v>1910</v>
      </c>
      <c r="S7" s="106">
        <v>45418.62122685185</v>
      </c>
      <c r="U7" s="85"/>
      <c r="V7" s="85"/>
      <c r="W7" s="85"/>
      <c r="X7" s="85"/>
      <c r="Y7" s="85"/>
      <c r="Z7" s="85"/>
      <c r="AA7" s="85"/>
      <c r="AB7" s="1"/>
      <c r="AD7" s="3"/>
      <c r="AM7" s="85">
        <v>3</v>
      </c>
      <c r="AN7" s="128">
        <v>5</v>
      </c>
      <c r="AO7" s="128">
        <v>5</v>
      </c>
      <c r="AP7" s="128">
        <v>5</v>
      </c>
      <c r="AQ7" s="128">
        <v>5</v>
      </c>
      <c r="AR7" s="128">
        <v>5</v>
      </c>
      <c r="AS7" s="85" t="s">
        <v>30</v>
      </c>
      <c r="AT7" s="106">
        <v>45413.58185185185</v>
      </c>
      <c r="AV7" s="3"/>
    </row>
    <row r="8" spans="3:48" ht="15.6" x14ac:dyDescent="0.3">
      <c r="C8" s="85">
        <v>4</v>
      </c>
      <c r="D8" s="116">
        <v>5</v>
      </c>
      <c r="E8" s="116">
        <v>5</v>
      </c>
      <c r="F8" s="116">
        <v>5</v>
      </c>
      <c r="G8" s="116">
        <v>5</v>
      </c>
      <c r="H8" s="116">
        <v>5</v>
      </c>
      <c r="I8" s="85" t="s">
        <v>51</v>
      </c>
      <c r="J8" s="106">
        <v>45415</v>
      </c>
      <c r="K8" s="3"/>
      <c r="L8" s="85">
        <v>4</v>
      </c>
      <c r="M8" s="129">
        <v>5</v>
      </c>
      <c r="N8" s="129">
        <v>5</v>
      </c>
      <c r="O8" s="129">
        <v>5</v>
      </c>
      <c r="P8" s="129">
        <v>5</v>
      </c>
      <c r="Q8" s="129">
        <v>5</v>
      </c>
      <c r="R8" s="85">
        <v>1910</v>
      </c>
      <c r="S8" s="106">
        <v>45420.585648148146</v>
      </c>
      <c r="U8" s="85"/>
      <c r="V8" s="85"/>
      <c r="W8" s="85"/>
      <c r="X8" s="85"/>
      <c r="Y8" s="85"/>
      <c r="Z8" s="85"/>
      <c r="AA8" s="85"/>
      <c r="AB8" s="1"/>
      <c r="AD8" s="3"/>
      <c r="AM8" s="85">
        <v>4</v>
      </c>
      <c r="AN8" s="128">
        <v>5</v>
      </c>
      <c r="AO8" s="128">
        <v>5</v>
      </c>
      <c r="AP8" s="128">
        <v>5</v>
      </c>
      <c r="AQ8" s="128">
        <v>5</v>
      </c>
      <c r="AR8" s="128">
        <v>5</v>
      </c>
      <c r="AS8" s="85" t="s">
        <v>30</v>
      </c>
      <c r="AT8" s="106">
        <v>45413.687418981484</v>
      </c>
      <c r="AV8" s="3"/>
    </row>
    <row r="9" spans="3:48" ht="15.6" x14ac:dyDescent="0.3">
      <c r="C9" s="85">
        <v>5</v>
      </c>
      <c r="D9" s="116">
        <v>5</v>
      </c>
      <c r="E9" s="116">
        <v>5</v>
      </c>
      <c r="F9" s="116">
        <v>5</v>
      </c>
      <c r="G9" s="116">
        <v>5</v>
      </c>
      <c r="H9" s="116">
        <v>5</v>
      </c>
      <c r="I9" s="85" t="s">
        <v>51</v>
      </c>
      <c r="J9" s="106">
        <v>45415</v>
      </c>
      <c r="K9" s="3"/>
      <c r="L9" s="85">
        <v>5</v>
      </c>
      <c r="M9" s="129">
        <v>5</v>
      </c>
      <c r="N9" s="129">
        <v>5</v>
      </c>
      <c r="O9" s="129">
        <v>5</v>
      </c>
      <c r="P9" s="129">
        <v>5</v>
      </c>
      <c r="Q9" s="129">
        <v>5</v>
      </c>
      <c r="R9" s="85">
        <v>1910</v>
      </c>
      <c r="S9" s="106">
        <v>45420.648981481485</v>
      </c>
      <c r="U9" s="85"/>
      <c r="V9" s="85"/>
      <c r="W9" s="85"/>
      <c r="X9" s="85"/>
      <c r="Y9" s="85"/>
      <c r="Z9" s="85"/>
      <c r="AA9" s="85"/>
      <c r="AB9" s="1"/>
      <c r="AD9" s="3"/>
      <c r="AM9" s="85">
        <v>5</v>
      </c>
      <c r="AN9" s="128">
        <v>5</v>
      </c>
      <c r="AO9" s="128">
        <v>5</v>
      </c>
      <c r="AP9" s="128">
        <v>5</v>
      </c>
      <c r="AQ9" s="128">
        <v>5</v>
      </c>
      <c r="AR9" s="128">
        <v>5</v>
      </c>
      <c r="AS9" s="85" t="s">
        <v>30</v>
      </c>
      <c r="AT9" s="106">
        <v>45413.69021990741</v>
      </c>
      <c r="AV9" s="3"/>
    </row>
    <row r="10" spans="3:48" ht="15.6" x14ac:dyDescent="0.3">
      <c r="C10" s="85">
        <v>6</v>
      </c>
      <c r="D10" s="116">
        <v>5</v>
      </c>
      <c r="E10" s="116">
        <v>4</v>
      </c>
      <c r="F10" s="116">
        <v>5</v>
      </c>
      <c r="G10" s="116">
        <v>4</v>
      </c>
      <c r="H10" s="116">
        <v>4</v>
      </c>
      <c r="I10" s="85" t="s">
        <v>51</v>
      </c>
      <c r="J10" s="106">
        <v>45416</v>
      </c>
      <c r="K10" s="3"/>
      <c r="L10" s="85">
        <v>6</v>
      </c>
      <c r="M10" s="129">
        <v>5</v>
      </c>
      <c r="N10" s="129">
        <v>5</v>
      </c>
      <c r="O10" s="129">
        <v>5</v>
      </c>
      <c r="P10" s="129">
        <v>4</v>
      </c>
      <c r="Q10" s="129">
        <v>5</v>
      </c>
      <c r="R10" s="85">
        <v>1910</v>
      </c>
      <c r="S10" s="106">
        <v>45420.65384259259</v>
      </c>
      <c r="T10" s="111"/>
      <c r="U10" s="85"/>
      <c r="V10" s="85"/>
      <c r="W10" s="85"/>
      <c r="X10" s="85"/>
      <c r="Y10" s="85"/>
      <c r="Z10" s="85"/>
      <c r="AA10" s="85"/>
      <c r="AB10" s="1"/>
      <c r="AD10" s="3"/>
      <c r="AM10" s="85">
        <v>6</v>
      </c>
      <c r="AN10" s="128">
        <v>5</v>
      </c>
      <c r="AO10" s="128">
        <v>5</v>
      </c>
      <c r="AP10" s="128">
        <v>5</v>
      </c>
      <c r="AQ10" s="128">
        <v>5</v>
      </c>
      <c r="AR10" s="128">
        <v>5</v>
      </c>
      <c r="AS10" s="85" t="s">
        <v>30</v>
      </c>
      <c r="AT10" s="106">
        <v>45414.615972222222</v>
      </c>
      <c r="AV10" s="3"/>
    </row>
    <row r="11" spans="3:48" ht="15.6" x14ac:dyDescent="0.3">
      <c r="C11" s="85">
        <v>7</v>
      </c>
      <c r="D11" s="116">
        <v>5</v>
      </c>
      <c r="E11" s="116">
        <v>5</v>
      </c>
      <c r="F11" s="116">
        <v>5</v>
      </c>
      <c r="G11" s="116">
        <v>5</v>
      </c>
      <c r="H11" s="116">
        <v>4</v>
      </c>
      <c r="I11" s="85" t="s">
        <v>51</v>
      </c>
      <c r="J11" s="106">
        <v>45416</v>
      </c>
      <c r="K11" s="3"/>
      <c r="L11" s="85">
        <v>7</v>
      </c>
      <c r="M11" s="129">
        <v>5</v>
      </c>
      <c r="N11" s="129">
        <v>5</v>
      </c>
      <c r="O11" s="129">
        <v>5</v>
      </c>
      <c r="P11" s="129">
        <v>4</v>
      </c>
      <c r="Q11" s="129">
        <v>5</v>
      </c>
      <c r="R11" s="85">
        <v>1910</v>
      </c>
      <c r="S11" s="106">
        <v>45420.654039351852</v>
      </c>
      <c r="T11" s="111"/>
      <c r="U11" s="85"/>
      <c r="V11" s="85"/>
      <c r="W11" s="85"/>
      <c r="X11" s="85"/>
      <c r="Y11" s="85"/>
      <c r="Z11" s="85"/>
      <c r="AA11" s="85"/>
      <c r="AB11" s="1"/>
      <c r="AD11" s="3"/>
      <c r="AM11" s="85">
        <v>7</v>
      </c>
      <c r="AN11" s="128">
        <v>5</v>
      </c>
      <c r="AO11" s="128">
        <v>5</v>
      </c>
      <c r="AP11" s="128">
        <v>5</v>
      </c>
      <c r="AQ11" s="128">
        <v>4</v>
      </c>
      <c r="AR11" s="128">
        <v>4</v>
      </c>
      <c r="AS11" s="85" t="s">
        <v>30</v>
      </c>
      <c r="AT11" s="106">
        <v>45414.642997685187</v>
      </c>
      <c r="AV11" s="3"/>
    </row>
    <row r="12" spans="3:48" ht="15.6" x14ac:dyDescent="0.3">
      <c r="C12" s="85">
        <v>8</v>
      </c>
      <c r="D12" s="116">
        <v>5</v>
      </c>
      <c r="E12" s="116">
        <v>4</v>
      </c>
      <c r="F12" s="116">
        <v>4</v>
      </c>
      <c r="G12" s="116">
        <v>3</v>
      </c>
      <c r="H12" s="116">
        <v>5</v>
      </c>
      <c r="I12" s="85" t="s">
        <v>51</v>
      </c>
      <c r="J12" s="106">
        <v>45416</v>
      </c>
      <c r="K12" s="3"/>
      <c r="L12" s="85">
        <v>8</v>
      </c>
      <c r="M12" s="129">
        <v>5</v>
      </c>
      <c r="N12" s="129">
        <v>4</v>
      </c>
      <c r="O12" s="129">
        <v>5</v>
      </c>
      <c r="P12" s="129">
        <v>5</v>
      </c>
      <c r="Q12" s="129">
        <v>5</v>
      </c>
      <c r="R12" s="85">
        <v>1910</v>
      </c>
      <c r="S12" s="106">
        <v>45421.652442129627</v>
      </c>
      <c r="T12" s="111"/>
      <c r="U12" s="85"/>
      <c r="V12" s="85"/>
      <c r="W12" s="85"/>
      <c r="X12" s="85"/>
      <c r="Y12" s="85"/>
      <c r="Z12" s="85"/>
      <c r="AA12" s="85"/>
      <c r="AB12" s="1"/>
      <c r="AD12" s="3"/>
      <c r="AM12" s="85">
        <v>8</v>
      </c>
      <c r="AN12" s="128">
        <v>5</v>
      </c>
      <c r="AO12" s="128">
        <v>5</v>
      </c>
      <c r="AP12" s="128">
        <v>5</v>
      </c>
      <c r="AQ12" s="128">
        <v>5</v>
      </c>
      <c r="AR12" s="128">
        <v>5</v>
      </c>
      <c r="AS12" s="85" t="s">
        <v>30</v>
      </c>
      <c r="AT12" s="106">
        <v>45415.633437500001</v>
      </c>
      <c r="AV12" s="3"/>
    </row>
    <row r="13" spans="3:48" ht="15.6" x14ac:dyDescent="0.3">
      <c r="C13" s="85">
        <v>9</v>
      </c>
      <c r="D13" s="116">
        <v>5</v>
      </c>
      <c r="E13" s="116">
        <v>5</v>
      </c>
      <c r="F13" s="116">
        <v>5</v>
      </c>
      <c r="G13" s="116">
        <v>5</v>
      </c>
      <c r="H13" s="116">
        <v>5</v>
      </c>
      <c r="I13" s="85" t="s">
        <v>51</v>
      </c>
      <c r="J13" s="106">
        <v>45416</v>
      </c>
      <c r="K13" s="3"/>
      <c r="L13" s="85">
        <v>9</v>
      </c>
      <c r="M13" s="129">
        <v>5</v>
      </c>
      <c r="N13" s="129">
        <v>5</v>
      </c>
      <c r="O13" s="129">
        <v>5</v>
      </c>
      <c r="P13" s="129">
        <v>5</v>
      </c>
      <c r="Q13" s="129">
        <v>3</v>
      </c>
      <c r="R13" s="85">
        <v>1910</v>
      </c>
      <c r="S13" s="106">
        <v>45422.666539351849</v>
      </c>
      <c r="T13" s="111"/>
      <c r="U13" s="85"/>
      <c r="V13" s="85"/>
      <c r="W13" s="85"/>
      <c r="X13" s="85"/>
      <c r="Y13" s="85"/>
      <c r="Z13" s="85"/>
      <c r="AA13" s="85"/>
      <c r="AB13" s="1"/>
      <c r="AD13" s="3"/>
      <c r="AM13" s="85">
        <v>9</v>
      </c>
      <c r="AN13" s="128">
        <v>5</v>
      </c>
      <c r="AO13" s="128">
        <v>5</v>
      </c>
      <c r="AP13" s="128">
        <v>5</v>
      </c>
      <c r="AQ13" s="128">
        <v>5</v>
      </c>
      <c r="AR13" s="128">
        <v>5</v>
      </c>
      <c r="AS13" s="85" t="s">
        <v>30</v>
      </c>
      <c r="AT13" s="106">
        <v>45415.63354166667</v>
      </c>
      <c r="AV13" s="3"/>
    </row>
    <row r="14" spans="3:48" ht="15.6" x14ac:dyDescent="0.3">
      <c r="C14" s="85">
        <v>10</v>
      </c>
      <c r="D14" s="116">
        <v>5</v>
      </c>
      <c r="E14" s="116">
        <v>5</v>
      </c>
      <c r="F14" s="116">
        <v>5</v>
      </c>
      <c r="G14" s="116">
        <v>5</v>
      </c>
      <c r="H14" s="116">
        <v>5</v>
      </c>
      <c r="I14" s="85" t="s">
        <v>51</v>
      </c>
      <c r="J14" s="106">
        <v>45417</v>
      </c>
      <c r="K14" s="3"/>
      <c r="L14" s="85">
        <v>10</v>
      </c>
      <c r="M14" s="129">
        <v>5</v>
      </c>
      <c r="N14" s="129">
        <v>5</v>
      </c>
      <c r="O14" s="129">
        <v>5</v>
      </c>
      <c r="P14" s="129">
        <v>5</v>
      </c>
      <c r="Q14" s="129">
        <v>5</v>
      </c>
      <c r="R14" s="85">
        <v>1910</v>
      </c>
      <c r="S14" s="106">
        <v>45424.597361111111</v>
      </c>
      <c r="T14" s="111"/>
      <c r="U14" s="85"/>
      <c r="V14" s="85"/>
      <c r="W14" s="85"/>
      <c r="X14" s="85"/>
      <c r="Y14" s="85"/>
      <c r="Z14" s="85"/>
      <c r="AA14" s="85"/>
      <c r="AB14" s="1"/>
      <c r="AD14" s="3"/>
      <c r="AM14" s="85">
        <v>10</v>
      </c>
      <c r="AN14" s="128">
        <v>5</v>
      </c>
      <c r="AO14" s="128">
        <v>5</v>
      </c>
      <c r="AP14" s="128">
        <v>5</v>
      </c>
      <c r="AQ14" s="128">
        <v>5</v>
      </c>
      <c r="AR14" s="128">
        <v>5</v>
      </c>
      <c r="AS14" s="85" t="s">
        <v>30</v>
      </c>
      <c r="AT14" s="106">
        <v>45415.642511574071</v>
      </c>
      <c r="AV14" s="3"/>
    </row>
    <row r="15" spans="3:48" ht="15.6" x14ac:dyDescent="0.3">
      <c r="C15" s="85">
        <v>11</v>
      </c>
      <c r="D15" s="116">
        <v>5</v>
      </c>
      <c r="E15" s="116">
        <v>5</v>
      </c>
      <c r="F15" s="116">
        <v>5</v>
      </c>
      <c r="G15" s="116">
        <v>5</v>
      </c>
      <c r="H15" s="116">
        <v>5</v>
      </c>
      <c r="I15" s="85" t="s">
        <v>51</v>
      </c>
      <c r="J15" s="106">
        <v>45417</v>
      </c>
      <c r="K15" s="3"/>
      <c r="L15" s="85">
        <v>11</v>
      </c>
      <c r="M15" s="129">
        <v>5</v>
      </c>
      <c r="N15" s="129">
        <v>5</v>
      </c>
      <c r="O15" s="129">
        <v>5</v>
      </c>
      <c r="P15" s="129">
        <v>3</v>
      </c>
      <c r="Q15" s="129">
        <v>4</v>
      </c>
      <c r="R15" s="85">
        <v>1910</v>
      </c>
      <c r="S15" s="106">
        <v>45427.588460648149</v>
      </c>
      <c r="T15" s="111"/>
      <c r="U15" s="85"/>
      <c r="V15" s="85"/>
      <c r="W15" s="85"/>
      <c r="X15" s="85"/>
      <c r="Y15" s="85"/>
      <c r="Z15" s="85"/>
      <c r="AA15" s="85"/>
      <c r="AB15" s="1"/>
      <c r="AD15" s="3"/>
      <c r="AM15" s="85">
        <v>11</v>
      </c>
      <c r="AN15" s="128">
        <v>5</v>
      </c>
      <c r="AO15" s="128">
        <v>5</v>
      </c>
      <c r="AP15" s="128">
        <v>5</v>
      </c>
      <c r="AQ15" s="128">
        <v>5</v>
      </c>
      <c r="AR15" s="128">
        <v>5</v>
      </c>
      <c r="AS15" s="85" t="s">
        <v>30</v>
      </c>
      <c r="AT15" s="106">
        <v>45415.657430555555</v>
      </c>
      <c r="AV15" s="3"/>
    </row>
    <row r="16" spans="3:48" ht="15.6" x14ac:dyDescent="0.3">
      <c r="C16" s="85">
        <v>12</v>
      </c>
      <c r="D16" s="116">
        <v>5</v>
      </c>
      <c r="E16" s="116">
        <v>5</v>
      </c>
      <c r="F16" s="116">
        <v>5</v>
      </c>
      <c r="G16" s="116">
        <v>5</v>
      </c>
      <c r="H16" s="116">
        <v>5</v>
      </c>
      <c r="I16" s="85" t="s">
        <v>51</v>
      </c>
      <c r="J16" s="106">
        <v>45417</v>
      </c>
      <c r="K16" s="3"/>
      <c r="L16" s="85">
        <v>12</v>
      </c>
      <c r="M16" s="129">
        <v>5</v>
      </c>
      <c r="N16" s="129">
        <v>5</v>
      </c>
      <c r="O16" s="129">
        <v>5</v>
      </c>
      <c r="P16" s="129">
        <v>5</v>
      </c>
      <c r="Q16" s="129">
        <v>5</v>
      </c>
      <c r="R16" s="85">
        <v>1910</v>
      </c>
      <c r="S16" s="106">
        <v>45427.599212962959</v>
      </c>
      <c r="U16" s="85"/>
      <c r="V16" s="85"/>
      <c r="W16" s="85"/>
      <c r="X16" s="85"/>
      <c r="Y16" s="85"/>
      <c r="Z16" s="85"/>
      <c r="AA16" s="85"/>
      <c r="AB16" s="1"/>
      <c r="AD16" s="3"/>
      <c r="AM16" s="85">
        <v>12</v>
      </c>
      <c r="AN16" s="128">
        <v>5</v>
      </c>
      <c r="AO16" s="128">
        <v>5</v>
      </c>
      <c r="AP16" s="128">
        <v>5</v>
      </c>
      <c r="AQ16" s="128">
        <v>5</v>
      </c>
      <c r="AR16" s="128">
        <v>5</v>
      </c>
      <c r="AS16" s="85" t="s">
        <v>30</v>
      </c>
      <c r="AT16" s="106">
        <v>45416.655960648146</v>
      </c>
      <c r="AV16" s="3"/>
    </row>
    <row r="17" spans="3:48" ht="15.6" x14ac:dyDescent="0.3">
      <c r="C17" s="85">
        <v>13</v>
      </c>
      <c r="D17" s="116">
        <v>5</v>
      </c>
      <c r="E17" s="116">
        <v>5</v>
      </c>
      <c r="F17" s="116">
        <v>5</v>
      </c>
      <c r="G17" s="116">
        <v>5</v>
      </c>
      <c r="H17" s="116">
        <v>5</v>
      </c>
      <c r="I17" s="85" t="s">
        <v>51</v>
      </c>
      <c r="J17" s="106">
        <v>45417</v>
      </c>
      <c r="K17" s="3"/>
      <c r="L17" s="85">
        <v>13</v>
      </c>
      <c r="M17" s="129">
        <v>5</v>
      </c>
      <c r="N17" s="129">
        <v>3</v>
      </c>
      <c r="O17" s="129">
        <v>5</v>
      </c>
      <c r="P17" s="129">
        <v>4</v>
      </c>
      <c r="Q17" s="129">
        <v>5</v>
      </c>
      <c r="R17" s="85">
        <v>1910</v>
      </c>
      <c r="S17" s="106">
        <v>45433.613807870373</v>
      </c>
      <c r="U17" s="85"/>
      <c r="V17" s="85"/>
      <c r="W17" s="85"/>
      <c r="X17" s="85"/>
      <c r="Y17" s="85"/>
      <c r="Z17" s="85"/>
      <c r="AA17" s="85"/>
      <c r="AB17" s="1"/>
      <c r="AD17" s="3"/>
      <c r="AM17" s="85">
        <v>13</v>
      </c>
      <c r="AN17" s="128">
        <v>5</v>
      </c>
      <c r="AO17" s="128">
        <v>5</v>
      </c>
      <c r="AP17" s="128">
        <v>3</v>
      </c>
      <c r="AQ17" s="128">
        <v>4</v>
      </c>
      <c r="AR17" s="128">
        <v>5</v>
      </c>
      <c r="AS17" s="85" t="s">
        <v>30</v>
      </c>
      <c r="AT17" s="106">
        <v>45416.656875000001</v>
      </c>
      <c r="AV17" s="3"/>
    </row>
    <row r="18" spans="3:48" ht="15.6" x14ac:dyDescent="0.3">
      <c r="C18" s="85">
        <v>14</v>
      </c>
      <c r="D18" s="116">
        <v>5</v>
      </c>
      <c r="E18" s="116">
        <v>5</v>
      </c>
      <c r="F18" s="116">
        <v>5</v>
      </c>
      <c r="G18" s="116">
        <v>5</v>
      </c>
      <c r="H18" s="116">
        <v>5</v>
      </c>
      <c r="I18" s="85" t="s">
        <v>51</v>
      </c>
      <c r="J18" s="106">
        <v>45417</v>
      </c>
      <c r="K18" s="3"/>
      <c r="L18" s="85">
        <v>14</v>
      </c>
      <c r="M18" s="85"/>
      <c r="N18" s="85"/>
      <c r="O18" s="85"/>
      <c r="P18" s="85"/>
      <c r="Q18" s="85"/>
      <c r="R18" s="85">
        <v>1910</v>
      </c>
      <c r="S18" s="106"/>
      <c r="U18" s="85"/>
      <c r="V18" s="85"/>
      <c r="W18" s="85"/>
      <c r="X18" s="85"/>
      <c r="Y18" s="85"/>
      <c r="Z18" s="85"/>
      <c r="AA18" s="85"/>
      <c r="AB18" s="1"/>
      <c r="AD18" s="3"/>
      <c r="AM18" s="85">
        <v>14</v>
      </c>
      <c r="AN18" s="128">
        <v>5</v>
      </c>
      <c r="AO18" s="128">
        <v>5</v>
      </c>
      <c r="AP18" s="128">
        <v>4</v>
      </c>
      <c r="AQ18" s="128">
        <v>4</v>
      </c>
      <c r="AR18" s="128">
        <v>4</v>
      </c>
      <c r="AS18" s="85" t="s">
        <v>30</v>
      </c>
      <c r="AT18" s="106">
        <v>45416.657708333332</v>
      </c>
      <c r="AV18" s="3"/>
    </row>
    <row r="19" spans="3:48" ht="15.6" x14ac:dyDescent="0.3">
      <c r="C19" s="85">
        <v>15</v>
      </c>
      <c r="D19" s="116">
        <v>5</v>
      </c>
      <c r="E19" s="116">
        <v>5</v>
      </c>
      <c r="F19" s="116">
        <v>5</v>
      </c>
      <c r="G19" s="116">
        <v>5</v>
      </c>
      <c r="H19" s="116">
        <v>5</v>
      </c>
      <c r="I19" s="85" t="s">
        <v>51</v>
      </c>
      <c r="J19" s="106">
        <v>45417</v>
      </c>
      <c r="K19" s="3"/>
      <c r="L19" s="85">
        <v>15</v>
      </c>
      <c r="M19" s="85"/>
      <c r="N19" s="85"/>
      <c r="O19" s="85"/>
      <c r="P19" s="85"/>
      <c r="Q19" s="85"/>
      <c r="R19" s="85">
        <v>1910</v>
      </c>
      <c r="S19" s="106"/>
      <c r="U19" s="85"/>
      <c r="V19" s="85"/>
      <c r="W19" s="85"/>
      <c r="X19" s="85"/>
      <c r="Y19" s="85"/>
      <c r="Z19" s="85"/>
      <c r="AA19" s="85"/>
      <c r="AB19" s="1"/>
      <c r="AD19" s="3"/>
      <c r="AM19" s="85">
        <v>15</v>
      </c>
      <c r="AN19" s="128">
        <v>5</v>
      </c>
      <c r="AO19" s="128">
        <v>5</v>
      </c>
      <c r="AP19" s="128">
        <v>5</v>
      </c>
      <c r="AQ19" s="128">
        <v>5</v>
      </c>
      <c r="AR19" s="128">
        <v>5</v>
      </c>
      <c r="AS19" s="85" t="s">
        <v>30</v>
      </c>
      <c r="AT19" s="106">
        <v>45420.571932870371</v>
      </c>
      <c r="AV19" s="3"/>
    </row>
    <row r="20" spans="3:48" ht="15.6" x14ac:dyDescent="0.3">
      <c r="C20" s="85">
        <v>16</v>
      </c>
      <c r="D20" s="116">
        <v>5</v>
      </c>
      <c r="E20" s="116">
        <v>5</v>
      </c>
      <c r="F20" s="116">
        <v>5</v>
      </c>
      <c r="G20" s="116">
        <v>3</v>
      </c>
      <c r="H20" s="116">
        <v>5</v>
      </c>
      <c r="I20" s="85" t="s">
        <v>51</v>
      </c>
      <c r="J20" s="106">
        <v>45417</v>
      </c>
      <c r="K20" s="3"/>
      <c r="L20" s="85">
        <v>16</v>
      </c>
      <c r="M20" s="85"/>
      <c r="N20" s="85"/>
      <c r="O20" s="85"/>
      <c r="P20" s="85"/>
      <c r="Q20" s="85"/>
      <c r="R20" s="85">
        <v>1910</v>
      </c>
      <c r="S20" s="106"/>
      <c r="U20" s="85"/>
      <c r="V20" s="85"/>
      <c r="W20" s="85"/>
      <c r="X20" s="85"/>
      <c r="Y20" s="85"/>
      <c r="Z20" s="85"/>
      <c r="AA20" s="85"/>
      <c r="AB20" s="1"/>
      <c r="AD20" s="3"/>
      <c r="AM20" s="85">
        <v>16</v>
      </c>
      <c r="AN20" s="128">
        <v>5</v>
      </c>
      <c r="AO20" s="128">
        <v>5</v>
      </c>
      <c r="AP20" s="128">
        <v>5</v>
      </c>
      <c r="AQ20" s="128">
        <v>5</v>
      </c>
      <c r="AR20" s="128">
        <v>5</v>
      </c>
      <c r="AS20" s="85" t="s">
        <v>30</v>
      </c>
      <c r="AT20" s="106">
        <v>45420.606770833336</v>
      </c>
      <c r="AV20" s="3"/>
    </row>
    <row r="21" spans="3:48" ht="15.6" x14ac:dyDescent="0.3">
      <c r="C21" s="85">
        <v>17</v>
      </c>
      <c r="D21" s="116">
        <v>5</v>
      </c>
      <c r="E21" s="116">
        <v>5</v>
      </c>
      <c r="F21" s="116">
        <v>4</v>
      </c>
      <c r="G21" s="116">
        <v>5</v>
      </c>
      <c r="H21" s="116">
        <v>5</v>
      </c>
      <c r="I21" s="85" t="s">
        <v>51</v>
      </c>
      <c r="J21" s="106">
        <v>45417</v>
      </c>
      <c r="K21" s="3"/>
      <c r="L21" s="85">
        <v>17</v>
      </c>
      <c r="M21" s="85"/>
      <c r="N21" s="85"/>
      <c r="O21" s="85"/>
      <c r="P21" s="85"/>
      <c r="Q21" s="85"/>
      <c r="R21" s="85">
        <v>1910</v>
      </c>
      <c r="S21" s="106"/>
      <c r="U21" s="85"/>
      <c r="V21" s="85"/>
      <c r="W21" s="85"/>
      <c r="X21" s="85"/>
      <c r="Y21" s="85"/>
      <c r="Z21" s="85"/>
      <c r="AA21" s="85"/>
      <c r="AB21" s="1"/>
      <c r="AD21" s="3"/>
      <c r="AM21" s="85">
        <v>17</v>
      </c>
      <c r="AN21" s="128">
        <v>5</v>
      </c>
      <c r="AO21" s="128">
        <v>5</v>
      </c>
      <c r="AP21" s="128">
        <v>5</v>
      </c>
      <c r="AQ21" s="128">
        <v>5</v>
      </c>
      <c r="AR21" s="128">
        <v>5</v>
      </c>
      <c r="AS21" s="85" t="s">
        <v>30</v>
      </c>
      <c r="AT21" s="106">
        <v>45420.639374999999</v>
      </c>
      <c r="AV21" s="3"/>
    </row>
    <row r="22" spans="3:48" ht="15.6" x14ac:dyDescent="0.3">
      <c r="C22" s="85">
        <v>18</v>
      </c>
      <c r="D22" s="116">
        <v>5</v>
      </c>
      <c r="E22" s="116">
        <v>5</v>
      </c>
      <c r="F22" s="116">
        <v>5</v>
      </c>
      <c r="G22" s="116">
        <v>5</v>
      </c>
      <c r="H22" s="116">
        <v>5</v>
      </c>
      <c r="I22" s="85" t="s">
        <v>51</v>
      </c>
      <c r="J22" s="106">
        <v>45419</v>
      </c>
      <c r="K22" s="3"/>
      <c r="L22" s="85">
        <v>18</v>
      </c>
      <c r="M22" s="85"/>
      <c r="N22" s="85"/>
      <c r="O22" s="85"/>
      <c r="P22" s="85"/>
      <c r="Q22" s="85"/>
      <c r="R22" s="85">
        <v>1910</v>
      </c>
      <c r="S22" s="106"/>
      <c r="U22" s="85"/>
      <c r="V22" s="85"/>
      <c r="W22" s="85"/>
      <c r="X22" s="85"/>
      <c r="Y22" s="85"/>
      <c r="Z22" s="85"/>
      <c r="AA22" s="85"/>
      <c r="AB22" s="1"/>
      <c r="AD22" s="3"/>
      <c r="AM22" s="85">
        <v>18</v>
      </c>
      <c r="AN22" s="128">
        <v>5</v>
      </c>
      <c r="AO22" s="128">
        <v>5</v>
      </c>
      <c r="AP22" s="128">
        <v>5</v>
      </c>
      <c r="AQ22" s="128">
        <v>5</v>
      </c>
      <c r="AR22" s="128">
        <v>5</v>
      </c>
      <c r="AS22" s="85" t="s">
        <v>30</v>
      </c>
      <c r="AT22" s="106">
        <v>45420.659305555557</v>
      </c>
      <c r="AV22" s="3"/>
    </row>
    <row r="23" spans="3:48" ht="15.6" x14ac:dyDescent="0.3">
      <c r="C23" s="85">
        <v>19</v>
      </c>
      <c r="D23" s="116">
        <v>1</v>
      </c>
      <c r="E23" s="116">
        <v>1</v>
      </c>
      <c r="F23" s="116">
        <v>1</v>
      </c>
      <c r="G23" s="116">
        <v>1</v>
      </c>
      <c r="H23" s="116">
        <v>1</v>
      </c>
      <c r="I23" s="85" t="s">
        <v>51</v>
      </c>
      <c r="J23" s="106">
        <v>45419</v>
      </c>
      <c r="K23" s="3"/>
      <c r="L23" s="85">
        <v>19</v>
      </c>
      <c r="M23" s="85"/>
      <c r="N23" s="85"/>
      <c r="O23" s="85"/>
      <c r="P23" s="85"/>
      <c r="Q23" s="85"/>
      <c r="R23" s="85">
        <v>1910</v>
      </c>
      <c r="S23" s="106"/>
      <c r="U23" s="85"/>
      <c r="V23" s="85"/>
      <c r="W23" s="85"/>
      <c r="X23" s="85"/>
      <c r="Y23" s="85"/>
      <c r="Z23" s="85"/>
      <c r="AA23" s="85"/>
      <c r="AB23" s="1"/>
      <c r="AD23" s="3"/>
      <c r="AM23" s="85">
        <v>19</v>
      </c>
      <c r="AN23" s="128">
        <v>5</v>
      </c>
      <c r="AO23" s="128">
        <v>5</v>
      </c>
      <c r="AP23" s="128">
        <v>5</v>
      </c>
      <c r="AQ23" s="128">
        <v>5</v>
      </c>
      <c r="AR23" s="128">
        <v>5</v>
      </c>
      <c r="AS23" s="85" t="s">
        <v>30</v>
      </c>
      <c r="AT23" s="106">
        <v>45421.585393518515</v>
      </c>
      <c r="AV23" s="3"/>
    </row>
    <row r="24" spans="3:48" ht="15.6" x14ac:dyDescent="0.3">
      <c r="C24" s="85">
        <v>20</v>
      </c>
      <c r="D24" s="116">
        <v>5</v>
      </c>
      <c r="E24" s="116">
        <v>5</v>
      </c>
      <c r="F24" s="116">
        <v>5</v>
      </c>
      <c r="G24" s="116">
        <v>5</v>
      </c>
      <c r="H24" s="116">
        <v>5</v>
      </c>
      <c r="I24" s="85" t="s">
        <v>51</v>
      </c>
      <c r="J24" s="106">
        <v>45420</v>
      </c>
      <c r="K24" s="3"/>
      <c r="L24" s="85">
        <v>20</v>
      </c>
      <c r="M24" s="85"/>
      <c r="N24" s="85"/>
      <c r="O24" s="85"/>
      <c r="P24" s="85"/>
      <c r="Q24" s="85"/>
      <c r="R24" s="85">
        <v>1910</v>
      </c>
      <c r="S24" s="106"/>
      <c r="U24" s="85"/>
      <c r="V24" s="85"/>
      <c r="W24" s="85"/>
      <c r="X24" s="85"/>
      <c r="Y24" s="85"/>
      <c r="Z24" s="85"/>
      <c r="AA24" s="85"/>
      <c r="AB24" s="1"/>
      <c r="AC24" s="82"/>
      <c r="AD24" s="3"/>
      <c r="AM24" s="85">
        <v>20</v>
      </c>
      <c r="AN24" s="128">
        <v>5</v>
      </c>
      <c r="AO24" s="128">
        <v>5</v>
      </c>
      <c r="AP24" s="128">
        <v>5</v>
      </c>
      <c r="AQ24" s="128">
        <v>5</v>
      </c>
      <c r="AR24" s="128">
        <v>5</v>
      </c>
      <c r="AS24" s="85" t="s">
        <v>30</v>
      </c>
      <c r="AT24" s="106">
        <v>45421.585486111115</v>
      </c>
      <c r="AV24" s="3"/>
    </row>
    <row r="25" spans="3:48" ht="15.6" x14ac:dyDescent="0.3">
      <c r="C25" s="85">
        <v>21</v>
      </c>
      <c r="D25" s="116">
        <v>5</v>
      </c>
      <c r="E25" s="116">
        <v>5</v>
      </c>
      <c r="F25" s="116">
        <v>5</v>
      </c>
      <c r="G25" s="116">
        <v>5</v>
      </c>
      <c r="H25" s="116">
        <v>5</v>
      </c>
      <c r="I25" s="85" t="s">
        <v>51</v>
      </c>
      <c r="J25" s="106">
        <v>45420</v>
      </c>
      <c r="K25" s="3"/>
      <c r="L25" s="85">
        <v>21</v>
      </c>
      <c r="M25" s="85"/>
      <c r="N25" s="85"/>
      <c r="O25" s="85"/>
      <c r="P25" s="85"/>
      <c r="Q25" s="85"/>
      <c r="R25" s="85">
        <v>1910</v>
      </c>
      <c r="S25" s="106"/>
      <c r="U25" s="85"/>
      <c r="V25" s="85"/>
      <c r="W25" s="85"/>
      <c r="X25" s="85"/>
      <c r="Y25" s="85"/>
      <c r="Z25" s="85"/>
      <c r="AA25" s="85"/>
      <c r="AB25" s="1"/>
      <c r="AD25" s="3"/>
      <c r="AL25" s="3"/>
      <c r="AM25" s="85">
        <v>21</v>
      </c>
      <c r="AN25" s="128">
        <v>1</v>
      </c>
      <c r="AO25" s="128">
        <v>1</v>
      </c>
      <c r="AP25" s="128">
        <v>1</v>
      </c>
      <c r="AQ25" s="128">
        <v>1</v>
      </c>
      <c r="AR25" s="128">
        <v>1</v>
      </c>
      <c r="AS25" s="85" t="s">
        <v>30</v>
      </c>
      <c r="AT25" s="106">
        <v>45421.622187499997</v>
      </c>
      <c r="AU25" s="83"/>
      <c r="AV25" s="3"/>
    </row>
    <row r="26" spans="3:48" ht="15.6" x14ac:dyDescent="0.3">
      <c r="C26" s="85">
        <v>22</v>
      </c>
      <c r="D26" s="116">
        <v>5</v>
      </c>
      <c r="E26" s="116">
        <v>4</v>
      </c>
      <c r="F26" s="116">
        <v>5</v>
      </c>
      <c r="G26" s="116">
        <v>4</v>
      </c>
      <c r="H26" s="116">
        <v>5</v>
      </c>
      <c r="I26" s="85" t="s">
        <v>51</v>
      </c>
      <c r="J26" s="106">
        <v>45428</v>
      </c>
      <c r="K26" s="3"/>
      <c r="L26" s="85">
        <v>22</v>
      </c>
      <c r="M26" s="85"/>
      <c r="N26" s="85"/>
      <c r="O26" s="85"/>
      <c r="P26" s="85"/>
      <c r="Q26" s="85"/>
      <c r="R26" s="85">
        <v>1910</v>
      </c>
      <c r="S26" s="85"/>
      <c r="U26" s="85"/>
      <c r="V26" s="85"/>
      <c r="W26" s="85"/>
      <c r="X26" s="85"/>
      <c r="Y26" s="85"/>
      <c r="Z26" s="85"/>
      <c r="AA26" s="85"/>
      <c r="AB26" s="1"/>
      <c r="AD26" s="3"/>
      <c r="AL26" s="3"/>
      <c r="AM26" s="85">
        <v>22</v>
      </c>
      <c r="AN26" s="128">
        <v>5</v>
      </c>
      <c r="AO26" s="128">
        <v>5</v>
      </c>
      <c r="AP26" s="128">
        <v>5</v>
      </c>
      <c r="AQ26" s="128">
        <v>5</v>
      </c>
      <c r="AR26" s="128">
        <v>5</v>
      </c>
      <c r="AS26" s="85" t="s">
        <v>30</v>
      </c>
      <c r="AT26" s="106">
        <v>45421.640497685185</v>
      </c>
      <c r="AV26" s="3"/>
    </row>
    <row r="27" spans="3:48" ht="15.6" x14ac:dyDescent="0.3">
      <c r="C27" s="85">
        <v>23</v>
      </c>
      <c r="D27" s="116">
        <v>5</v>
      </c>
      <c r="E27" s="116">
        <v>5</v>
      </c>
      <c r="F27" s="116">
        <v>5</v>
      </c>
      <c r="G27" s="116">
        <v>5</v>
      </c>
      <c r="H27" s="116">
        <v>5</v>
      </c>
      <c r="I27" s="85" t="s">
        <v>51</v>
      </c>
      <c r="J27" s="106">
        <v>45428</v>
      </c>
      <c r="K27" s="3"/>
      <c r="L27" s="85">
        <v>23</v>
      </c>
      <c r="M27" s="85"/>
      <c r="N27" s="85"/>
      <c r="O27" s="85"/>
      <c r="P27" s="85"/>
      <c r="Q27" s="85"/>
      <c r="R27" s="85">
        <v>1910</v>
      </c>
      <c r="S27" s="85"/>
      <c r="U27" s="85"/>
      <c r="V27" s="85"/>
      <c r="W27" s="85"/>
      <c r="X27" s="85"/>
      <c r="Y27" s="85"/>
      <c r="Z27" s="85"/>
      <c r="AA27" s="85"/>
      <c r="AB27" s="1"/>
      <c r="AD27" s="3"/>
      <c r="AL27" s="3"/>
      <c r="AM27" s="85">
        <v>23</v>
      </c>
      <c r="AN27" s="128">
        <v>5</v>
      </c>
      <c r="AO27" s="128">
        <v>5</v>
      </c>
      <c r="AP27" s="128">
        <v>5</v>
      </c>
      <c r="AQ27" s="128">
        <v>5</v>
      </c>
      <c r="AR27" s="128">
        <v>5</v>
      </c>
      <c r="AS27" s="85" t="s">
        <v>30</v>
      </c>
      <c r="AT27" s="106">
        <v>45421.64203703704</v>
      </c>
      <c r="AV27" s="3"/>
    </row>
    <row r="28" spans="3:48" ht="15.6" x14ac:dyDescent="0.3">
      <c r="C28" s="85">
        <v>24</v>
      </c>
      <c r="D28" s="116">
        <v>5</v>
      </c>
      <c r="E28" s="116">
        <v>5</v>
      </c>
      <c r="F28" s="116">
        <v>5</v>
      </c>
      <c r="G28" s="116">
        <v>5</v>
      </c>
      <c r="H28" s="116">
        <v>5</v>
      </c>
      <c r="I28" s="85" t="s">
        <v>51</v>
      </c>
      <c r="J28" s="106">
        <v>45428</v>
      </c>
      <c r="K28" s="3"/>
      <c r="L28" s="85">
        <v>24</v>
      </c>
      <c r="M28" s="85"/>
      <c r="N28" s="85"/>
      <c r="O28" s="85"/>
      <c r="P28" s="85"/>
      <c r="Q28" s="85"/>
      <c r="R28" s="85">
        <v>1910</v>
      </c>
      <c r="S28" s="85"/>
      <c r="U28" s="85"/>
      <c r="V28" s="85"/>
      <c r="W28" s="85"/>
      <c r="X28" s="85"/>
      <c r="Y28" s="85"/>
      <c r="Z28" s="85"/>
      <c r="AA28" s="85"/>
      <c r="AB28" s="1"/>
      <c r="AD28" s="3"/>
      <c r="AL28" s="3"/>
      <c r="AM28" s="85">
        <v>24</v>
      </c>
      <c r="AN28" s="128">
        <v>5</v>
      </c>
      <c r="AO28" s="128">
        <v>5</v>
      </c>
      <c r="AP28" s="128">
        <v>5</v>
      </c>
      <c r="AQ28" s="128">
        <v>5</v>
      </c>
      <c r="AR28" s="128">
        <v>5</v>
      </c>
      <c r="AS28" s="85" t="s">
        <v>30</v>
      </c>
      <c r="AT28" s="106">
        <v>45421.650717592594</v>
      </c>
      <c r="AV28" s="3"/>
    </row>
    <row r="29" spans="3:48" ht="15.6" x14ac:dyDescent="0.3">
      <c r="C29" s="85">
        <v>25</v>
      </c>
      <c r="D29" s="116">
        <v>5</v>
      </c>
      <c r="E29" s="116">
        <v>4</v>
      </c>
      <c r="F29" s="116">
        <v>4</v>
      </c>
      <c r="G29" s="116">
        <v>4</v>
      </c>
      <c r="H29" s="116">
        <v>4</v>
      </c>
      <c r="I29" s="85" t="s">
        <v>51</v>
      </c>
      <c r="J29" s="106">
        <v>45428</v>
      </c>
      <c r="K29" s="3"/>
      <c r="L29" s="85">
        <v>25</v>
      </c>
      <c r="M29" s="85"/>
      <c r="N29" s="85"/>
      <c r="O29" s="85"/>
      <c r="P29" s="85"/>
      <c r="Q29" s="85"/>
      <c r="R29" s="85">
        <v>1910</v>
      </c>
      <c r="S29" s="85"/>
      <c r="U29" s="85"/>
      <c r="V29" s="85"/>
      <c r="W29" s="85"/>
      <c r="X29" s="85"/>
      <c r="Y29" s="85"/>
      <c r="Z29" s="85"/>
      <c r="AA29" s="85"/>
      <c r="AB29" s="1"/>
      <c r="AD29" s="3"/>
      <c r="AL29" s="3"/>
      <c r="AM29" s="85">
        <v>25</v>
      </c>
      <c r="AN29" s="128">
        <v>5</v>
      </c>
      <c r="AO29" s="128">
        <v>5</v>
      </c>
      <c r="AP29" s="128">
        <v>5</v>
      </c>
      <c r="AQ29" s="128">
        <v>5</v>
      </c>
      <c r="AR29" s="128">
        <v>5</v>
      </c>
      <c r="AS29" s="85" t="s">
        <v>30</v>
      </c>
      <c r="AT29" s="106">
        <v>45422.559537037036</v>
      </c>
      <c r="AV29" s="3"/>
    </row>
    <row r="30" spans="3:48" ht="15.6" x14ac:dyDescent="0.3">
      <c r="C30" s="85">
        <v>26</v>
      </c>
      <c r="D30" s="116">
        <v>5</v>
      </c>
      <c r="E30" s="116">
        <v>4</v>
      </c>
      <c r="F30" s="116">
        <v>4</v>
      </c>
      <c r="G30" s="116">
        <v>4</v>
      </c>
      <c r="H30" s="116">
        <v>4</v>
      </c>
      <c r="I30" s="85" t="s">
        <v>51</v>
      </c>
      <c r="J30" s="106">
        <v>45428</v>
      </c>
      <c r="K30" s="3"/>
      <c r="L30" s="85">
        <v>26</v>
      </c>
      <c r="M30" s="85"/>
      <c r="N30" s="85"/>
      <c r="O30" s="85"/>
      <c r="P30" s="85"/>
      <c r="Q30" s="85"/>
      <c r="R30" s="85">
        <v>1910</v>
      </c>
      <c r="S30" s="85"/>
      <c r="U30" s="85"/>
      <c r="V30" s="85"/>
      <c r="W30" s="85"/>
      <c r="X30" s="85"/>
      <c r="Y30" s="85"/>
      <c r="Z30" s="85"/>
      <c r="AA30" s="85"/>
      <c r="AB30" s="1"/>
      <c r="AD30" s="3"/>
      <c r="AL30" s="3"/>
      <c r="AM30" s="85">
        <v>26</v>
      </c>
      <c r="AN30" s="128">
        <v>5</v>
      </c>
      <c r="AO30" s="128">
        <v>5</v>
      </c>
      <c r="AP30" s="128">
        <v>5</v>
      </c>
      <c r="AQ30" s="128">
        <v>5</v>
      </c>
      <c r="AR30" s="128">
        <v>5</v>
      </c>
      <c r="AS30" s="85" t="s">
        <v>30</v>
      </c>
      <c r="AT30" s="106">
        <v>45422.64366898148</v>
      </c>
      <c r="AV30" s="3"/>
    </row>
    <row r="31" spans="3:48" ht="15.6" x14ac:dyDescent="0.3">
      <c r="C31" s="85">
        <v>27</v>
      </c>
      <c r="D31" s="116">
        <v>5</v>
      </c>
      <c r="E31" s="116">
        <v>5</v>
      </c>
      <c r="F31" s="116">
        <v>5</v>
      </c>
      <c r="G31" s="116">
        <v>5</v>
      </c>
      <c r="H31" s="116">
        <v>5</v>
      </c>
      <c r="I31" s="85" t="s">
        <v>51</v>
      </c>
      <c r="J31" s="106">
        <v>45430</v>
      </c>
      <c r="K31" s="3"/>
      <c r="L31" s="85">
        <v>27</v>
      </c>
      <c r="M31" s="85"/>
      <c r="N31" s="85"/>
      <c r="O31" s="85"/>
      <c r="P31" s="85"/>
      <c r="Q31" s="85"/>
      <c r="R31" s="85">
        <v>1910</v>
      </c>
      <c r="S31" s="85"/>
      <c r="U31" s="85"/>
      <c r="V31" s="85"/>
      <c r="W31" s="85"/>
      <c r="X31" s="85"/>
      <c r="Y31" s="85"/>
      <c r="Z31" s="85"/>
      <c r="AA31" s="85"/>
      <c r="AB31" s="1"/>
      <c r="AD31" s="3"/>
      <c r="AL31" s="3"/>
      <c r="AM31" s="85">
        <v>27</v>
      </c>
      <c r="AN31" s="128">
        <v>5</v>
      </c>
      <c r="AO31" s="128">
        <v>5</v>
      </c>
      <c r="AP31" s="128">
        <v>5</v>
      </c>
      <c r="AQ31" s="128">
        <v>5</v>
      </c>
      <c r="AR31" s="128">
        <v>5</v>
      </c>
      <c r="AS31" s="85" t="s">
        <v>30</v>
      </c>
      <c r="AT31" s="106">
        <v>45422.655011574076</v>
      </c>
      <c r="AV31" s="3"/>
    </row>
    <row r="32" spans="3:48" ht="15.6" x14ac:dyDescent="0.3">
      <c r="C32" s="85">
        <v>28</v>
      </c>
      <c r="D32" s="116">
        <v>5</v>
      </c>
      <c r="E32" s="116">
        <v>5</v>
      </c>
      <c r="F32" s="116">
        <v>5</v>
      </c>
      <c r="G32" s="116">
        <v>5</v>
      </c>
      <c r="H32" s="116">
        <v>5</v>
      </c>
      <c r="I32" s="85" t="s">
        <v>51</v>
      </c>
      <c r="J32" s="106">
        <v>45430</v>
      </c>
      <c r="K32" s="3"/>
      <c r="L32" s="85">
        <v>28</v>
      </c>
      <c r="M32" s="85"/>
      <c r="N32" s="85"/>
      <c r="O32" s="85"/>
      <c r="P32" s="85"/>
      <c r="Q32" s="85"/>
      <c r="R32" s="85">
        <v>1910</v>
      </c>
      <c r="S32" s="85"/>
      <c r="U32" s="85"/>
      <c r="V32" s="85"/>
      <c r="W32" s="85"/>
      <c r="X32" s="85"/>
      <c r="Y32" s="85"/>
      <c r="Z32" s="85"/>
      <c r="AA32" s="85"/>
      <c r="AB32" s="1"/>
      <c r="AD32" s="3"/>
      <c r="AL32" s="3"/>
      <c r="AM32" s="85">
        <v>28</v>
      </c>
      <c r="AN32" s="128">
        <v>5</v>
      </c>
      <c r="AO32" s="128">
        <v>5</v>
      </c>
      <c r="AP32" s="128">
        <v>5</v>
      </c>
      <c r="AQ32" s="128">
        <v>5</v>
      </c>
      <c r="AR32" s="128">
        <v>5</v>
      </c>
      <c r="AS32" s="85" t="s">
        <v>30</v>
      </c>
      <c r="AT32" s="106">
        <v>45423.660497685189</v>
      </c>
      <c r="AV32" s="3"/>
    </row>
    <row r="33" spans="3:48" ht="15.6" x14ac:dyDescent="0.3">
      <c r="C33" s="85">
        <v>29</v>
      </c>
      <c r="D33" s="116">
        <v>5</v>
      </c>
      <c r="E33" s="116">
        <v>5</v>
      </c>
      <c r="F33" s="116">
        <v>5</v>
      </c>
      <c r="G33" s="116">
        <v>5</v>
      </c>
      <c r="H33" s="116">
        <v>5</v>
      </c>
      <c r="I33" s="85" t="s">
        <v>51</v>
      </c>
      <c r="J33" s="106">
        <v>45430</v>
      </c>
      <c r="K33" s="3"/>
      <c r="L33" s="85">
        <v>29</v>
      </c>
      <c r="M33" s="85"/>
      <c r="N33" s="85"/>
      <c r="O33" s="85"/>
      <c r="P33" s="85"/>
      <c r="Q33" s="85"/>
      <c r="R33" s="85">
        <v>1910</v>
      </c>
      <c r="S33" s="85"/>
      <c r="U33" s="85"/>
      <c r="V33" s="85"/>
      <c r="W33" s="85"/>
      <c r="X33" s="85"/>
      <c r="Y33" s="85"/>
      <c r="Z33" s="85"/>
      <c r="AA33" s="85"/>
      <c r="AB33" s="1"/>
      <c r="AD33" s="3"/>
      <c r="AL33" s="3"/>
      <c r="AM33" s="85">
        <v>29</v>
      </c>
      <c r="AN33" s="128">
        <v>5</v>
      </c>
      <c r="AO33" s="128">
        <v>5</v>
      </c>
      <c r="AP33" s="128">
        <v>4</v>
      </c>
      <c r="AQ33" s="128">
        <v>5</v>
      </c>
      <c r="AR33" s="128">
        <v>5</v>
      </c>
      <c r="AS33" s="85" t="s">
        <v>30</v>
      </c>
      <c r="AT33" s="106">
        <v>45423.695092592592</v>
      </c>
      <c r="AV33" s="3"/>
    </row>
    <row r="34" spans="3:48" ht="15.6" x14ac:dyDescent="0.3">
      <c r="C34" s="85">
        <v>30</v>
      </c>
      <c r="D34" s="116">
        <v>5</v>
      </c>
      <c r="E34" s="116">
        <v>5</v>
      </c>
      <c r="F34" s="116">
        <v>5</v>
      </c>
      <c r="G34" s="116">
        <v>5</v>
      </c>
      <c r="H34" s="116">
        <v>5</v>
      </c>
      <c r="I34" s="85" t="s">
        <v>51</v>
      </c>
      <c r="J34" s="106">
        <v>45430</v>
      </c>
      <c r="K34" s="3"/>
      <c r="L34" s="85">
        <v>30</v>
      </c>
      <c r="M34" s="85"/>
      <c r="N34" s="85"/>
      <c r="O34" s="85"/>
      <c r="P34" s="85"/>
      <c r="Q34" s="85"/>
      <c r="R34" s="85">
        <v>1910</v>
      </c>
      <c r="S34" s="85"/>
      <c r="U34" s="85"/>
      <c r="V34" s="85"/>
      <c r="W34" s="85"/>
      <c r="X34" s="85"/>
      <c r="Y34" s="85"/>
      <c r="Z34" s="85"/>
      <c r="AA34" s="85"/>
      <c r="AB34" s="1"/>
      <c r="AD34" s="3"/>
      <c r="AL34" s="3"/>
      <c r="AM34" s="85">
        <v>30</v>
      </c>
      <c r="AN34" s="128">
        <v>5</v>
      </c>
      <c r="AO34" s="128">
        <v>5</v>
      </c>
      <c r="AP34" s="128">
        <v>5</v>
      </c>
      <c r="AQ34" s="128">
        <v>5</v>
      </c>
      <c r="AR34" s="128">
        <v>5</v>
      </c>
      <c r="AS34" s="85" t="s">
        <v>30</v>
      </c>
      <c r="AT34" s="106">
        <v>45424.554560185185</v>
      </c>
      <c r="AV34" s="3"/>
    </row>
    <row r="35" spans="3:48" ht="15.6" x14ac:dyDescent="0.3">
      <c r="C35" s="85">
        <v>31</v>
      </c>
      <c r="D35" s="116">
        <v>5</v>
      </c>
      <c r="E35" s="116">
        <v>5</v>
      </c>
      <c r="F35" s="116">
        <v>5</v>
      </c>
      <c r="G35" s="116">
        <v>5</v>
      </c>
      <c r="H35" s="116">
        <v>5</v>
      </c>
      <c r="I35" s="85" t="s">
        <v>51</v>
      </c>
      <c r="J35" s="106">
        <v>45430</v>
      </c>
      <c r="K35" s="3"/>
      <c r="L35" s="85">
        <v>31</v>
      </c>
      <c r="M35" s="85"/>
      <c r="N35" s="85"/>
      <c r="O35" s="85"/>
      <c r="P35" s="85"/>
      <c r="Q35" s="85"/>
      <c r="R35" s="85">
        <v>1910</v>
      </c>
      <c r="S35" s="85"/>
      <c r="U35" s="85"/>
      <c r="V35" s="85"/>
      <c r="W35" s="85"/>
      <c r="X35" s="85"/>
      <c r="Y35" s="85"/>
      <c r="Z35" s="85"/>
      <c r="AA35" s="85"/>
      <c r="AB35" s="1"/>
      <c r="AC35" s="83"/>
      <c r="AD35" s="3"/>
      <c r="AL35" s="3"/>
      <c r="AM35" s="85">
        <v>31</v>
      </c>
      <c r="AN35" s="128">
        <v>5</v>
      </c>
      <c r="AO35" s="128">
        <v>5</v>
      </c>
      <c r="AP35" s="128">
        <v>5</v>
      </c>
      <c r="AQ35" s="128">
        <v>4</v>
      </c>
      <c r="AR35" s="128">
        <v>5</v>
      </c>
      <c r="AS35" s="85" t="s">
        <v>30</v>
      </c>
      <c r="AT35" s="106">
        <v>45424.603252314817</v>
      </c>
      <c r="AV35" s="3"/>
    </row>
    <row r="36" spans="3:48" ht="15.6" x14ac:dyDescent="0.3">
      <c r="C36" s="85">
        <v>32</v>
      </c>
      <c r="D36" s="116">
        <v>5</v>
      </c>
      <c r="E36" s="116">
        <v>5</v>
      </c>
      <c r="F36" s="116">
        <v>5</v>
      </c>
      <c r="G36" s="116">
        <v>5</v>
      </c>
      <c r="H36" s="116">
        <v>5</v>
      </c>
      <c r="I36" s="85" t="s">
        <v>51</v>
      </c>
      <c r="J36" s="106">
        <v>45430</v>
      </c>
      <c r="K36" s="3"/>
      <c r="L36" s="85">
        <v>32</v>
      </c>
      <c r="M36" s="85"/>
      <c r="N36" s="85"/>
      <c r="O36" s="85"/>
      <c r="P36" s="85"/>
      <c r="Q36" s="85"/>
      <c r="R36" s="85">
        <v>1910</v>
      </c>
      <c r="S36" s="85"/>
      <c r="U36" s="85"/>
      <c r="V36" s="85"/>
      <c r="W36" s="85"/>
      <c r="X36" s="85"/>
      <c r="Y36" s="85"/>
      <c r="Z36" s="85"/>
      <c r="AA36" s="85"/>
      <c r="AB36" s="1"/>
      <c r="AD36" s="3"/>
      <c r="AL36" s="3"/>
      <c r="AM36" s="85">
        <v>32</v>
      </c>
      <c r="AN36" s="128">
        <v>5</v>
      </c>
      <c r="AO36" s="128">
        <v>4</v>
      </c>
      <c r="AP36" s="128">
        <v>3</v>
      </c>
      <c r="AQ36" s="128">
        <v>3</v>
      </c>
      <c r="AR36" s="128">
        <v>4</v>
      </c>
      <c r="AS36" s="85" t="s">
        <v>30</v>
      </c>
      <c r="AT36" s="106">
        <v>45424.62599537037</v>
      </c>
      <c r="AV36" s="3"/>
    </row>
    <row r="37" spans="3:48" ht="15.6" x14ac:dyDescent="0.3">
      <c r="C37" s="85">
        <v>33</v>
      </c>
      <c r="D37" s="116">
        <v>5</v>
      </c>
      <c r="E37" s="116">
        <v>5</v>
      </c>
      <c r="F37" s="116">
        <v>5</v>
      </c>
      <c r="G37" s="116">
        <v>5</v>
      </c>
      <c r="H37" s="116">
        <v>5</v>
      </c>
      <c r="I37" s="85" t="s">
        <v>51</v>
      </c>
      <c r="J37" s="106">
        <v>45430</v>
      </c>
      <c r="K37" s="3"/>
      <c r="L37" s="85">
        <v>33</v>
      </c>
      <c r="M37" s="85"/>
      <c r="N37" s="85"/>
      <c r="O37" s="85"/>
      <c r="P37" s="85"/>
      <c r="Q37" s="85"/>
      <c r="R37" s="85">
        <v>1910</v>
      </c>
      <c r="S37" s="85"/>
      <c r="U37" s="85"/>
      <c r="V37" s="85"/>
      <c r="W37" s="85"/>
      <c r="X37" s="85"/>
      <c r="Y37" s="85"/>
      <c r="Z37" s="85"/>
      <c r="AA37" s="85"/>
      <c r="AB37" s="1"/>
      <c r="AD37" s="3"/>
      <c r="AL37" s="3"/>
      <c r="AM37" s="85">
        <v>33</v>
      </c>
      <c r="AN37" s="128">
        <v>5</v>
      </c>
      <c r="AO37" s="128">
        <v>4</v>
      </c>
      <c r="AP37" s="128">
        <v>3</v>
      </c>
      <c r="AQ37" s="128">
        <v>3</v>
      </c>
      <c r="AR37" s="128">
        <v>4</v>
      </c>
      <c r="AS37" s="85" t="s">
        <v>30</v>
      </c>
      <c r="AT37" s="106">
        <v>45424.627187500002</v>
      </c>
      <c r="AV37" s="3"/>
    </row>
    <row r="38" spans="3:48" ht="15.6" x14ac:dyDescent="0.3">
      <c r="C38" s="85">
        <v>34</v>
      </c>
      <c r="D38" s="116">
        <v>5</v>
      </c>
      <c r="E38" s="116">
        <v>5</v>
      </c>
      <c r="F38" s="116">
        <v>5</v>
      </c>
      <c r="G38" s="116">
        <v>5</v>
      </c>
      <c r="H38" s="116">
        <v>5</v>
      </c>
      <c r="I38" s="85" t="s">
        <v>51</v>
      </c>
      <c r="J38" s="106">
        <v>45434</v>
      </c>
      <c r="K38" s="3"/>
      <c r="L38" s="85">
        <v>34</v>
      </c>
      <c r="M38" s="85"/>
      <c r="N38" s="85"/>
      <c r="O38" s="85"/>
      <c r="P38" s="85"/>
      <c r="Q38" s="85"/>
      <c r="R38" s="85">
        <v>1910</v>
      </c>
      <c r="S38" s="85"/>
      <c r="U38" s="85"/>
      <c r="V38" s="85"/>
      <c r="W38" s="85"/>
      <c r="X38" s="85"/>
      <c r="Y38" s="85"/>
      <c r="Z38" s="85"/>
      <c r="AA38" s="85"/>
      <c r="AB38" s="1"/>
      <c r="AD38" s="3"/>
      <c r="AL38" s="3"/>
      <c r="AM38" s="85">
        <v>34</v>
      </c>
      <c r="AN38" s="128">
        <v>5</v>
      </c>
      <c r="AO38" s="128">
        <v>5</v>
      </c>
      <c r="AP38" s="128">
        <v>5</v>
      </c>
      <c r="AQ38" s="128">
        <v>5</v>
      </c>
      <c r="AR38" s="128">
        <v>5</v>
      </c>
      <c r="AS38" s="85" t="s">
        <v>30</v>
      </c>
      <c r="AT38" s="106">
        <v>45424.628587962965</v>
      </c>
      <c r="AV38" s="3"/>
    </row>
    <row r="39" spans="3:48" ht="15.6" x14ac:dyDescent="0.3">
      <c r="C39" s="85">
        <v>35</v>
      </c>
      <c r="D39" s="116">
        <v>5</v>
      </c>
      <c r="E39" s="116">
        <v>5</v>
      </c>
      <c r="F39" s="116">
        <v>5</v>
      </c>
      <c r="G39" s="116">
        <v>5</v>
      </c>
      <c r="H39" s="116">
        <v>5</v>
      </c>
      <c r="I39" s="85" t="s">
        <v>51</v>
      </c>
      <c r="J39" s="106">
        <v>45436</v>
      </c>
      <c r="K39" s="3"/>
      <c r="L39" s="85">
        <v>35</v>
      </c>
      <c r="M39" s="85"/>
      <c r="N39" s="85"/>
      <c r="O39" s="85"/>
      <c r="P39" s="85"/>
      <c r="Q39" s="85"/>
      <c r="R39" s="85">
        <v>1910</v>
      </c>
      <c r="S39" s="85"/>
      <c r="U39" s="85"/>
      <c r="V39" s="85"/>
      <c r="W39" s="85"/>
      <c r="X39" s="85"/>
      <c r="Y39" s="85"/>
      <c r="Z39" s="85"/>
      <c r="AA39" s="85"/>
      <c r="AB39" s="1"/>
      <c r="AD39" s="3"/>
      <c r="AL39" s="3"/>
      <c r="AM39" s="85">
        <v>35</v>
      </c>
      <c r="AN39" s="128">
        <v>5</v>
      </c>
      <c r="AO39" s="128">
        <v>5</v>
      </c>
      <c r="AP39" s="128">
        <v>5</v>
      </c>
      <c r="AQ39" s="128">
        <v>5</v>
      </c>
      <c r="AR39" s="128">
        <v>5</v>
      </c>
      <c r="AS39" s="85" t="s">
        <v>30</v>
      </c>
      <c r="AT39" s="106">
        <v>45424.634780092594</v>
      </c>
      <c r="AV39" s="3"/>
    </row>
    <row r="40" spans="3:48" ht="15.6" x14ac:dyDescent="0.3">
      <c r="C40" s="85">
        <v>36</v>
      </c>
      <c r="D40" s="116">
        <v>5</v>
      </c>
      <c r="E40" s="116">
        <v>5</v>
      </c>
      <c r="F40" s="116">
        <v>5</v>
      </c>
      <c r="G40" s="116">
        <v>5</v>
      </c>
      <c r="H40" s="116">
        <v>5</v>
      </c>
      <c r="I40" s="85" t="s">
        <v>51</v>
      </c>
      <c r="J40" s="106">
        <v>45436</v>
      </c>
      <c r="K40" s="3"/>
      <c r="L40" s="85">
        <v>36</v>
      </c>
      <c r="M40" s="85"/>
      <c r="N40" s="85"/>
      <c r="O40" s="85"/>
      <c r="P40" s="85"/>
      <c r="Q40" s="85"/>
      <c r="R40" s="85">
        <v>1910</v>
      </c>
      <c r="S40" s="85"/>
      <c r="U40" s="85"/>
      <c r="V40" s="85"/>
      <c r="W40" s="85"/>
      <c r="X40" s="85"/>
      <c r="Y40" s="85"/>
      <c r="Z40" s="85"/>
      <c r="AA40" s="85"/>
      <c r="AB40" s="1"/>
      <c r="AD40" s="3"/>
      <c r="AL40" s="3"/>
      <c r="AM40" s="85">
        <v>36</v>
      </c>
      <c r="AN40" s="128">
        <v>5</v>
      </c>
      <c r="AO40" s="128">
        <v>5</v>
      </c>
      <c r="AP40" s="128">
        <v>5</v>
      </c>
      <c r="AQ40" s="128">
        <v>5</v>
      </c>
      <c r="AR40" s="128">
        <v>5</v>
      </c>
      <c r="AS40" s="85" t="s">
        <v>30</v>
      </c>
      <c r="AT40" s="106">
        <v>45424.655370370368</v>
      </c>
      <c r="AV40" s="3"/>
    </row>
    <row r="41" spans="3:48" ht="15.6" x14ac:dyDescent="0.3">
      <c r="C41" s="85">
        <v>37</v>
      </c>
      <c r="D41" s="116">
        <v>5</v>
      </c>
      <c r="E41" s="116">
        <v>5</v>
      </c>
      <c r="F41" s="116">
        <v>5</v>
      </c>
      <c r="G41" s="116">
        <v>5</v>
      </c>
      <c r="H41" s="116">
        <v>5</v>
      </c>
      <c r="I41" s="85" t="s">
        <v>51</v>
      </c>
      <c r="J41" s="106">
        <v>45436</v>
      </c>
      <c r="K41" s="3"/>
      <c r="L41" s="85">
        <v>37</v>
      </c>
      <c r="M41" s="85"/>
      <c r="N41" s="85"/>
      <c r="O41" s="85"/>
      <c r="P41" s="85"/>
      <c r="Q41" s="85"/>
      <c r="R41" s="85">
        <v>1910</v>
      </c>
      <c r="S41" s="85"/>
      <c r="U41" s="85"/>
      <c r="V41" s="85"/>
      <c r="W41" s="85"/>
      <c r="X41" s="85"/>
      <c r="Y41" s="85"/>
      <c r="Z41" s="85"/>
      <c r="AA41" s="85"/>
      <c r="AB41" s="1"/>
      <c r="AD41" s="3"/>
      <c r="AL41" s="3"/>
      <c r="AM41" s="85">
        <v>37</v>
      </c>
      <c r="AN41" s="128">
        <v>5</v>
      </c>
      <c r="AO41" s="128">
        <v>5</v>
      </c>
      <c r="AP41" s="128">
        <v>5</v>
      </c>
      <c r="AQ41" s="128">
        <v>5</v>
      </c>
      <c r="AR41" s="128">
        <v>5</v>
      </c>
      <c r="AS41" s="85" t="s">
        <v>30</v>
      </c>
      <c r="AT41" s="106">
        <v>45424.67496527778</v>
      </c>
      <c r="AV41" s="3"/>
    </row>
    <row r="42" spans="3:48" ht="15.6" x14ac:dyDescent="0.3">
      <c r="C42" s="85">
        <v>38</v>
      </c>
      <c r="D42" s="116">
        <v>5</v>
      </c>
      <c r="E42" s="116">
        <v>5</v>
      </c>
      <c r="F42" s="116">
        <v>5</v>
      </c>
      <c r="G42" s="116">
        <v>5</v>
      </c>
      <c r="H42" s="116">
        <v>5</v>
      </c>
      <c r="I42" s="85" t="s">
        <v>51</v>
      </c>
      <c r="J42" s="106">
        <v>45436</v>
      </c>
      <c r="K42" s="3"/>
      <c r="L42" s="85">
        <v>38</v>
      </c>
      <c r="M42" s="85"/>
      <c r="N42" s="85"/>
      <c r="O42" s="85"/>
      <c r="P42" s="85"/>
      <c r="Q42" s="85"/>
      <c r="R42" s="85">
        <v>1910</v>
      </c>
      <c r="S42" s="85"/>
      <c r="U42" s="85"/>
      <c r="V42" s="85"/>
      <c r="W42" s="85"/>
      <c r="X42" s="85"/>
      <c r="Y42" s="85"/>
      <c r="Z42" s="85"/>
      <c r="AA42" s="85"/>
      <c r="AB42" s="1"/>
      <c r="AD42" s="3"/>
      <c r="AL42" s="3"/>
      <c r="AM42" s="85">
        <v>38</v>
      </c>
      <c r="AN42" s="128">
        <v>5</v>
      </c>
      <c r="AO42" s="128">
        <v>5</v>
      </c>
      <c r="AP42" s="128">
        <v>5</v>
      </c>
      <c r="AQ42" s="128">
        <v>5</v>
      </c>
      <c r="AR42" s="128">
        <v>5</v>
      </c>
      <c r="AS42" s="85" t="s">
        <v>30</v>
      </c>
      <c r="AT42" s="106">
        <v>45427.546967592592</v>
      </c>
      <c r="AV42" s="3"/>
    </row>
    <row r="43" spans="3:48" ht="15.6" x14ac:dyDescent="0.3">
      <c r="C43" s="85">
        <v>39</v>
      </c>
      <c r="D43" s="116">
        <v>5</v>
      </c>
      <c r="E43" s="116">
        <v>5</v>
      </c>
      <c r="F43" s="116">
        <v>5</v>
      </c>
      <c r="G43" s="116">
        <v>5</v>
      </c>
      <c r="H43" s="116">
        <v>5</v>
      </c>
      <c r="I43" s="85" t="s">
        <v>51</v>
      </c>
      <c r="J43" s="106">
        <v>45436</v>
      </c>
      <c r="K43" s="3"/>
      <c r="L43" s="85">
        <v>39</v>
      </c>
      <c r="M43" s="85"/>
      <c r="N43" s="85"/>
      <c r="O43" s="85"/>
      <c r="P43" s="85"/>
      <c r="Q43" s="85"/>
      <c r="R43" s="85">
        <v>1910</v>
      </c>
      <c r="S43" s="85"/>
      <c r="U43" s="85"/>
      <c r="V43" s="85"/>
      <c r="W43" s="85"/>
      <c r="X43" s="85"/>
      <c r="Y43" s="85"/>
      <c r="Z43" s="85"/>
      <c r="AA43" s="85"/>
      <c r="AB43" s="1"/>
      <c r="AD43" s="3"/>
      <c r="AL43" s="3"/>
      <c r="AM43" s="85">
        <v>39</v>
      </c>
      <c r="AN43" s="128">
        <v>5</v>
      </c>
      <c r="AO43" s="128">
        <v>5</v>
      </c>
      <c r="AP43" s="128">
        <v>4</v>
      </c>
      <c r="AQ43" s="128">
        <v>4</v>
      </c>
      <c r="AR43" s="128">
        <v>4</v>
      </c>
      <c r="AS43" s="85" t="s">
        <v>30</v>
      </c>
      <c r="AT43" s="106">
        <v>45427.58693287037</v>
      </c>
      <c r="AV43" s="3"/>
    </row>
    <row r="44" spans="3:48" ht="15.6" x14ac:dyDescent="0.3">
      <c r="C44" s="85">
        <v>40</v>
      </c>
      <c r="D44" s="116">
        <v>5</v>
      </c>
      <c r="E44" s="116">
        <v>5</v>
      </c>
      <c r="F44" s="116">
        <v>5</v>
      </c>
      <c r="G44" s="116">
        <v>5</v>
      </c>
      <c r="H44" s="116">
        <v>5</v>
      </c>
      <c r="I44" s="85" t="s">
        <v>51</v>
      </c>
      <c r="J44" s="106">
        <v>45436</v>
      </c>
      <c r="K44" s="3"/>
      <c r="L44" s="85">
        <v>40</v>
      </c>
      <c r="M44" s="85"/>
      <c r="N44" s="85"/>
      <c r="O44" s="85"/>
      <c r="P44" s="85"/>
      <c r="Q44" s="85"/>
      <c r="R44" s="85">
        <v>1910</v>
      </c>
      <c r="S44" s="85"/>
      <c r="U44" s="85"/>
      <c r="V44" s="85"/>
      <c r="W44" s="85"/>
      <c r="X44" s="85"/>
      <c r="Y44" s="85"/>
      <c r="Z44" s="85"/>
      <c r="AA44" s="85"/>
      <c r="AB44" s="1"/>
      <c r="AD44" s="3"/>
      <c r="AL44" s="3"/>
      <c r="AM44" s="85">
        <v>40</v>
      </c>
      <c r="AN44" s="128">
        <v>5</v>
      </c>
      <c r="AO44" s="128">
        <v>5</v>
      </c>
      <c r="AP44" s="128">
        <v>5</v>
      </c>
      <c r="AQ44" s="128">
        <v>5</v>
      </c>
      <c r="AR44" s="128">
        <v>5</v>
      </c>
      <c r="AS44" s="85" t="s">
        <v>30</v>
      </c>
      <c r="AT44" s="106">
        <v>45427.588576388887</v>
      </c>
      <c r="AV44" s="3"/>
    </row>
    <row r="45" spans="3:48" ht="15.6" x14ac:dyDescent="0.3">
      <c r="C45" s="85">
        <v>41</v>
      </c>
      <c r="D45" s="116">
        <v>5</v>
      </c>
      <c r="E45" s="116">
        <v>4</v>
      </c>
      <c r="F45" s="116">
        <v>4</v>
      </c>
      <c r="G45" s="116">
        <v>4</v>
      </c>
      <c r="H45" s="116">
        <v>4</v>
      </c>
      <c r="I45" s="85" t="s">
        <v>51</v>
      </c>
      <c r="J45" s="106">
        <v>45437</v>
      </c>
      <c r="K45" s="3"/>
      <c r="L45" s="85">
        <v>41</v>
      </c>
      <c r="M45" s="85"/>
      <c r="N45" s="85"/>
      <c r="O45" s="85"/>
      <c r="P45" s="85"/>
      <c r="Q45" s="85"/>
      <c r="R45" s="85">
        <v>1910</v>
      </c>
      <c r="S45" s="85"/>
      <c r="U45" s="85"/>
      <c r="V45" s="85"/>
      <c r="W45" s="85"/>
      <c r="X45" s="85"/>
      <c r="Y45" s="85"/>
      <c r="Z45" s="85"/>
      <c r="AA45" s="85"/>
      <c r="AB45" s="1"/>
      <c r="AD45" s="3"/>
      <c r="AL45" s="3"/>
      <c r="AM45" s="85">
        <v>41</v>
      </c>
      <c r="AN45" s="128">
        <v>5</v>
      </c>
      <c r="AO45" s="128">
        <v>5</v>
      </c>
      <c r="AP45" s="128">
        <v>5</v>
      </c>
      <c r="AQ45" s="128">
        <v>5</v>
      </c>
      <c r="AR45" s="128">
        <v>5</v>
      </c>
      <c r="AS45" s="85" t="s">
        <v>30</v>
      </c>
      <c r="AT45" s="106">
        <v>45427.629710648151</v>
      </c>
      <c r="AV45" s="3"/>
    </row>
    <row r="46" spans="3:48" ht="15.6" x14ac:dyDescent="0.3">
      <c r="C46" s="85">
        <v>42</v>
      </c>
      <c r="D46" s="116">
        <v>5</v>
      </c>
      <c r="E46" s="116">
        <v>4</v>
      </c>
      <c r="F46" s="116">
        <v>4</v>
      </c>
      <c r="G46" s="116">
        <v>4</v>
      </c>
      <c r="H46" s="116">
        <v>3</v>
      </c>
      <c r="I46" s="85" t="s">
        <v>51</v>
      </c>
      <c r="J46" s="106">
        <v>45437</v>
      </c>
      <c r="K46" s="3"/>
      <c r="L46" s="85">
        <v>42</v>
      </c>
      <c r="M46" s="85"/>
      <c r="N46" s="85"/>
      <c r="O46" s="85"/>
      <c r="P46" s="85"/>
      <c r="Q46" s="85"/>
      <c r="R46" s="85">
        <v>1910</v>
      </c>
      <c r="S46" s="85"/>
      <c r="U46" s="85"/>
      <c r="V46" s="85"/>
      <c r="W46" s="85"/>
      <c r="X46" s="85"/>
      <c r="Y46" s="85"/>
      <c r="Z46" s="85"/>
      <c r="AA46" s="85"/>
      <c r="AB46" s="1"/>
      <c r="AD46" s="3"/>
      <c r="AL46" s="3"/>
      <c r="AM46" s="85">
        <v>42</v>
      </c>
      <c r="AN46" s="128">
        <v>5</v>
      </c>
      <c r="AO46" s="128">
        <v>5</v>
      </c>
      <c r="AP46" s="128">
        <v>5</v>
      </c>
      <c r="AQ46" s="128">
        <v>5</v>
      </c>
      <c r="AR46" s="128">
        <v>5</v>
      </c>
      <c r="AS46" s="85" t="s">
        <v>30</v>
      </c>
      <c r="AT46" s="106">
        <v>45427.644548611112</v>
      </c>
      <c r="AV46" s="3"/>
    </row>
    <row r="47" spans="3:48" ht="15.6" x14ac:dyDescent="0.3">
      <c r="C47" s="85">
        <v>43</v>
      </c>
      <c r="D47" s="116">
        <v>5</v>
      </c>
      <c r="E47" s="116">
        <v>5</v>
      </c>
      <c r="F47" s="116">
        <v>5</v>
      </c>
      <c r="G47" s="116">
        <v>5</v>
      </c>
      <c r="H47" s="116">
        <v>5</v>
      </c>
      <c r="I47" s="85" t="s">
        <v>51</v>
      </c>
      <c r="J47" s="106">
        <v>45437</v>
      </c>
      <c r="K47" s="3"/>
      <c r="L47" s="85">
        <v>43</v>
      </c>
      <c r="M47" s="85"/>
      <c r="N47" s="85"/>
      <c r="O47" s="85"/>
      <c r="P47" s="85"/>
      <c r="Q47" s="85"/>
      <c r="R47" s="85">
        <v>1910</v>
      </c>
      <c r="S47" s="85"/>
      <c r="U47" s="85"/>
      <c r="V47" s="85"/>
      <c r="W47" s="85"/>
      <c r="X47" s="85"/>
      <c r="Y47" s="85"/>
      <c r="Z47" s="85"/>
      <c r="AA47" s="85"/>
      <c r="AB47" s="1"/>
      <c r="AC47" s="1"/>
      <c r="AD47" s="1"/>
      <c r="AE47" s="1"/>
      <c r="AF47" s="1"/>
      <c r="AG47" s="1"/>
      <c r="AH47" s="1"/>
      <c r="AI47" s="1"/>
      <c r="AJ47" s="1"/>
      <c r="AL47" s="3"/>
      <c r="AM47" s="85">
        <v>43</v>
      </c>
      <c r="AN47" s="128">
        <v>5</v>
      </c>
      <c r="AO47" s="128">
        <v>5</v>
      </c>
      <c r="AP47" s="128">
        <v>3</v>
      </c>
      <c r="AQ47" s="128">
        <v>4</v>
      </c>
      <c r="AR47" s="128">
        <v>4</v>
      </c>
      <c r="AS47" s="85" t="s">
        <v>30</v>
      </c>
      <c r="AT47" s="106">
        <v>45427.647511574076</v>
      </c>
      <c r="AV47" s="3"/>
    </row>
    <row r="48" spans="3:48" ht="15.6" x14ac:dyDescent="0.3">
      <c r="C48" s="85">
        <v>44</v>
      </c>
      <c r="D48" s="85"/>
      <c r="E48" s="85"/>
      <c r="F48" s="85"/>
      <c r="G48" s="85"/>
      <c r="H48" s="85"/>
      <c r="I48" s="85" t="s">
        <v>51</v>
      </c>
      <c r="J48" s="85"/>
      <c r="K48" s="3"/>
      <c r="L48" s="85">
        <v>44</v>
      </c>
      <c r="M48" s="85"/>
      <c r="N48" s="85"/>
      <c r="O48" s="85"/>
      <c r="P48" s="85"/>
      <c r="Q48" s="85"/>
      <c r="R48" s="85">
        <v>1910</v>
      </c>
      <c r="S48" s="85"/>
      <c r="U48" s="85"/>
      <c r="V48" s="85"/>
      <c r="W48" s="85"/>
      <c r="X48" s="85"/>
      <c r="Y48" s="85"/>
      <c r="Z48" s="85"/>
      <c r="AA48" s="85"/>
      <c r="AB48" s="1"/>
      <c r="AD48" s="3"/>
      <c r="AL48" s="3"/>
      <c r="AM48" s="85">
        <v>44</v>
      </c>
      <c r="AN48" s="128">
        <v>5</v>
      </c>
      <c r="AO48" s="128">
        <v>5</v>
      </c>
      <c r="AP48" s="128">
        <v>4</v>
      </c>
      <c r="AQ48" s="128">
        <v>5</v>
      </c>
      <c r="AR48" s="128">
        <v>5</v>
      </c>
      <c r="AS48" s="85" t="s">
        <v>30</v>
      </c>
      <c r="AT48" s="106">
        <v>45427.660844907405</v>
      </c>
      <c r="AV48" s="3"/>
    </row>
    <row r="49" spans="3:48" ht="15.6" x14ac:dyDescent="0.3">
      <c r="C49" s="85">
        <v>45</v>
      </c>
      <c r="D49" s="85"/>
      <c r="E49" s="85"/>
      <c r="F49" s="85"/>
      <c r="G49" s="85"/>
      <c r="H49" s="85"/>
      <c r="I49" s="85" t="s">
        <v>51</v>
      </c>
      <c r="J49" s="85"/>
      <c r="K49" s="3"/>
      <c r="L49" s="85">
        <v>45</v>
      </c>
      <c r="M49" s="85"/>
      <c r="N49" s="85"/>
      <c r="O49" s="85"/>
      <c r="P49" s="85"/>
      <c r="Q49" s="85"/>
      <c r="R49" s="85">
        <v>1910</v>
      </c>
      <c r="S49" s="85"/>
      <c r="U49" s="85"/>
      <c r="V49" s="85"/>
      <c r="W49" s="85"/>
      <c r="X49" s="85"/>
      <c r="Y49" s="85"/>
      <c r="Z49" s="85"/>
      <c r="AA49" s="85"/>
      <c r="AB49" s="1"/>
      <c r="AD49" s="3"/>
      <c r="AL49" s="3"/>
      <c r="AM49" s="85">
        <v>45</v>
      </c>
      <c r="AN49" s="128">
        <v>5</v>
      </c>
      <c r="AO49" s="128">
        <v>5</v>
      </c>
      <c r="AP49" s="128">
        <v>4</v>
      </c>
      <c r="AQ49" s="128">
        <v>5</v>
      </c>
      <c r="AR49" s="128">
        <v>5</v>
      </c>
      <c r="AS49" s="85" t="s">
        <v>30</v>
      </c>
      <c r="AT49" s="106">
        <v>45427.664837962962</v>
      </c>
      <c r="AV49" s="3"/>
    </row>
    <row r="50" spans="3:48" ht="15.6" x14ac:dyDescent="0.3">
      <c r="C50" s="85">
        <v>46</v>
      </c>
      <c r="D50" s="85"/>
      <c r="E50" s="85"/>
      <c r="F50" s="85"/>
      <c r="G50" s="85"/>
      <c r="H50" s="85"/>
      <c r="I50" s="85" t="s">
        <v>51</v>
      </c>
      <c r="J50" s="85"/>
      <c r="K50" s="3"/>
      <c r="L50" s="85">
        <v>46</v>
      </c>
      <c r="M50" s="85"/>
      <c r="N50" s="85"/>
      <c r="O50" s="85"/>
      <c r="P50" s="85"/>
      <c r="Q50" s="85"/>
      <c r="R50" s="85">
        <v>1910</v>
      </c>
      <c r="S50" s="85"/>
      <c r="U50" s="85"/>
      <c r="V50" s="85"/>
      <c r="W50" s="85"/>
      <c r="X50" s="85"/>
      <c r="Y50" s="85"/>
      <c r="Z50" s="85"/>
      <c r="AA50" s="85"/>
      <c r="AB50" s="1"/>
      <c r="AD50" s="3"/>
      <c r="AL50" s="3"/>
      <c r="AM50" s="85">
        <v>46</v>
      </c>
      <c r="AN50" s="128">
        <v>5</v>
      </c>
      <c r="AO50" s="128">
        <v>5</v>
      </c>
      <c r="AP50" s="128">
        <v>5</v>
      </c>
      <c r="AQ50" s="128">
        <v>5</v>
      </c>
      <c r="AR50" s="128">
        <v>5</v>
      </c>
      <c r="AS50" s="85" t="s">
        <v>30</v>
      </c>
      <c r="AT50" s="106">
        <v>45428.62159722222</v>
      </c>
      <c r="AV50" s="3"/>
    </row>
    <row r="51" spans="3:48" ht="15.6" x14ac:dyDescent="0.3">
      <c r="C51" s="85">
        <v>47</v>
      </c>
      <c r="D51" s="85"/>
      <c r="E51" s="85"/>
      <c r="F51" s="85"/>
      <c r="G51" s="85"/>
      <c r="H51" s="85"/>
      <c r="I51" s="85" t="s">
        <v>51</v>
      </c>
      <c r="J51" s="85"/>
      <c r="K51" s="3"/>
      <c r="L51" s="85">
        <v>47</v>
      </c>
      <c r="M51" s="85"/>
      <c r="N51" s="85"/>
      <c r="O51" s="85"/>
      <c r="P51" s="85"/>
      <c r="Q51" s="85"/>
      <c r="R51" s="85">
        <v>1910</v>
      </c>
      <c r="S51" s="85"/>
      <c r="U51" s="85"/>
      <c r="V51" s="85"/>
      <c r="W51" s="85"/>
      <c r="X51" s="85"/>
      <c r="Y51" s="85"/>
      <c r="Z51" s="85"/>
      <c r="AA51" s="85"/>
      <c r="AB51" s="1"/>
      <c r="AD51" s="3"/>
      <c r="AL51" s="3"/>
      <c r="AM51" s="85">
        <v>47</v>
      </c>
      <c r="AN51" s="128">
        <v>5</v>
      </c>
      <c r="AO51" s="128">
        <v>5</v>
      </c>
      <c r="AP51" s="128">
        <v>5</v>
      </c>
      <c r="AQ51" s="128">
        <v>5</v>
      </c>
      <c r="AR51" s="128">
        <v>5</v>
      </c>
      <c r="AS51" s="85" t="s">
        <v>30</v>
      </c>
      <c r="AT51" s="106">
        <v>45428.641331018516</v>
      </c>
      <c r="AV51" s="3"/>
    </row>
    <row r="52" spans="3:48" ht="15.6" x14ac:dyDescent="0.3">
      <c r="C52" s="85">
        <v>48</v>
      </c>
      <c r="D52" s="85"/>
      <c r="E52" s="85"/>
      <c r="F52" s="85"/>
      <c r="G52" s="85"/>
      <c r="H52" s="85"/>
      <c r="I52" s="85" t="s">
        <v>51</v>
      </c>
      <c r="J52" s="85"/>
      <c r="K52" s="3"/>
      <c r="L52" s="85">
        <v>48</v>
      </c>
      <c r="M52" s="85"/>
      <c r="N52" s="85"/>
      <c r="O52" s="85"/>
      <c r="P52" s="85"/>
      <c r="Q52" s="85"/>
      <c r="R52" s="85">
        <v>1910</v>
      </c>
      <c r="S52" s="85"/>
      <c r="U52" s="85"/>
      <c r="V52" s="85"/>
      <c r="W52" s="85"/>
      <c r="X52" s="85"/>
      <c r="Y52" s="85"/>
      <c r="Z52" s="85"/>
      <c r="AA52" s="85"/>
      <c r="AB52" s="1"/>
      <c r="AD52" s="3"/>
      <c r="AL52" s="3"/>
      <c r="AM52" s="85">
        <v>48</v>
      </c>
      <c r="AN52" s="128">
        <v>5</v>
      </c>
      <c r="AO52" s="128">
        <v>5</v>
      </c>
      <c r="AP52" s="128">
        <v>5</v>
      </c>
      <c r="AQ52" s="128">
        <v>5</v>
      </c>
      <c r="AR52" s="128">
        <v>5</v>
      </c>
      <c r="AS52" s="85" t="s">
        <v>30</v>
      </c>
      <c r="AT52" s="106">
        <v>45429.587557870371</v>
      </c>
      <c r="AV52" s="3"/>
    </row>
    <row r="53" spans="3:48" ht="15.6" x14ac:dyDescent="0.3">
      <c r="C53" s="85">
        <v>49</v>
      </c>
      <c r="D53" s="85"/>
      <c r="E53" s="85"/>
      <c r="F53" s="85"/>
      <c r="G53" s="85"/>
      <c r="H53" s="85"/>
      <c r="I53" s="85" t="s">
        <v>51</v>
      </c>
      <c r="J53" s="85"/>
      <c r="K53" s="3"/>
      <c r="L53" s="85">
        <v>49</v>
      </c>
      <c r="M53" s="85"/>
      <c r="N53" s="85"/>
      <c r="O53" s="85"/>
      <c r="P53" s="85"/>
      <c r="Q53" s="85"/>
      <c r="R53" s="85">
        <v>1910</v>
      </c>
      <c r="S53" s="85"/>
      <c r="U53" s="85"/>
      <c r="V53" s="85"/>
      <c r="W53" s="85"/>
      <c r="X53" s="85"/>
      <c r="Y53" s="85"/>
      <c r="Z53" s="85"/>
      <c r="AA53" s="85"/>
      <c r="AB53" s="1"/>
      <c r="AD53" s="3"/>
      <c r="AL53" s="3"/>
      <c r="AM53" s="85">
        <v>49</v>
      </c>
      <c r="AN53" s="128">
        <v>5</v>
      </c>
      <c r="AO53" s="128">
        <v>5</v>
      </c>
      <c r="AP53" s="128">
        <v>5</v>
      </c>
      <c r="AQ53" s="128">
        <v>5</v>
      </c>
      <c r="AR53" s="128">
        <v>5</v>
      </c>
      <c r="AS53" s="85" t="s">
        <v>30</v>
      </c>
      <c r="AT53" s="106">
        <v>45429.608425925922</v>
      </c>
      <c r="AV53" s="3"/>
    </row>
    <row r="54" spans="3:48" ht="15.6" x14ac:dyDescent="0.3">
      <c r="C54" s="85">
        <v>50</v>
      </c>
      <c r="D54" s="85"/>
      <c r="E54" s="85"/>
      <c r="F54" s="85"/>
      <c r="G54" s="85"/>
      <c r="H54" s="85"/>
      <c r="I54" s="85" t="s">
        <v>51</v>
      </c>
      <c r="J54" s="85"/>
      <c r="K54" s="3"/>
      <c r="L54" s="85">
        <v>50</v>
      </c>
      <c r="M54" s="85"/>
      <c r="N54" s="85"/>
      <c r="O54" s="85"/>
      <c r="P54" s="85"/>
      <c r="Q54" s="85"/>
      <c r="R54" s="85">
        <v>1910</v>
      </c>
      <c r="S54" s="85"/>
      <c r="U54" s="85"/>
      <c r="V54" s="85"/>
      <c r="W54" s="85"/>
      <c r="X54" s="85"/>
      <c r="Y54" s="85"/>
      <c r="Z54" s="85"/>
      <c r="AA54" s="85"/>
      <c r="AB54" s="1"/>
      <c r="AD54" s="3"/>
      <c r="AL54" s="3"/>
      <c r="AM54" s="85">
        <v>50</v>
      </c>
      <c r="AN54" s="128">
        <v>5</v>
      </c>
      <c r="AO54" s="128">
        <v>5</v>
      </c>
      <c r="AP54" s="128">
        <v>5</v>
      </c>
      <c r="AQ54" s="128">
        <v>5</v>
      </c>
      <c r="AR54" s="128">
        <v>5</v>
      </c>
      <c r="AS54" s="85" t="s">
        <v>30</v>
      </c>
      <c r="AT54" s="106">
        <v>45429.666539351849</v>
      </c>
      <c r="AV54" s="3"/>
    </row>
    <row r="55" spans="3:48" ht="15.6" x14ac:dyDescent="0.3">
      <c r="C55" s="85">
        <v>51</v>
      </c>
      <c r="D55" s="85"/>
      <c r="E55" s="85"/>
      <c r="F55" s="85"/>
      <c r="G55" s="85"/>
      <c r="H55" s="85"/>
      <c r="I55" s="85" t="s">
        <v>51</v>
      </c>
      <c r="J55" s="85"/>
      <c r="K55" s="3"/>
      <c r="L55" s="85">
        <v>51</v>
      </c>
      <c r="M55" s="85"/>
      <c r="N55" s="85"/>
      <c r="O55" s="85"/>
      <c r="P55" s="85"/>
      <c r="Q55" s="85"/>
      <c r="R55" s="85">
        <v>1910</v>
      </c>
      <c r="S55" s="85"/>
      <c r="U55" s="85"/>
      <c r="V55" s="85"/>
      <c r="W55" s="85"/>
      <c r="X55" s="85"/>
      <c r="Y55" s="85"/>
      <c r="Z55" s="85"/>
      <c r="AA55" s="85"/>
      <c r="AB55" s="1"/>
      <c r="AD55" s="3"/>
      <c r="AL55" s="3"/>
      <c r="AM55" s="85">
        <v>51</v>
      </c>
      <c r="AN55" s="128">
        <v>5</v>
      </c>
      <c r="AO55" s="128">
        <v>5</v>
      </c>
      <c r="AP55" s="128">
        <v>5</v>
      </c>
      <c r="AQ55" s="128">
        <v>5</v>
      </c>
      <c r="AR55" s="128">
        <v>5</v>
      </c>
      <c r="AS55" s="85" t="s">
        <v>30</v>
      </c>
      <c r="AT55" s="106">
        <v>45429.667430555557</v>
      </c>
      <c r="AV55" s="3"/>
    </row>
    <row r="56" spans="3:48" ht="15.6" x14ac:dyDescent="0.3">
      <c r="C56" s="85">
        <v>52</v>
      </c>
      <c r="D56" s="85"/>
      <c r="E56" s="85"/>
      <c r="F56" s="85"/>
      <c r="G56" s="85"/>
      <c r="H56" s="85"/>
      <c r="I56" s="85" t="s">
        <v>51</v>
      </c>
      <c r="J56" s="85"/>
      <c r="K56" s="3"/>
      <c r="L56" s="85">
        <v>52</v>
      </c>
      <c r="M56" s="85"/>
      <c r="N56" s="85"/>
      <c r="O56" s="85"/>
      <c r="P56" s="85"/>
      <c r="Q56" s="85"/>
      <c r="R56" s="85">
        <v>1910</v>
      </c>
      <c r="S56" s="85"/>
      <c r="U56" s="85"/>
      <c r="V56" s="85"/>
      <c r="W56" s="85"/>
      <c r="X56" s="85"/>
      <c r="Y56" s="85"/>
      <c r="Z56" s="85"/>
      <c r="AA56" s="85"/>
      <c r="AB56" s="1"/>
      <c r="AD56" s="3"/>
      <c r="AL56" s="3"/>
      <c r="AM56" s="85">
        <v>52</v>
      </c>
      <c r="AN56" s="128">
        <v>5</v>
      </c>
      <c r="AO56" s="128">
        <v>5</v>
      </c>
      <c r="AP56" s="128">
        <v>5</v>
      </c>
      <c r="AQ56" s="128">
        <v>5</v>
      </c>
      <c r="AR56" s="128">
        <v>5</v>
      </c>
      <c r="AS56" s="85" t="s">
        <v>30</v>
      </c>
      <c r="AT56" s="106">
        <v>45429.668240740742</v>
      </c>
      <c r="AV56" s="3"/>
    </row>
    <row r="57" spans="3:48" ht="15.6" x14ac:dyDescent="0.3">
      <c r="C57" s="85">
        <v>53</v>
      </c>
      <c r="D57" s="85"/>
      <c r="E57" s="85"/>
      <c r="F57" s="85"/>
      <c r="G57" s="85"/>
      <c r="H57" s="85"/>
      <c r="I57" s="85" t="s">
        <v>51</v>
      </c>
      <c r="J57" s="85"/>
      <c r="K57" s="3"/>
      <c r="L57" s="85">
        <v>53</v>
      </c>
      <c r="M57" s="85"/>
      <c r="N57" s="85"/>
      <c r="O57" s="85"/>
      <c r="P57" s="85"/>
      <c r="Q57" s="85"/>
      <c r="R57" s="85">
        <v>1910</v>
      </c>
      <c r="S57" s="85"/>
      <c r="U57" s="85"/>
      <c r="V57" s="85"/>
      <c r="W57" s="85"/>
      <c r="X57" s="85"/>
      <c r="Y57" s="85"/>
      <c r="Z57" s="85"/>
      <c r="AA57" s="85"/>
      <c r="AB57" s="1"/>
      <c r="AD57" s="3"/>
      <c r="AL57" s="3"/>
      <c r="AM57" s="85">
        <v>53</v>
      </c>
      <c r="AN57" s="128">
        <v>5</v>
      </c>
      <c r="AO57" s="128">
        <v>5</v>
      </c>
      <c r="AP57" s="128">
        <v>5</v>
      </c>
      <c r="AQ57" s="128">
        <v>5</v>
      </c>
      <c r="AR57" s="128">
        <v>5</v>
      </c>
      <c r="AS57" s="85" t="s">
        <v>30</v>
      </c>
      <c r="AT57" s="106">
        <v>45430.620613425926</v>
      </c>
      <c r="AV57" s="3"/>
    </row>
    <row r="58" spans="3:48" ht="15.6" x14ac:dyDescent="0.3">
      <c r="C58" s="85">
        <v>54</v>
      </c>
      <c r="D58" s="85"/>
      <c r="E58" s="85"/>
      <c r="F58" s="85"/>
      <c r="G58" s="85"/>
      <c r="H58" s="85"/>
      <c r="I58" s="85" t="s">
        <v>51</v>
      </c>
      <c r="J58" s="85"/>
      <c r="K58" s="3"/>
      <c r="L58" s="85">
        <v>54</v>
      </c>
      <c r="M58" s="85"/>
      <c r="N58" s="85"/>
      <c r="O58" s="85"/>
      <c r="P58" s="85"/>
      <c r="Q58" s="85"/>
      <c r="R58" s="85">
        <v>1910</v>
      </c>
      <c r="S58" s="85"/>
      <c r="U58" s="85"/>
      <c r="V58" s="85"/>
      <c r="W58" s="85"/>
      <c r="X58" s="85"/>
      <c r="Y58" s="85"/>
      <c r="Z58" s="85"/>
      <c r="AA58" s="85"/>
      <c r="AB58" s="1"/>
      <c r="AD58" s="3"/>
      <c r="AL58" s="3"/>
      <c r="AM58" s="85">
        <v>54</v>
      </c>
      <c r="AN58" s="128">
        <v>5</v>
      </c>
      <c r="AO58" s="128">
        <v>5</v>
      </c>
      <c r="AP58" s="128">
        <v>5</v>
      </c>
      <c r="AQ58" s="128">
        <v>5</v>
      </c>
      <c r="AR58" s="128">
        <v>5</v>
      </c>
      <c r="AS58" s="85" t="s">
        <v>30</v>
      </c>
      <c r="AT58" s="106">
        <v>45430.709270833337</v>
      </c>
      <c r="AV58" s="3"/>
    </row>
    <row r="59" spans="3:48" ht="15.6" x14ac:dyDescent="0.3">
      <c r="C59" s="85">
        <v>55</v>
      </c>
      <c r="D59" s="85"/>
      <c r="E59" s="85"/>
      <c r="F59" s="85"/>
      <c r="G59" s="85"/>
      <c r="H59" s="85"/>
      <c r="I59" s="85" t="s">
        <v>51</v>
      </c>
      <c r="J59" s="85"/>
      <c r="K59" s="3"/>
      <c r="L59" s="85">
        <v>55</v>
      </c>
      <c r="M59" s="85"/>
      <c r="N59" s="85"/>
      <c r="O59" s="85"/>
      <c r="P59" s="85"/>
      <c r="Q59" s="85"/>
      <c r="R59" s="85">
        <v>1910</v>
      </c>
      <c r="S59" s="85"/>
      <c r="U59" s="85"/>
      <c r="V59" s="85"/>
      <c r="W59" s="85"/>
      <c r="X59" s="85"/>
      <c r="Y59" s="85"/>
      <c r="Z59" s="85"/>
      <c r="AA59" s="85"/>
      <c r="AB59" s="1"/>
      <c r="AD59" s="3"/>
      <c r="AL59" s="3"/>
      <c r="AM59" s="85">
        <v>55</v>
      </c>
      <c r="AN59" s="128">
        <v>5</v>
      </c>
      <c r="AO59" s="128">
        <v>5</v>
      </c>
      <c r="AP59" s="128">
        <v>5</v>
      </c>
      <c r="AQ59" s="128">
        <v>5</v>
      </c>
      <c r="AR59" s="128">
        <v>5</v>
      </c>
      <c r="AS59" s="85" t="s">
        <v>30</v>
      </c>
      <c r="AT59" s="106">
        <v>45430.710185185184</v>
      </c>
      <c r="AV59" s="3"/>
    </row>
    <row r="60" spans="3:48" ht="15.6" x14ac:dyDescent="0.3">
      <c r="C60" s="85">
        <v>56</v>
      </c>
      <c r="D60" s="85"/>
      <c r="E60" s="85"/>
      <c r="F60" s="85"/>
      <c r="G60" s="85"/>
      <c r="H60" s="85"/>
      <c r="I60" s="85" t="s">
        <v>51</v>
      </c>
      <c r="J60" s="85"/>
      <c r="K60" s="3"/>
      <c r="L60" s="85">
        <v>56</v>
      </c>
      <c r="M60" s="85"/>
      <c r="N60" s="85"/>
      <c r="O60" s="85"/>
      <c r="P60" s="85"/>
      <c r="Q60" s="85"/>
      <c r="R60" s="85">
        <v>1910</v>
      </c>
      <c r="S60" s="85"/>
      <c r="U60" s="85"/>
      <c r="V60" s="85"/>
      <c r="W60" s="85"/>
      <c r="X60" s="85"/>
      <c r="Y60" s="85"/>
      <c r="Z60" s="85"/>
      <c r="AA60" s="85"/>
      <c r="AB60" s="1"/>
      <c r="AD60" s="3"/>
      <c r="AL60" s="3"/>
      <c r="AM60" s="85">
        <v>56</v>
      </c>
      <c r="AN60" s="128">
        <v>5</v>
      </c>
      <c r="AO60" s="128">
        <v>5</v>
      </c>
      <c r="AP60" s="128">
        <v>5</v>
      </c>
      <c r="AQ60" s="128">
        <v>5</v>
      </c>
      <c r="AR60" s="128">
        <v>5</v>
      </c>
      <c r="AS60" s="85" t="s">
        <v>30</v>
      </c>
      <c r="AT60" s="106">
        <v>45431.626180555555</v>
      </c>
      <c r="AV60" s="3"/>
    </row>
    <row r="61" spans="3:48" ht="15.6" x14ac:dyDescent="0.3">
      <c r="C61" s="85">
        <v>57</v>
      </c>
      <c r="D61" s="85"/>
      <c r="E61" s="85"/>
      <c r="F61" s="85"/>
      <c r="G61" s="85"/>
      <c r="H61" s="85"/>
      <c r="I61" s="85" t="s">
        <v>51</v>
      </c>
      <c r="J61" s="85"/>
      <c r="K61" s="3"/>
      <c r="L61" s="85">
        <v>57</v>
      </c>
      <c r="M61" s="85"/>
      <c r="N61" s="85"/>
      <c r="O61" s="85"/>
      <c r="P61" s="85"/>
      <c r="Q61" s="85"/>
      <c r="R61" s="85">
        <v>1910</v>
      </c>
      <c r="S61" s="85"/>
      <c r="U61" s="85"/>
      <c r="V61" s="85"/>
      <c r="W61" s="85"/>
      <c r="X61" s="85"/>
      <c r="Y61" s="85"/>
      <c r="Z61" s="85"/>
      <c r="AA61" s="85"/>
      <c r="AB61" s="1"/>
      <c r="AD61" s="3"/>
      <c r="AL61" s="3"/>
      <c r="AM61" s="85">
        <v>57</v>
      </c>
      <c r="AN61" s="128">
        <v>5</v>
      </c>
      <c r="AO61" s="128">
        <v>5</v>
      </c>
      <c r="AP61" s="128">
        <v>5</v>
      </c>
      <c r="AQ61" s="128">
        <v>5</v>
      </c>
      <c r="AR61" s="128">
        <v>5</v>
      </c>
      <c r="AS61" s="85" t="s">
        <v>30</v>
      </c>
      <c r="AT61" s="106">
        <v>45431.645937499998</v>
      </c>
      <c r="AV61" s="3"/>
    </row>
    <row r="62" spans="3:48" ht="15.6" x14ac:dyDescent="0.3">
      <c r="C62" s="85">
        <v>58</v>
      </c>
      <c r="D62" s="85"/>
      <c r="E62" s="85"/>
      <c r="F62" s="85"/>
      <c r="G62" s="85"/>
      <c r="H62" s="85"/>
      <c r="I62" s="85" t="s">
        <v>51</v>
      </c>
      <c r="J62" s="85"/>
      <c r="K62" s="3"/>
      <c r="L62" s="85">
        <v>58</v>
      </c>
      <c r="M62" s="85"/>
      <c r="N62" s="85"/>
      <c r="O62" s="85"/>
      <c r="P62" s="85"/>
      <c r="Q62" s="85"/>
      <c r="R62" s="85">
        <v>1910</v>
      </c>
      <c r="S62" s="85"/>
      <c r="U62" s="85"/>
      <c r="V62" s="85"/>
      <c r="W62" s="85"/>
      <c r="X62" s="85"/>
      <c r="Y62" s="85"/>
      <c r="Z62" s="85"/>
      <c r="AA62" s="85"/>
      <c r="AB62" s="1"/>
      <c r="AD62" s="3"/>
      <c r="AL62" s="3"/>
      <c r="AM62" s="85">
        <v>58</v>
      </c>
      <c r="AN62" s="128">
        <v>5</v>
      </c>
      <c r="AO62" s="128">
        <v>5</v>
      </c>
      <c r="AP62" s="128">
        <v>5</v>
      </c>
      <c r="AQ62" s="128">
        <v>5</v>
      </c>
      <c r="AR62" s="128">
        <v>5</v>
      </c>
      <c r="AS62" s="85" t="s">
        <v>30</v>
      </c>
      <c r="AT62" s="106">
        <v>45431.648993055554</v>
      </c>
      <c r="AV62" s="3"/>
    </row>
    <row r="63" spans="3:48" ht="15.6" x14ac:dyDescent="0.3">
      <c r="C63" s="85">
        <v>59</v>
      </c>
      <c r="D63" s="85"/>
      <c r="E63" s="85"/>
      <c r="F63" s="85"/>
      <c r="G63" s="85"/>
      <c r="H63" s="85"/>
      <c r="I63" s="85" t="s">
        <v>51</v>
      </c>
      <c r="J63" s="85"/>
      <c r="K63" s="3"/>
      <c r="L63" s="85">
        <v>59</v>
      </c>
      <c r="M63" s="85"/>
      <c r="N63" s="85"/>
      <c r="O63" s="85"/>
      <c r="P63" s="85"/>
      <c r="Q63" s="85"/>
      <c r="R63" s="85">
        <v>1910</v>
      </c>
      <c r="S63" s="85"/>
      <c r="U63" s="85"/>
      <c r="V63" s="85"/>
      <c r="W63" s="85"/>
      <c r="X63" s="85"/>
      <c r="Y63" s="85"/>
      <c r="Z63" s="85"/>
      <c r="AA63" s="85"/>
      <c r="AB63" s="1"/>
      <c r="AD63" s="3"/>
      <c r="AL63" s="3"/>
      <c r="AM63" s="85">
        <v>59</v>
      </c>
      <c r="AN63" s="128">
        <v>5</v>
      </c>
      <c r="AO63" s="128">
        <v>5</v>
      </c>
      <c r="AP63" s="128">
        <v>5</v>
      </c>
      <c r="AQ63" s="128">
        <v>5</v>
      </c>
      <c r="AR63" s="128">
        <v>5</v>
      </c>
      <c r="AS63" s="85" t="s">
        <v>30</v>
      </c>
      <c r="AT63" s="106">
        <v>45431.654942129629</v>
      </c>
      <c r="AV63" s="3"/>
    </row>
    <row r="64" spans="3:48" ht="15.6" x14ac:dyDescent="0.3">
      <c r="C64" s="85">
        <v>60</v>
      </c>
      <c r="D64" s="85"/>
      <c r="E64" s="85"/>
      <c r="F64" s="85"/>
      <c r="G64" s="85"/>
      <c r="H64" s="85"/>
      <c r="I64" s="85" t="s">
        <v>51</v>
      </c>
      <c r="J64" s="85"/>
      <c r="K64" s="3"/>
      <c r="L64" s="85">
        <v>60</v>
      </c>
      <c r="M64" s="85"/>
      <c r="N64" s="85"/>
      <c r="O64" s="85"/>
      <c r="P64" s="85"/>
      <c r="Q64" s="85"/>
      <c r="R64" s="85">
        <v>1910</v>
      </c>
      <c r="S64" s="85"/>
      <c r="U64" s="85"/>
      <c r="V64" s="85"/>
      <c r="W64" s="85"/>
      <c r="X64" s="85"/>
      <c r="Y64" s="85"/>
      <c r="Z64" s="85"/>
      <c r="AA64" s="85"/>
      <c r="AB64" s="1"/>
      <c r="AD64" s="3"/>
      <c r="AL64" s="3"/>
      <c r="AM64" s="85">
        <v>60</v>
      </c>
      <c r="AN64" s="128">
        <v>5</v>
      </c>
      <c r="AO64" s="128">
        <v>5</v>
      </c>
      <c r="AP64" s="128">
        <v>5</v>
      </c>
      <c r="AQ64" s="128">
        <v>4</v>
      </c>
      <c r="AR64" s="128">
        <v>5</v>
      </c>
      <c r="AS64" s="85" t="s">
        <v>30</v>
      </c>
      <c r="AT64" s="106">
        <v>45431.658020833333</v>
      </c>
      <c r="AV64" s="3"/>
    </row>
    <row r="65" spans="3:48" ht="15.6" x14ac:dyDescent="0.3">
      <c r="C65" s="85">
        <v>61</v>
      </c>
      <c r="D65" s="85"/>
      <c r="E65" s="85"/>
      <c r="F65" s="85"/>
      <c r="G65" s="85"/>
      <c r="H65" s="85"/>
      <c r="I65" s="85" t="s">
        <v>51</v>
      </c>
      <c r="J65" s="85"/>
      <c r="K65" s="3"/>
      <c r="L65" s="85">
        <v>61</v>
      </c>
      <c r="M65" s="85"/>
      <c r="N65" s="85"/>
      <c r="O65" s="85"/>
      <c r="P65" s="85"/>
      <c r="Q65" s="85"/>
      <c r="R65" s="85">
        <v>1910</v>
      </c>
      <c r="S65" s="85"/>
      <c r="U65" s="85"/>
      <c r="V65" s="85"/>
      <c r="W65" s="85"/>
      <c r="X65" s="85"/>
      <c r="Y65" s="85"/>
      <c r="Z65" s="85"/>
      <c r="AA65" s="85"/>
      <c r="AB65" s="1"/>
      <c r="AD65" s="3"/>
      <c r="AL65" s="3"/>
      <c r="AM65" s="85">
        <v>61</v>
      </c>
      <c r="AN65" s="128">
        <v>5</v>
      </c>
      <c r="AO65" s="128">
        <v>5</v>
      </c>
      <c r="AP65" s="128">
        <v>5</v>
      </c>
      <c r="AQ65" s="128">
        <v>5</v>
      </c>
      <c r="AR65" s="128">
        <v>5</v>
      </c>
      <c r="AS65" s="85" t="s">
        <v>30</v>
      </c>
      <c r="AT65" s="106">
        <v>45431.665752314817</v>
      </c>
      <c r="AV65" s="3"/>
    </row>
    <row r="66" spans="3:48" ht="15.6" x14ac:dyDescent="0.3">
      <c r="C66" s="85">
        <v>62</v>
      </c>
      <c r="D66" s="85"/>
      <c r="E66" s="85"/>
      <c r="F66" s="85"/>
      <c r="G66" s="85"/>
      <c r="H66" s="85"/>
      <c r="I66" s="85" t="s">
        <v>51</v>
      </c>
      <c r="J66" s="85"/>
      <c r="K66" s="3"/>
      <c r="L66" s="85">
        <v>62</v>
      </c>
      <c r="M66" s="85"/>
      <c r="N66" s="85"/>
      <c r="O66" s="85"/>
      <c r="P66" s="85"/>
      <c r="Q66" s="85"/>
      <c r="R66" s="85">
        <v>1910</v>
      </c>
      <c r="S66" s="85"/>
      <c r="U66" s="85"/>
      <c r="V66" s="85"/>
      <c r="W66" s="85"/>
      <c r="X66" s="85"/>
      <c r="Y66" s="85"/>
      <c r="Z66" s="85"/>
      <c r="AA66" s="85"/>
      <c r="AB66" s="1"/>
      <c r="AD66" s="3"/>
      <c r="AL66" s="3"/>
      <c r="AM66" s="85">
        <v>62</v>
      </c>
      <c r="AN66" s="128">
        <v>5</v>
      </c>
      <c r="AO66" s="128">
        <v>5</v>
      </c>
      <c r="AP66" s="128">
        <v>5</v>
      </c>
      <c r="AQ66" s="128">
        <v>5</v>
      </c>
      <c r="AR66" s="128">
        <v>5</v>
      </c>
      <c r="AS66" s="85" t="s">
        <v>30</v>
      </c>
      <c r="AT66" s="106">
        <v>45431.669733796298</v>
      </c>
      <c r="AV66" s="3"/>
    </row>
    <row r="67" spans="3:48" ht="15.6" x14ac:dyDescent="0.3">
      <c r="C67" s="85">
        <v>63</v>
      </c>
      <c r="D67" s="85"/>
      <c r="E67" s="85"/>
      <c r="F67" s="85"/>
      <c r="G67" s="85"/>
      <c r="H67" s="85"/>
      <c r="I67" s="85" t="s">
        <v>51</v>
      </c>
      <c r="J67" s="85"/>
      <c r="K67" s="3"/>
      <c r="L67" s="85">
        <v>63</v>
      </c>
      <c r="M67" s="85"/>
      <c r="N67" s="85"/>
      <c r="O67" s="85"/>
      <c r="P67" s="85"/>
      <c r="Q67" s="85"/>
      <c r="R67" s="85">
        <v>1910</v>
      </c>
      <c r="S67" s="85"/>
      <c r="U67" s="85"/>
      <c r="V67" s="85"/>
      <c r="W67" s="85"/>
      <c r="X67" s="85"/>
      <c r="Y67" s="85"/>
      <c r="Z67" s="85"/>
      <c r="AA67" s="85"/>
      <c r="AB67" s="1"/>
      <c r="AD67" s="3"/>
      <c r="AL67" s="3"/>
      <c r="AM67" s="85">
        <v>63</v>
      </c>
      <c r="AN67" s="128">
        <v>5</v>
      </c>
      <c r="AO67" s="128">
        <v>5</v>
      </c>
      <c r="AP67" s="128">
        <v>5</v>
      </c>
      <c r="AQ67" s="128">
        <v>5</v>
      </c>
      <c r="AR67" s="128">
        <v>5</v>
      </c>
      <c r="AS67" s="85" t="s">
        <v>30</v>
      </c>
      <c r="AT67" s="106">
        <v>45434.604733796295</v>
      </c>
      <c r="AV67" s="3"/>
    </row>
    <row r="68" spans="3:48" ht="15.6" x14ac:dyDescent="0.3">
      <c r="C68" s="85">
        <v>64</v>
      </c>
      <c r="D68" s="85"/>
      <c r="E68" s="85"/>
      <c r="F68" s="85"/>
      <c r="G68" s="85"/>
      <c r="H68" s="85"/>
      <c r="I68" s="85" t="s">
        <v>51</v>
      </c>
      <c r="J68" s="85"/>
      <c r="K68" s="3"/>
      <c r="L68" s="85">
        <v>64</v>
      </c>
      <c r="M68" s="85"/>
      <c r="N68" s="85"/>
      <c r="O68" s="85"/>
      <c r="P68" s="85"/>
      <c r="Q68" s="85"/>
      <c r="R68" s="85">
        <v>1910</v>
      </c>
      <c r="S68" s="85"/>
      <c r="U68" s="85"/>
      <c r="V68" s="85"/>
      <c r="W68" s="85"/>
      <c r="X68" s="85"/>
      <c r="Y68" s="85"/>
      <c r="Z68" s="85"/>
      <c r="AA68" s="85"/>
      <c r="AB68" s="1"/>
      <c r="AD68" s="3"/>
      <c r="AL68" s="3"/>
      <c r="AM68" s="85">
        <v>64</v>
      </c>
      <c r="AN68" s="128">
        <v>5</v>
      </c>
      <c r="AO68" s="128">
        <v>5</v>
      </c>
      <c r="AP68" s="128">
        <v>5</v>
      </c>
      <c r="AQ68" s="128">
        <v>4</v>
      </c>
      <c r="AR68" s="128">
        <v>5</v>
      </c>
      <c r="AS68" s="85" t="s">
        <v>30</v>
      </c>
      <c r="AT68" s="106">
        <v>45434.69971064815</v>
      </c>
      <c r="AV68" s="3"/>
    </row>
    <row r="69" spans="3:48" ht="15.6" x14ac:dyDescent="0.3">
      <c r="C69" s="85">
        <v>65</v>
      </c>
      <c r="D69" s="85"/>
      <c r="E69" s="85"/>
      <c r="F69" s="85"/>
      <c r="G69" s="85"/>
      <c r="H69" s="85"/>
      <c r="I69" s="85" t="s">
        <v>51</v>
      </c>
      <c r="J69" s="85"/>
      <c r="K69" s="3"/>
      <c r="L69" s="85">
        <v>65</v>
      </c>
      <c r="M69" s="85"/>
      <c r="N69" s="85"/>
      <c r="O69" s="85"/>
      <c r="P69" s="85"/>
      <c r="Q69" s="85"/>
      <c r="R69" s="85">
        <v>1910</v>
      </c>
      <c r="S69" s="85"/>
      <c r="U69" s="85"/>
      <c r="V69" s="85"/>
      <c r="W69" s="85"/>
      <c r="X69" s="85"/>
      <c r="Y69" s="85"/>
      <c r="Z69" s="85"/>
      <c r="AA69" s="85"/>
      <c r="AB69" s="1"/>
      <c r="AD69" s="3"/>
      <c r="AL69" s="3"/>
      <c r="AM69" s="85">
        <v>65</v>
      </c>
      <c r="AN69" s="128">
        <v>5</v>
      </c>
      <c r="AO69" s="128">
        <v>5</v>
      </c>
      <c r="AP69" s="128">
        <v>3</v>
      </c>
      <c r="AQ69" s="128">
        <v>2</v>
      </c>
      <c r="AR69" s="128">
        <v>5</v>
      </c>
      <c r="AS69" s="85" t="s">
        <v>30</v>
      </c>
      <c r="AT69" s="106">
        <v>45435.564236111109</v>
      </c>
      <c r="AV69" s="3"/>
    </row>
    <row r="70" spans="3:48" ht="15.6" x14ac:dyDescent="0.3">
      <c r="C70" s="85">
        <v>66</v>
      </c>
      <c r="D70" s="85"/>
      <c r="E70" s="85"/>
      <c r="F70" s="85"/>
      <c r="G70" s="85"/>
      <c r="H70" s="85"/>
      <c r="I70" s="85" t="s">
        <v>51</v>
      </c>
      <c r="J70" s="85"/>
      <c r="K70" s="3"/>
      <c r="L70" s="85">
        <v>66</v>
      </c>
      <c r="M70" s="85"/>
      <c r="N70" s="85"/>
      <c r="O70" s="85"/>
      <c r="P70" s="85"/>
      <c r="Q70" s="85"/>
      <c r="R70" s="85">
        <v>1910</v>
      </c>
      <c r="S70" s="85"/>
      <c r="U70" s="85"/>
      <c r="V70" s="85"/>
      <c r="W70" s="85"/>
      <c r="X70" s="85"/>
      <c r="Y70" s="85"/>
      <c r="Z70" s="85"/>
      <c r="AA70" s="85"/>
      <c r="AB70" s="1"/>
      <c r="AD70" s="3"/>
      <c r="AL70" s="3"/>
      <c r="AM70" s="85">
        <v>66</v>
      </c>
      <c r="AN70" s="128">
        <v>5</v>
      </c>
      <c r="AO70" s="128">
        <v>5</v>
      </c>
      <c r="AP70" s="128">
        <v>3</v>
      </c>
      <c r="AQ70" s="128">
        <v>2</v>
      </c>
      <c r="AR70" s="128">
        <v>5</v>
      </c>
      <c r="AS70" s="85" t="s">
        <v>30</v>
      </c>
      <c r="AT70" s="106">
        <v>45435.565659722219</v>
      </c>
      <c r="AV70" s="3"/>
    </row>
    <row r="71" spans="3:48" ht="15.6" x14ac:dyDescent="0.3">
      <c r="C71" s="85">
        <v>67</v>
      </c>
      <c r="D71" s="85"/>
      <c r="E71" s="85"/>
      <c r="F71" s="85"/>
      <c r="G71" s="85"/>
      <c r="H71" s="85"/>
      <c r="I71" s="85" t="s">
        <v>51</v>
      </c>
      <c r="J71" s="85"/>
      <c r="K71" s="3"/>
      <c r="L71" s="85">
        <v>67</v>
      </c>
      <c r="M71" s="85"/>
      <c r="N71" s="85"/>
      <c r="O71" s="85"/>
      <c r="P71" s="85"/>
      <c r="Q71" s="85"/>
      <c r="R71" s="85">
        <v>1910</v>
      </c>
      <c r="S71" s="85"/>
      <c r="U71" s="85"/>
      <c r="V71" s="85"/>
      <c r="W71" s="85"/>
      <c r="X71" s="85"/>
      <c r="Y71" s="85"/>
      <c r="Z71" s="85"/>
      <c r="AA71" s="85"/>
      <c r="AB71" s="1"/>
      <c r="AD71" s="3"/>
      <c r="AL71" s="3"/>
      <c r="AM71" s="85">
        <v>67</v>
      </c>
      <c r="AN71" s="128">
        <v>5</v>
      </c>
      <c r="AO71" s="128">
        <v>5</v>
      </c>
      <c r="AP71" s="128">
        <v>3</v>
      </c>
      <c r="AQ71" s="128">
        <v>2</v>
      </c>
      <c r="AR71" s="128">
        <v>5</v>
      </c>
      <c r="AS71" s="85" t="s">
        <v>30</v>
      </c>
      <c r="AT71" s="106">
        <v>45435.565810185188</v>
      </c>
      <c r="AV71" s="3"/>
    </row>
    <row r="72" spans="3:48" ht="15.6" x14ac:dyDescent="0.3">
      <c r="C72" s="85">
        <v>68</v>
      </c>
      <c r="D72" s="85"/>
      <c r="E72" s="85"/>
      <c r="F72" s="85"/>
      <c r="G72" s="85"/>
      <c r="H72" s="85"/>
      <c r="I72" s="85" t="s">
        <v>51</v>
      </c>
      <c r="J72" s="85"/>
      <c r="K72" s="3"/>
      <c r="L72" s="85">
        <v>68</v>
      </c>
      <c r="M72" s="85"/>
      <c r="N72" s="85"/>
      <c r="O72" s="85"/>
      <c r="P72" s="85"/>
      <c r="Q72" s="85"/>
      <c r="R72" s="85">
        <v>1910</v>
      </c>
      <c r="S72" s="85"/>
      <c r="U72" s="85"/>
      <c r="V72" s="85"/>
      <c r="W72" s="85"/>
      <c r="X72" s="85"/>
      <c r="Y72" s="85"/>
      <c r="Z72" s="85"/>
      <c r="AA72" s="85"/>
      <c r="AB72" s="1"/>
      <c r="AD72" s="3"/>
      <c r="AL72" s="3"/>
      <c r="AM72" s="85">
        <v>68</v>
      </c>
      <c r="AN72" s="128">
        <v>5</v>
      </c>
      <c r="AO72" s="128">
        <v>5</v>
      </c>
      <c r="AP72" s="128">
        <v>5</v>
      </c>
      <c r="AQ72" s="128">
        <v>5</v>
      </c>
      <c r="AR72" s="128">
        <v>5</v>
      </c>
      <c r="AS72" s="85" t="s">
        <v>30</v>
      </c>
      <c r="AT72" s="106">
        <v>45435.623437499999</v>
      </c>
      <c r="AV72" s="3"/>
    </row>
    <row r="73" spans="3:48" ht="15.6" x14ac:dyDescent="0.3">
      <c r="C73" s="85">
        <v>69</v>
      </c>
      <c r="D73" s="85"/>
      <c r="E73" s="85"/>
      <c r="F73" s="85"/>
      <c r="G73" s="85"/>
      <c r="H73" s="85"/>
      <c r="I73" s="85" t="s">
        <v>51</v>
      </c>
      <c r="J73" s="85"/>
      <c r="K73" s="3"/>
      <c r="L73" s="85">
        <v>69</v>
      </c>
      <c r="M73" s="85"/>
      <c r="N73" s="85"/>
      <c r="O73" s="85"/>
      <c r="P73" s="85"/>
      <c r="Q73" s="85"/>
      <c r="R73" s="85">
        <v>1910</v>
      </c>
      <c r="S73" s="85"/>
      <c r="U73" s="85"/>
      <c r="V73" s="85"/>
      <c r="W73" s="85"/>
      <c r="X73" s="85"/>
      <c r="Y73" s="85"/>
      <c r="Z73" s="85"/>
      <c r="AA73" s="85"/>
      <c r="AB73" s="1"/>
      <c r="AD73" s="3"/>
      <c r="AL73" s="3"/>
      <c r="AM73" s="85">
        <v>69</v>
      </c>
      <c r="AN73" s="128">
        <v>5</v>
      </c>
      <c r="AO73" s="128">
        <v>5</v>
      </c>
      <c r="AP73" s="128">
        <v>5</v>
      </c>
      <c r="AQ73" s="128">
        <v>5</v>
      </c>
      <c r="AR73" s="128">
        <v>4</v>
      </c>
      <c r="AS73" s="85" t="s">
        <v>30</v>
      </c>
      <c r="AT73" s="106">
        <v>45435.641817129632</v>
      </c>
      <c r="AV73" s="3"/>
    </row>
    <row r="74" spans="3:48" ht="15.6" x14ac:dyDescent="0.3">
      <c r="C74" s="85">
        <v>70</v>
      </c>
      <c r="D74" s="85"/>
      <c r="E74" s="85"/>
      <c r="F74" s="85"/>
      <c r="G74" s="85"/>
      <c r="H74" s="85"/>
      <c r="I74" s="85" t="s">
        <v>51</v>
      </c>
      <c r="J74" s="85"/>
      <c r="K74" s="3"/>
      <c r="L74" s="85">
        <v>70</v>
      </c>
      <c r="M74" s="85"/>
      <c r="N74" s="85"/>
      <c r="O74" s="85"/>
      <c r="P74" s="85"/>
      <c r="Q74" s="85"/>
      <c r="R74" s="85">
        <v>1910</v>
      </c>
      <c r="S74" s="85"/>
      <c r="U74" s="1"/>
      <c r="V74" s="85"/>
      <c r="W74" s="85"/>
      <c r="X74" s="85"/>
      <c r="Y74" s="85"/>
      <c r="Z74" s="85"/>
      <c r="AA74" s="85"/>
      <c r="AB74" s="1"/>
      <c r="AD74" s="3"/>
      <c r="AL74" s="3"/>
      <c r="AM74" s="85">
        <v>70</v>
      </c>
      <c r="AN74" s="128">
        <v>5</v>
      </c>
      <c r="AO74" s="128">
        <v>5</v>
      </c>
      <c r="AP74" s="128">
        <v>5</v>
      </c>
      <c r="AQ74" s="128">
        <v>5</v>
      </c>
      <c r="AR74" s="128">
        <v>4</v>
      </c>
      <c r="AS74" s="85" t="s">
        <v>30</v>
      </c>
      <c r="AT74" s="106">
        <v>45435.642928240741</v>
      </c>
      <c r="AV74" s="3"/>
    </row>
    <row r="75" spans="3:48" ht="15.6" x14ac:dyDescent="0.3">
      <c r="C75" s="85">
        <v>71</v>
      </c>
      <c r="D75" s="85"/>
      <c r="E75" s="85"/>
      <c r="F75" s="85"/>
      <c r="G75" s="85"/>
      <c r="H75" s="85"/>
      <c r="I75" s="85" t="s">
        <v>51</v>
      </c>
      <c r="J75" s="85"/>
      <c r="K75" s="3"/>
      <c r="L75" s="85">
        <v>71</v>
      </c>
      <c r="M75" s="85"/>
      <c r="N75" s="85"/>
      <c r="O75" s="85"/>
      <c r="P75" s="85"/>
      <c r="Q75" s="85"/>
      <c r="R75" s="85">
        <v>1910</v>
      </c>
      <c r="S75" s="85"/>
      <c r="U75" s="1"/>
      <c r="V75" s="85"/>
      <c r="W75" s="85"/>
      <c r="X75" s="85"/>
      <c r="Y75" s="85"/>
      <c r="Z75" s="85"/>
      <c r="AA75" s="85"/>
      <c r="AB75" s="1"/>
      <c r="AD75" s="3"/>
      <c r="AL75" s="3"/>
      <c r="AM75" s="85">
        <v>71</v>
      </c>
      <c r="AN75" s="128">
        <v>5</v>
      </c>
      <c r="AO75" s="128">
        <v>5</v>
      </c>
      <c r="AP75" s="128">
        <v>5</v>
      </c>
      <c r="AQ75" s="128">
        <v>5</v>
      </c>
      <c r="AR75" s="128">
        <v>5</v>
      </c>
      <c r="AS75" s="85" t="s">
        <v>30</v>
      </c>
      <c r="AT75" s="106">
        <v>45435.65693287037</v>
      </c>
      <c r="AV75" s="3"/>
    </row>
    <row r="76" spans="3:48" ht="15.6" x14ac:dyDescent="0.3">
      <c r="C76" s="85">
        <v>72</v>
      </c>
      <c r="D76" s="85"/>
      <c r="E76" s="85"/>
      <c r="F76" s="85"/>
      <c r="G76" s="85"/>
      <c r="H76" s="85"/>
      <c r="I76" s="85" t="s">
        <v>51</v>
      </c>
      <c r="J76" s="85"/>
      <c r="K76" s="3"/>
      <c r="L76" s="85">
        <v>72</v>
      </c>
      <c r="M76" s="85"/>
      <c r="N76" s="85"/>
      <c r="O76" s="85"/>
      <c r="P76" s="85"/>
      <c r="Q76" s="85"/>
      <c r="R76" s="85">
        <v>1910</v>
      </c>
      <c r="S76" s="85"/>
      <c r="U76" s="1"/>
      <c r="V76" s="85"/>
      <c r="W76" s="85"/>
      <c r="X76" s="85"/>
      <c r="Y76" s="85"/>
      <c r="Z76" s="85"/>
      <c r="AA76" s="85"/>
      <c r="AB76" s="1"/>
      <c r="AD76" s="3"/>
      <c r="AL76" s="3"/>
      <c r="AM76" s="85">
        <v>72</v>
      </c>
      <c r="AN76" s="128">
        <v>5</v>
      </c>
      <c r="AO76" s="128">
        <v>5</v>
      </c>
      <c r="AP76" s="128">
        <v>5</v>
      </c>
      <c r="AQ76" s="128">
        <v>5</v>
      </c>
      <c r="AR76" s="128">
        <v>5</v>
      </c>
      <c r="AS76" s="85" t="s">
        <v>30</v>
      </c>
      <c r="AT76" s="106">
        <v>45435.721828703703</v>
      </c>
      <c r="AV76" s="3"/>
    </row>
    <row r="77" spans="3:48" ht="15.6" x14ac:dyDescent="0.3">
      <c r="C77" s="85">
        <v>73</v>
      </c>
      <c r="D77" s="85"/>
      <c r="E77" s="85"/>
      <c r="F77" s="85"/>
      <c r="G77" s="85"/>
      <c r="H77" s="85"/>
      <c r="I77" s="85" t="s">
        <v>51</v>
      </c>
      <c r="J77" s="85"/>
      <c r="K77" s="3"/>
      <c r="L77" s="85">
        <v>73</v>
      </c>
      <c r="M77" s="85"/>
      <c r="N77" s="85"/>
      <c r="O77" s="85"/>
      <c r="P77" s="85"/>
      <c r="Q77" s="85"/>
      <c r="R77" s="85">
        <v>1910</v>
      </c>
      <c r="S77" s="85"/>
      <c r="U77" s="1"/>
      <c r="V77" s="85"/>
      <c r="W77" s="85"/>
      <c r="X77" s="85"/>
      <c r="Y77" s="85"/>
      <c r="Z77" s="85"/>
      <c r="AA77" s="85"/>
      <c r="AB77" s="1"/>
      <c r="AD77" s="3"/>
      <c r="AL77" s="3"/>
      <c r="AM77" s="85">
        <v>73</v>
      </c>
      <c r="AN77" s="128">
        <v>5</v>
      </c>
      <c r="AO77" s="128">
        <v>5</v>
      </c>
      <c r="AP77" s="128">
        <v>5</v>
      </c>
      <c r="AQ77" s="128">
        <v>5</v>
      </c>
      <c r="AR77" s="128">
        <v>5</v>
      </c>
      <c r="AS77" s="85" t="s">
        <v>30</v>
      </c>
      <c r="AT77" s="106">
        <v>45436.607048611113</v>
      </c>
      <c r="AV77" s="3"/>
    </row>
    <row r="78" spans="3:48" ht="15.6" x14ac:dyDescent="0.3">
      <c r="C78" s="85">
        <v>74</v>
      </c>
      <c r="D78" s="85"/>
      <c r="E78" s="85"/>
      <c r="F78" s="85"/>
      <c r="G78" s="85"/>
      <c r="H78" s="85"/>
      <c r="I78" s="85" t="s">
        <v>51</v>
      </c>
      <c r="J78" s="85"/>
      <c r="K78" s="3"/>
      <c r="L78" s="85"/>
      <c r="M78" s="85"/>
      <c r="N78" s="85"/>
      <c r="O78" s="85"/>
      <c r="P78" s="85"/>
      <c r="Q78" s="85"/>
      <c r="R78" s="85"/>
      <c r="S78" s="85"/>
      <c r="U78" s="1"/>
      <c r="V78" s="85"/>
      <c r="W78" s="85"/>
      <c r="X78" s="85"/>
      <c r="Y78" s="85"/>
      <c r="Z78" s="85"/>
      <c r="AA78" s="85"/>
      <c r="AB78" s="1"/>
      <c r="AD78" s="3"/>
      <c r="AL78" s="3"/>
      <c r="AM78" s="85">
        <v>74</v>
      </c>
      <c r="AN78" s="128">
        <v>5</v>
      </c>
      <c r="AO78" s="128">
        <v>5</v>
      </c>
      <c r="AP78" s="128">
        <v>5</v>
      </c>
      <c r="AQ78" s="128">
        <v>5</v>
      </c>
      <c r="AR78" s="128">
        <v>5</v>
      </c>
      <c r="AS78" s="85" t="s">
        <v>30</v>
      </c>
      <c r="AT78" s="106">
        <v>45436.624467592592</v>
      </c>
      <c r="AV78" s="3"/>
    </row>
    <row r="79" spans="3:48" ht="15.6" x14ac:dyDescent="0.3">
      <c r="C79" s="85">
        <v>75</v>
      </c>
      <c r="D79" s="85"/>
      <c r="E79" s="85"/>
      <c r="F79" s="85"/>
      <c r="G79" s="85"/>
      <c r="H79" s="85"/>
      <c r="I79" s="85" t="s">
        <v>51</v>
      </c>
      <c r="J79" s="85"/>
      <c r="K79" s="3"/>
      <c r="L79" s="85"/>
      <c r="M79" s="85"/>
      <c r="N79" s="85"/>
      <c r="O79" s="85"/>
      <c r="P79" s="85"/>
      <c r="Q79" s="85"/>
      <c r="R79" s="85"/>
      <c r="S79" s="85"/>
      <c r="U79" s="1"/>
      <c r="V79" s="85"/>
      <c r="W79" s="85"/>
      <c r="X79" s="85"/>
      <c r="Y79" s="85"/>
      <c r="Z79" s="85"/>
      <c r="AA79" s="85"/>
      <c r="AB79" s="1"/>
      <c r="AD79" s="3"/>
      <c r="AL79" s="3"/>
      <c r="AM79" s="85">
        <v>75</v>
      </c>
      <c r="AN79" s="128">
        <v>5</v>
      </c>
      <c r="AO79" s="128">
        <v>5</v>
      </c>
      <c r="AP79" s="128">
        <v>5</v>
      </c>
      <c r="AQ79" s="128">
        <v>5</v>
      </c>
      <c r="AR79" s="128">
        <v>5</v>
      </c>
      <c r="AS79" s="85" t="s">
        <v>30</v>
      </c>
      <c r="AT79" s="106">
        <v>45437.605104166665</v>
      </c>
      <c r="AV79" s="3"/>
    </row>
    <row r="80" spans="3:48" ht="15.6" x14ac:dyDescent="0.3">
      <c r="C80" s="85">
        <v>76</v>
      </c>
      <c r="D80" s="85"/>
      <c r="E80" s="85"/>
      <c r="F80" s="85"/>
      <c r="G80" s="85"/>
      <c r="H80" s="85"/>
      <c r="I80" s="85" t="s">
        <v>51</v>
      </c>
      <c r="J80" s="85"/>
      <c r="K80" s="3"/>
      <c r="L80" s="85"/>
      <c r="M80" s="85"/>
      <c r="N80" s="85"/>
      <c r="O80" s="85"/>
      <c r="P80" s="85"/>
      <c r="Q80" s="85"/>
      <c r="R80" s="85"/>
      <c r="S80" s="85"/>
      <c r="U80" s="1"/>
      <c r="V80" s="85"/>
      <c r="W80" s="85"/>
      <c r="X80" s="85"/>
      <c r="Y80" s="85"/>
      <c r="Z80" s="85"/>
      <c r="AA80" s="85"/>
      <c r="AB80" s="1"/>
      <c r="AD80" s="3"/>
      <c r="AL80" s="3"/>
      <c r="AM80" s="85">
        <v>76</v>
      </c>
      <c r="AN80" s="128">
        <v>5</v>
      </c>
      <c r="AO80" s="128">
        <v>5</v>
      </c>
      <c r="AP80" s="128">
        <v>5</v>
      </c>
      <c r="AQ80" s="128">
        <v>5</v>
      </c>
      <c r="AR80" s="128">
        <v>5</v>
      </c>
      <c r="AS80" s="85" t="s">
        <v>30</v>
      </c>
      <c r="AT80" s="106">
        <v>45437.625416666669</v>
      </c>
      <c r="AV80" s="3"/>
    </row>
    <row r="81" spans="3:48" ht="15.6" x14ac:dyDescent="0.3">
      <c r="C81" s="85">
        <v>77</v>
      </c>
      <c r="D81" s="85"/>
      <c r="E81" s="85"/>
      <c r="F81" s="85"/>
      <c r="G81" s="85"/>
      <c r="H81" s="85"/>
      <c r="I81" s="85" t="s">
        <v>51</v>
      </c>
      <c r="J81" s="85"/>
      <c r="K81" s="3"/>
      <c r="L81" s="85"/>
      <c r="M81" s="85"/>
      <c r="N81" s="85"/>
      <c r="O81" s="85"/>
      <c r="P81" s="85"/>
      <c r="Q81" s="85"/>
      <c r="R81" s="85"/>
      <c r="S81" s="85"/>
      <c r="U81" s="1"/>
      <c r="V81" s="85"/>
      <c r="W81" s="85"/>
      <c r="X81" s="85"/>
      <c r="Y81" s="85"/>
      <c r="Z81" s="85"/>
      <c r="AA81" s="85"/>
      <c r="AB81" s="1"/>
      <c r="AD81" s="3"/>
      <c r="AL81" s="3"/>
      <c r="AM81" s="85">
        <v>77</v>
      </c>
      <c r="AN81" s="128">
        <v>5</v>
      </c>
      <c r="AO81" s="128">
        <v>5</v>
      </c>
      <c r="AP81" s="128">
        <v>5</v>
      </c>
      <c r="AQ81" s="128">
        <v>5</v>
      </c>
      <c r="AR81" s="128">
        <v>5</v>
      </c>
      <c r="AS81" s="85" t="s">
        <v>30</v>
      </c>
      <c r="AT81" s="106">
        <v>45438.619317129633</v>
      </c>
      <c r="AV81" s="3"/>
    </row>
    <row r="82" spans="3:48" ht="15.6" x14ac:dyDescent="0.3">
      <c r="C82" s="85">
        <v>78</v>
      </c>
      <c r="D82" s="85"/>
      <c r="E82" s="85"/>
      <c r="F82" s="85"/>
      <c r="G82" s="85"/>
      <c r="H82" s="85"/>
      <c r="I82" s="85" t="s">
        <v>51</v>
      </c>
      <c r="J82" s="85"/>
      <c r="K82" s="3"/>
      <c r="L82" s="85"/>
      <c r="M82" s="85"/>
      <c r="N82" s="85"/>
      <c r="O82" s="85"/>
      <c r="P82" s="85"/>
      <c r="Q82" s="85"/>
      <c r="R82" s="85"/>
      <c r="S82" s="85"/>
      <c r="U82" s="1"/>
      <c r="V82" s="85"/>
      <c r="W82" s="85"/>
      <c r="X82" s="85"/>
      <c r="Y82" s="85"/>
      <c r="Z82" s="85"/>
      <c r="AA82" s="85"/>
      <c r="AB82" s="1"/>
      <c r="AD82" s="3"/>
      <c r="AL82" s="3"/>
      <c r="AM82" s="85">
        <v>78</v>
      </c>
      <c r="AN82" s="128">
        <v>5</v>
      </c>
      <c r="AO82" s="128">
        <v>5</v>
      </c>
      <c r="AP82" s="128">
        <v>5</v>
      </c>
      <c r="AQ82" s="128">
        <v>5</v>
      </c>
      <c r="AR82" s="128">
        <v>5</v>
      </c>
      <c r="AS82" s="85" t="s">
        <v>30</v>
      </c>
      <c r="AT82" s="106">
        <v>45438.619837962964</v>
      </c>
      <c r="AV82" s="3"/>
    </row>
    <row r="83" spans="3:48" ht="15.6" x14ac:dyDescent="0.3">
      <c r="C83" s="85">
        <v>79</v>
      </c>
      <c r="D83" s="85"/>
      <c r="E83" s="85"/>
      <c r="F83" s="85"/>
      <c r="G83" s="85"/>
      <c r="H83" s="85"/>
      <c r="I83" s="85" t="s">
        <v>51</v>
      </c>
      <c r="J83" s="85"/>
      <c r="K83" s="3"/>
      <c r="L83" s="85"/>
      <c r="M83" s="85"/>
      <c r="N83" s="85"/>
      <c r="O83" s="85"/>
      <c r="P83" s="85"/>
      <c r="Q83" s="85"/>
      <c r="R83" s="85"/>
      <c r="S83" s="85"/>
      <c r="U83" s="1"/>
      <c r="V83" s="85"/>
      <c r="W83" s="85"/>
      <c r="X83" s="85"/>
      <c r="Y83" s="85"/>
      <c r="Z83" s="85"/>
      <c r="AA83" s="85"/>
      <c r="AB83" s="1"/>
      <c r="AD83" s="3"/>
      <c r="AL83" s="3"/>
      <c r="AM83" s="85">
        <v>79</v>
      </c>
      <c r="AN83" s="128">
        <v>5</v>
      </c>
      <c r="AO83" s="128">
        <v>5</v>
      </c>
      <c r="AP83" s="128">
        <v>5</v>
      </c>
      <c r="AQ83" s="128">
        <v>5</v>
      </c>
      <c r="AR83" s="128">
        <v>5</v>
      </c>
      <c r="AS83" s="85" t="s">
        <v>30</v>
      </c>
      <c r="AT83" s="106">
        <v>45438.621655092589</v>
      </c>
      <c r="AV83" s="3"/>
    </row>
    <row r="84" spans="3:48" ht="15.6" x14ac:dyDescent="0.3">
      <c r="C84" s="85">
        <v>80</v>
      </c>
      <c r="D84" s="85"/>
      <c r="E84" s="85"/>
      <c r="F84" s="85"/>
      <c r="G84" s="85"/>
      <c r="H84" s="85"/>
      <c r="I84" s="85" t="s">
        <v>51</v>
      </c>
      <c r="J84" s="85"/>
      <c r="K84" s="3"/>
      <c r="L84" s="85"/>
      <c r="M84" s="85"/>
      <c r="N84" s="85"/>
      <c r="O84" s="85"/>
      <c r="P84" s="85"/>
      <c r="Q84" s="85"/>
      <c r="R84" s="85"/>
      <c r="S84" s="85"/>
      <c r="U84" s="1"/>
      <c r="V84" s="85"/>
      <c r="W84" s="85"/>
      <c r="X84" s="85"/>
      <c r="Y84" s="85"/>
      <c r="Z84" s="85"/>
      <c r="AA84" s="85"/>
      <c r="AB84" s="1"/>
      <c r="AD84" s="3"/>
      <c r="AM84" s="85">
        <v>80</v>
      </c>
      <c r="AN84" s="128">
        <v>5</v>
      </c>
      <c r="AO84" s="128">
        <v>5</v>
      </c>
      <c r="AP84" s="128">
        <v>5</v>
      </c>
      <c r="AQ84" s="128">
        <v>5</v>
      </c>
      <c r="AR84" s="128">
        <v>5</v>
      </c>
      <c r="AS84" s="85" t="s">
        <v>30</v>
      </c>
      <c r="AT84" s="106">
        <v>45438.645115740743</v>
      </c>
      <c r="AV84" s="3"/>
    </row>
    <row r="85" spans="3:48" ht="15.6" x14ac:dyDescent="0.3">
      <c r="C85" s="85">
        <v>81</v>
      </c>
      <c r="D85" s="85"/>
      <c r="E85" s="85"/>
      <c r="F85" s="85"/>
      <c r="G85" s="85"/>
      <c r="H85" s="85"/>
      <c r="I85" s="85" t="s">
        <v>51</v>
      </c>
      <c r="J85" s="85"/>
      <c r="K85" s="3"/>
      <c r="L85" s="85"/>
      <c r="M85" s="85"/>
      <c r="N85" s="85"/>
      <c r="O85" s="85"/>
      <c r="P85" s="85"/>
      <c r="Q85" s="85"/>
      <c r="R85" s="85"/>
      <c r="S85" s="85"/>
      <c r="U85" s="1"/>
      <c r="V85" s="85"/>
      <c r="W85" s="85"/>
      <c r="X85" s="85"/>
      <c r="Y85" s="85"/>
      <c r="Z85" s="85"/>
      <c r="AA85" s="85"/>
      <c r="AB85" s="1"/>
      <c r="AD85" s="3"/>
      <c r="AM85" s="85">
        <v>81</v>
      </c>
      <c r="AN85" s="128">
        <v>5</v>
      </c>
      <c r="AO85" s="128">
        <v>5</v>
      </c>
      <c r="AP85" s="128">
        <v>5</v>
      </c>
      <c r="AQ85" s="128">
        <v>5</v>
      </c>
      <c r="AR85" s="128">
        <v>5</v>
      </c>
      <c r="AS85" s="85" t="s">
        <v>30</v>
      </c>
      <c r="AT85" s="106">
        <v>45438.656331018516</v>
      </c>
      <c r="AV85" s="3"/>
    </row>
    <row r="86" spans="3:48" ht="15.6" x14ac:dyDescent="0.3">
      <c r="C86" s="85">
        <v>82</v>
      </c>
      <c r="D86" s="85"/>
      <c r="E86" s="85"/>
      <c r="F86" s="85"/>
      <c r="G86" s="85"/>
      <c r="H86" s="85"/>
      <c r="I86" s="85" t="s">
        <v>51</v>
      </c>
      <c r="J86" s="85"/>
      <c r="K86" s="3"/>
      <c r="L86" s="85"/>
      <c r="M86" s="85"/>
      <c r="N86" s="85"/>
      <c r="O86" s="85"/>
      <c r="P86" s="85"/>
      <c r="Q86" s="85"/>
      <c r="R86" s="85"/>
      <c r="S86" s="85"/>
      <c r="U86" s="1"/>
      <c r="V86" s="85"/>
      <c r="W86" s="85"/>
      <c r="X86" s="85"/>
      <c r="Y86" s="85"/>
      <c r="Z86" s="85"/>
      <c r="AA86" s="85"/>
      <c r="AB86" s="1"/>
      <c r="AD86" s="3"/>
      <c r="AM86" s="85">
        <v>82</v>
      </c>
      <c r="AN86" s="128">
        <v>5</v>
      </c>
      <c r="AO86" s="128">
        <v>5</v>
      </c>
      <c r="AP86" s="128">
        <v>5</v>
      </c>
      <c r="AQ86" s="128">
        <v>5</v>
      </c>
      <c r="AR86" s="128">
        <v>5</v>
      </c>
      <c r="AS86" s="85" t="s">
        <v>30</v>
      </c>
      <c r="AT86" s="106">
        <v>45438.670405092591</v>
      </c>
      <c r="AV86" s="3"/>
    </row>
    <row r="87" spans="3:48" ht="15.6" x14ac:dyDescent="0.3">
      <c r="C87" s="85">
        <v>83</v>
      </c>
      <c r="D87" s="85"/>
      <c r="E87" s="85"/>
      <c r="F87" s="85"/>
      <c r="G87" s="85"/>
      <c r="H87" s="85"/>
      <c r="I87" s="85" t="s">
        <v>51</v>
      </c>
      <c r="J87" s="85"/>
      <c r="K87" s="3"/>
      <c r="L87" s="85"/>
      <c r="M87" s="85"/>
      <c r="N87" s="85"/>
      <c r="O87" s="85"/>
      <c r="P87" s="85"/>
      <c r="Q87" s="85"/>
      <c r="R87" s="85"/>
      <c r="S87" s="85"/>
      <c r="U87" s="1"/>
      <c r="V87" s="85"/>
      <c r="W87" s="85"/>
      <c r="X87" s="85"/>
      <c r="Y87" s="85"/>
      <c r="Z87" s="85"/>
      <c r="AA87" s="85"/>
      <c r="AB87" s="1"/>
      <c r="AD87" s="3"/>
      <c r="AM87" s="85">
        <v>83</v>
      </c>
      <c r="AN87" s="128">
        <v>5</v>
      </c>
      <c r="AO87" s="128">
        <v>5</v>
      </c>
      <c r="AP87" s="128">
        <v>4</v>
      </c>
      <c r="AQ87" s="128">
        <v>4</v>
      </c>
      <c r="AR87" s="128">
        <v>5</v>
      </c>
      <c r="AS87" s="85" t="s">
        <v>30</v>
      </c>
      <c r="AT87" s="106">
        <v>45441.62228009259</v>
      </c>
      <c r="AV87" s="3"/>
    </row>
    <row r="88" spans="3:48" ht="15.6" x14ac:dyDescent="0.3">
      <c r="C88" s="85">
        <v>84</v>
      </c>
      <c r="D88" s="85"/>
      <c r="E88" s="85"/>
      <c r="F88" s="85"/>
      <c r="G88" s="85"/>
      <c r="H88" s="85"/>
      <c r="I88" s="85" t="s">
        <v>51</v>
      </c>
      <c r="J88" s="85"/>
      <c r="K88" s="3"/>
      <c r="L88" s="85"/>
      <c r="M88" s="85"/>
      <c r="N88" s="85"/>
      <c r="O88" s="85"/>
      <c r="P88" s="85"/>
      <c r="Q88" s="85"/>
      <c r="R88" s="85"/>
      <c r="S88" s="85"/>
      <c r="U88" s="1"/>
      <c r="V88" s="85"/>
      <c r="W88" s="85"/>
      <c r="X88" s="85"/>
      <c r="Y88" s="85"/>
      <c r="Z88" s="85"/>
      <c r="AA88" s="85"/>
      <c r="AB88" s="1"/>
      <c r="AD88" s="3"/>
      <c r="AM88" s="85">
        <v>84</v>
      </c>
      <c r="AN88" s="128">
        <v>5</v>
      </c>
      <c r="AO88" s="128">
        <v>5</v>
      </c>
      <c r="AP88" s="128">
        <v>5</v>
      </c>
      <c r="AQ88" s="128">
        <v>5</v>
      </c>
      <c r="AR88" s="128">
        <v>5</v>
      </c>
      <c r="AS88" s="85" t="s">
        <v>30</v>
      </c>
      <c r="AT88" s="106">
        <v>45441.624849537038</v>
      </c>
      <c r="AV88" s="3"/>
    </row>
    <row r="89" spans="3:48" ht="15.6" x14ac:dyDescent="0.3">
      <c r="C89" s="85">
        <v>85</v>
      </c>
      <c r="D89" s="85"/>
      <c r="E89" s="85"/>
      <c r="F89" s="85"/>
      <c r="G89" s="85"/>
      <c r="H89" s="85"/>
      <c r="I89" s="85" t="s">
        <v>51</v>
      </c>
      <c r="J89" s="85"/>
      <c r="K89" s="3"/>
      <c r="L89" s="85"/>
      <c r="M89" s="85"/>
      <c r="N89" s="85"/>
      <c r="O89" s="85"/>
      <c r="P89" s="85"/>
      <c r="Q89" s="85"/>
      <c r="R89" s="85"/>
      <c r="S89" s="85"/>
      <c r="U89" s="1"/>
      <c r="V89" s="85"/>
      <c r="W89" s="85"/>
      <c r="X89" s="85"/>
      <c r="Y89" s="85"/>
      <c r="Z89" s="85"/>
      <c r="AA89" s="85"/>
      <c r="AB89" s="1"/>
      <c r="AD89" s="3"/>
      <c r="AM89" s="85">
        <v>85</v>
      </c>
      <c r="AN89" s="128">
        <v>5</v>
      </c>
      <c r="AO89" s="128">
        <v>5</v>
      </c>
      <c r="AP89" s="128">
        <v>5</v>
      </c>
      <c r="AQ89" s="128">
        <v>3</v>
      </c>
      <c r="AR89" s="128">
        <v>5</v>
      </c>
      <c r="AS89" s="85" t="s">
        <v>30</v>
      </c>
      <c r="AT89" s="106">
        <v>45441.635289351849</v>
      </c>
      <c r="AV89" s="3"/>
    </row>
    <row r="90" spans="3:48" ht="15.6" x14ac:dyDescent="0.3">
      <c r="C90" s="85">
        <v>86</v>
      </c>
      <c r="D90" s="85"/>
      <c r="E90" s="85"/>
      <c r="F90" s="85"/>
      <c r="G90" s="85"/>
      <c r="H90" s="85"/>
      <c r="I90" s="85" t="s">
        <v>51</v>
      </c>
      <c r="J90" s="85"/>
      <c r="K90" s="3"/>
      <c r="L90" s="85"/>
      <c r="M90" s="85"/>
      <c r="N90" s="85"/>
      <c r="O90" s="85"/>
      <c r="P90" s="85"/>
      <c r="Q90" s="85"/>
      <c r="R90" s="85"/>
      <c r="S90" s="85"/>
      <c r="U90" s="1"/>
      <c r="V90" s="85"/>
      <c r="W90" s="85"/>
      <c r="X90" s="85"/>
      <c r="Y90" s="85"/>
      <c r="Z90" s="85"/>
      <c r="AA90" s="85"/>
      <c r="AB90" s="1"/>
      <c r="AD90" s="3"/>
      <c r="AM90" s="85">
        <v>86</v>
      </c>
      <c r="AN90" s="128">
        <v>5</v>
      </c>
      <c r="AO90" s="128">
        <v>5</v>
      </c>
      <c r="AP90" s="128">
        <v>5</v>
      </c>
      <c r="AQ90" s="128">
        <v>5</v>
      </c>
      <c r="AR90" s="128">
        <v>5</v>
      </c>
      <c r="AS90" s="85" t="s">
        <v>30</v>
      </c>
      <c r="AT90" s="106">
        <v>45441.653703703705</v>
      </c>
      <c r="AV90" s="3"/>
    </row>
    <row r="91" spans="3:48" ht="15.6" x14ac:dyDescent="0.3">
      <c r="C91" s="85">
        <v>87</v>
      </c>
      <c r="D91" s="85"/>
      <c r="E91" s="85"/>
      <c r="F91" s="85"/>
      <c r="G91" s="85"/>
      <c r="H91" s="85"/>
      <c r="I91" s="85" t="s">
        <v>51</v>
      </c>
      <c r="J91" s="85"/>
      <c r="K91" s="3"/>
      <c r="L91" s="85"/>
      <c r="M91" s="85"/>
      <c r="N91" s="85"/>
      <c r="O91" s="85"/>
      <c r="P91" s="85"/>
      <c r="Q91" s="85"/>
      <c r="R91" s="85"/>
      <c r="S91" s="85"/>
      <c r="U91" s="1"/>
      <c r="V91" s="85"/>
      <c r="W91" s="85"/>
      <c r="X91" s="85"/>
      <c r="Y91" s="85"/>
      <c r="Z91" s="85"/>
      <c r="AA91" s="85"/>
      <c r="AB91" s="1"/>
      <c r="AD91" s="3"/>
      <c r="AM91" s="85">
        <v>87</v>
      </c>
      <c r="AN91" s="128">
        <v>5</v>
      </c>
      <c r="AO91" s="128">
        <v>4</v>
      </c>
      <c r="AP91" s="128">
        <v>5</v>
      </c>
      <c r="AQ91" s="128">
        <v>3</v>
      </c>
      <c r="AR91" s="128">
        <v>4</v>
      </c>
      <c r="AS91" s="85" t="s">
        <v>30</v>
      </c>
      <c r="AT91" s="106">
        <v>45441.656423611108</v>
      </c>
      <c r="AV91" s="3"/>
    </row>
    <row r="92" spans="3:48" ht="15.6" x14ac:dyDescent="0.3">
      <c r="C92" s="85">
        <v>88</v>
      </c>
      <c r="D92" s="85"/>
      <c r="E92" s="85"/>
      <c r="F92" s="85"/>
      <c r="G92" s="85"/>
      <c r="H92" s="85"/>
      <c r="I92" s="85" t="s">
        <v>51</v>
      </c>
      <c r="J92" s="85"/>
      <c r="K92" s="3"/>
      <c r="L92" s="85"/>
      <c r="M92" s="85"/>
      <c r="N92" s="85"/>
      <c r="O92" s="85"/>
      <c r="P92" s="85"/>
      <c r="Q92" s="85"/>
      <c r="R92" s="85"/>
      <c r="S92" s="85"/>
      <c r="U92" s="1"/>
      <c r="V92" s="85"/>
      <c r="W92" s="85"/>
      <c r="X92" s="85"/>
      <c r="Y92" s="85"/>
      <c r="Z92" s="85"/>
      <c r="AA92" s="85"/>
      <c r="AB92" s="1"/>
      <c r="AD92" s="3"/>
      <c r="AM92" s="85">
        <v>88</v>
      </c>
      <c r="AN92" s="128">
        <v>5</v>
      </c>
      <c r="AO92" s="128">
        <v>4</v>
      </c>
      <c r="AP92" s="128">
        <v>5</v>
      </c>
      <c r="AQ92" s="128">
        <v>3</v>
      </c>
      <c r="AR92" s="128">
        <v>4</v>
      </c>
      <c r="AS92" s="85" t="s">
        <v>30</v>
      </c>
      <c r="AT92" s="106">
        <v>45441.657025462962</v>
      </c>
      <c r="AV92" s="3"/>
    </row>
    <row r="93" spans="3:48" ht="15.6" x14ac:dyDescent="0.3">
      <c r="C93" s="85">
        <v>89</v>
      </c>
      <c r="D93" s="85"/>
      <c r="E93" s="85"/>
      <c r="F93" s="85"/>
      <c r="G93" s="85"/>
      <c r="H93" s="85"/>
      <c r="I93" s="85" t="s">
        <v>51</v>
      </c>
      <c r="J93" s="85"/>
      <c r="K93" s="3"/>
      <c r="L93" s="85"/>
      <c r="M93" s="85"/>
      <c r="N93" s="85"/>
      <c r="O93" s="85"/>
      <c r="P93" s="85"/>
      <c r="Q93" s="85"/>
      <c r="R93" s="85"/>
      <c r="S93" s="85"/>
      <c r="U93" s="1"/>
      <c r="V93" s="85"/>
      <c r="W93" s="85"/>
      <c r="X93" s="85"/>
      <c r="Y93" s="85"/>
      <c r="Z93" s="85"/>
      <c r="AA93" s="85"/>
      <c r="AB93" s="1"/>
      <c r="AD93" s="3"/>
      <c r="AM93" s="85">
        <v>89</v>
      </c>
      <c r="AN93" s="128">
        <v>5</v>
      </c>
      <c r="AO93" s="128">
        <v>5</v>
      </c>
      <c r="AP93" s="128">
        <v>5</v>
      </c>
      <c r="AQ93" s="128">
        <v>5</v>
      </c>
      <c r="AR93" s="128">
        <v>5</v>
      </c>
      <c r="AS93" s="85" t="s">
        <v>30</v>
      </c>
      <c r="AT93" s="106">
        <v>45442.600324074076</v>
      </c>
      <c r="AV93" s="3"/>
    </row>
    <row r="94" spans="3:48" ht="15.6" x14ac:dyDescent="0.3">
      <c r="C94" s="85">
        <v>90</v>
      </c>
      <c r="D94" s="85"/>
      <c r="E94" s="85"/>
      <c r="F94" s="85"/>
      <c r="G94" s="85"/>
      <c r="H94" s="85"/>
      <c r="I94" s="85" t="s">
        <v>51</v>
      </c>
      <c r="J94" s="85"/>
      <c r="K94" s="3"/>
      <c r="L94" s="85"/>
      <c r="M94" s="85"/>
      <c r="N94" s="85"/>
      <c r="O94" s="85"/>
      <c r="P94" s="85"/>
      <c r="Q94" s="85"/>
      <c r="R94" s="85"/>
      <c r="S94" s="85"/>
      <c r="U94" s="1"/>
      <c r="V94" s="85"/>
      <c r="W94" s="85"/>
      <c r="X94" s="85"/>
      <c r="Y94" s="85"/>
      <c r="Z94" s="85"/>
      <c r="AA94" s="85"/>
      <c r="AB94" s="1"/>
      <c r="AD94" s="3"/>
      <c r="AM94" s="85">
        <v>90</v>
      </c>
      <c r="AN94" s="128">
        <v>5</v>
      </c>
      <c r="AO94" s="128">
        <v>5</v>
      </c>
      <c r="AP94" s="128">
        <v>5</v>
      </c>
      <c r="AQ94" s="128">
        <v>5</v>
      </c>
      <c r="AR94" s="128">
        <v>5</v>
      </c>
      <c r="AS94" s="85" t="s">
        <v>30</v>
      </c>
      <c r="AT94" s="106">
        <v>45442.600543981483</v>
      </c>
      <c r="AV94" s="3"/>
    </row>
    <row r="95" spans="3:48" ht="15.6" x14ac:dyDescent="0.3">
      <c r="C95" s="85">
        <v>91</v>
      </c>
      <c r="D95" s="85"/>
      <c r="E95" s="85"/>
      <c r="F95" s="85"/>
      <c r="G95" s="85"/>
      <c r="H95" s="85"/>
      <c r="I95" s="85" t="s">
        <v>51</v>
      </c>
      <c r="J95" s="85"/>
      <c r="K95" s="3"/>
      <c r="L95" s="85"/>
      <c r="M95" s="85"/>
      <c r="N95" s="85"/>
      <c r="O95" s="85"/>
      <c r="P95" s="85"/>
      <c r="Q95" s="85"/>
      <c r="R95" s="85"/>
      <c r="S95" s="85"/>
      <c r="U95" s="1"/>
      <c r="V95" s="85"/>
      <c r="W95" s="85"/>
      <c r="X95" s="85"/>
      <c r="Y95" s="85"/>
      <c r="Z95" s="85"/>
      <c r="AA95" s="85"/>
      <c r="AB95" s="1"/>
      <c r="AD95" s="3"/>
      <c r="AM95" s="85">
        <v>91</v>
      </c>
      <c r="AN95" s="128">
        <v>5</v>
      </c>
      <c r="AO95" s="128">
        <v>5</v>
      </c>
      <c r="AP95" s="128">
        <v>5</v>
      </c>
      <c r="AQ95" s="128">
        <v>5</v>
      </c>
      <c r="AR95" s="128">
        <v>5</v>
      </c>
      <c r="AS95" s="85" t="s">
        <v>30</v>
      </c>
      <c r="AT95" s="106">
        <v>45442.616875</v>
      </c>
      <c r="AV95" s="3"/>
    </row>
    <row r="96" spans="3:48" ht="15.6" x14ac:dyDescent="0.3">
      <c r="C96" s="85">
        <v>92</v>
      </c>
      <c r="D96" s="85"/>
      <c r="E96" s="85"/>
      <c r="F96" s="85"/>
      <c r="G96" s="85"/>
      <c r="H96" s="85"/>
      <c r="I96" s="85" t="s">
        <v>51</v>
      </c>
      <c r="J96" s="85"/>
      <c r="K96" s="3"/>
      <c r="L96" s="85"/>
      <c r="M96" s="85"/>
      <c r="N96" s="85"/>
      <c r="O96" s="85"/>
      <c r="P96" s="85"/>
      <c r="Q96" s="85"/>
      <c r="R96" s="85"/>
      <c r="S96" s="85"/>
      <c r="U96" s="1"/>
      <c r="V96" s="85"/>
      <c r="W96" s="85"/>
      <c r="X96" s="85"/>
      <c r="Y96" s="85"/>
      <c r="Z96" s="85"/>
      <c r="AA96" s="85"/>
      <c r="AB96" s="1"/>
      <c r="AD96" s="3"/>
      <c r="AM96" s="85">
        <v>92</v>
      </c>
      <c r="AN96" s="128">
        <v>5</v>
      </c>
      <c r="AO96" s="128">
        <v>5</v>
      </c>
      <c r="AP96" s="128">
        <v>4</v>
      </c>
      <c r="AQ96" s="128">
        <v>4</v>
      </c>
      <c r="AR96" s="128">
        <v>5</v>
      </c>
      <c r="AS96" s="85" t="s">
        <v>30</v>
      </c>
      <c r="AT96" s="106">
        <v>45442.630486111113</v>
      </c>
      <c r="AV96" s="3"/>
    </row>
    <row r="97" spans="3:48" ht="15.6" x14ac:dyDescent="0.3">
      <c r="C97" s="85">
        <v>93</v>
      </c>
      <c r="D97" s="85"/>
      <c r="E97" s="85"/>
      <c r="F97" s="85"/>
      <c r="G97" s="85"/>
      <c r="H97" s="85"/>
      <c r="I97" s="85" t="s">
        <v>51</v>
      </c>
      <c r="J97" s="85"/>
      <c r="K97" s="3"/>
      <c r="L97" s="85"/>
      <c r="M97" s="85"/>
      <c r="N97" s="85"/>
      <c r="O97" s="85"/>
      <c r="P97" s="85"/>
      <c r="Q97" s="85"/>
      <c r="R97" s="85"/>
      <c r="S97" s="85"/>
      <c r="U97" s="1"/>
      <c r="V97" s="85"/>
      <c r="W97" s="85"/>
      <c r="X97" s="85"/>
      <c r="Y97" s="85"/>
      <c r="Z97" s="85"/>
      <c r="AA97" s="85"/>
      <c r="AB97" s="1"/>
      <c r="AD97" s="3"/>
      <c r="AM97" s="85">
        <v>93</v>
      </c>
      <c r="AN97" s="128">
        <v>5</v>
      </c>
      <c r="AO97" s="128">
        <v>5</v>
      </c>
      <c r="AP97" s="128">
        <v>5</v>
      </c>
      <c r="AQ97" s="128">
        <v>5</v>
      </c>
      <c r="AR97" s="128">
        <v>5</v>
      </c>
      <c r="AS97" s="85" t="s">
        <v>30</v>
      </c>
      <c r="AT97" s="106">
        <v>45442.643773148149</v>
      </c>
      <c r="AV97" s="3"/>
    </row>
    <row r="98" spans="3:48" ht="15.6" x14ac:dyDescent="0.3">
      <c r="C98" s="85">
        <v>94</v>
      </c>
      <c r="D98" s="85"/>
      <c r="E98" s="85"/>
      <c r="F98" s="85"/>
      <c r="G98" s="85"/>
      <c r="H98" s="85"/>
      <c r="I98" s="85" t="s">
        <v>51</v>
      </c>
      <c r="J98" s="85"/>
      <c r="K98" s="3"/>
      <c r="L98" s="85"/>
      <c r="M98" s="85"/>
      <c r="N98" s="85"/>
      <c r="O98" s="85"/>
      <c r="P98" s="85"/>
      <c r="Q98" s="85"/>
      <c r="R98" s="85"/>
      <c r="S98" s="85"/>
      <c r="U98" s="1"/>
      <c r="V98" s="85"/>
      <c r="W98" s="85"/>
      <c r="X98" s="85"/>
      <c r="Y98" s="85"/>
      <c r="Z98" s="85"/>
      <c r="AA98" s="85"/>
      <c r="AB98" s="1"/>
      <c r="AD98" s="3"/>
      <c r="AM98" s="85">
        <v>94</v>
      </c>
      <c r="AN98" s="128">
        <v>5</v>
      </c>
      <c r="AO98" s="128">
        <v>5</v>
      </c>
      <c r="AP98" s="128">
        <v>5</v>
      </c>
      <c r="AQ98" s="128">
        <v>5</v>
      </c>
      <c r="AR98" s="128">
        <v>5</v>
      </c>
      <c r="AS98" s="85" t="s">
        <v>30</v>
      </c>
      <c r="AT98" s="106">
        <v>45442.669953703706</v>
      </c>
      <c r="AV98" s="3"/>
    </row>
    <row r="99" spans="3:48" ht="15.6" x14ac:dyDescent="0.3">
      <c r="C99" s="85">
        <v>95</v>
      </c>
      <c r="D99" s="85"/>
      <c r="E99" s="85"/>
      <c r="F99" s="85"/>
      <c r="G99" s="85"/>
      <c r="H99" s="85"/>
      <c r="I99" s="85" t="s">
        <v>51</v>
      </c>
      <c r="J99" s="85"/>
      <c r="K99" s="3"/>
      <c r="L99" s="85"/>
      <c r="M99" s="85"/>
      <c r="N99" s="85"/>
      <c r="O99" s="85"/>
      <c r="P99" s="85"/>
      <c r="Q99" s="85"/>
      <c r="R99" s="85"/>
      <c r="S99" s="85"/>
      <c r="U99" s="1"/>
      <c r="V99" s="85"/>
      <c r="W99" s="85"/>
      <c r="X99" s="85"/>
      <c r="Y99" s="85"/>
      <c r="Z99" s="85"/>
      <c r="AA99" s="85"/>
      <c r="AB99" s="1"/>
      <c r="AD99" s="3"/>
      <c r="AM99" s="85">
        <v>95</v>
      </c>
      <c r="AN99" s="128">
        <v>5</v>
      </c>
      <c r="AO99" s="128">
        <v>5</v>
      </c>
      <c r="AP99" s="128">
        <v>5</v>
      </c>
      <c r="AQ99" s="128">
        <v>3</v>
      </c>
      <c r="AR99" s="128">
        <v>3</v>
      </c>
      <c r="AS99" s="85" t="s">
        <v>30</v>
      </c>
      <c r="AT99" s="106">
        <v>45443.615023148152</v>
      </c>
      <c r="AV99" s="3"/>
    </row>
    <row r="100" spans="3:48" ht="15.6" x14ac:dyDescent="0.3">
      <c r="C100" s="85"/>
      <c r="D100" s="85"/>
      <c r="E100" s="85"/>
      <c r="F100" s="85"/>
      <c r="G100" s="85"/>
      <c r="H100" s="85"/>
      <c r="I100" s="85"/>
      <c r="J100" s="85"/>
      <c r="K100" s="3"/>
      <c r="L100" s="85"/>
      <c r="M100" s="85"/>
      <c r="N100" s="85"/>
      <c r="O100" s="85"/>
      <c r="P100" s="85"/>
      <c r="Q100" s="85"/>
      <c r="R100" s="85"/>
      <c r="S100" s="85"/>
      <c r="U100" s="1"/>
      <c r="V100" s="85"/>
      <c r="W100" s="85"/>
      <c r="X100" s="85"/>
      <c r="Y100" s="85"/>
      <c r="Z100" s="85"/>
      <c r="AA100" s="85"/>
      <c r="AB100" s="1"/>
      <c r="AD100" s="3"/>
      <c r="AM100" s="85">
        <v>96</v>
      </c>
      <c r="AN100" s="128">
        <v>5</v>
      </c>
      <c r="AO100" s="128">
        <v>4</v>
      </c>
      <c r="AP100" s="128">
        <v>5</v>
      </c>
      <c r="AQ100" s="128">
        <v>4</v>
      </c>
      <c r="AR100" s="128">
        <v>3</v>
      </c>
      <c r="AS100" s="85" t="s">
        <v>30</v>
      </c>
      <c r="AT100" s="106">
        <v>45443.63685185185</v>
      </c>
      <c r="AV100" s="3"/>
    </row>
    <row r="101" spans="3:48" ht="15.6" x14ac:dyDescent="0.3">
      <c r="C101" s="85"/>
      <c r="D101" s="85"/>
      <c r="E101" s="85"/>
      <c r="F101" s="85"/>
      <c r="G101" s="85"/>
      <c r="H101" s="85"/>
      <c r="I101" s="85"/>
      <c r="J101" s="85"/>
      <c r="K101" s="3"/>
      <c r="L101" s="85"/>
      <c r="M101" s="85"/>
      <c r="N101" s="85"/>
      <c r="O101" s="85"/>
      <c r="P101" s="85"/>
      <c r="Q101" s="85"/>
      <c r="R101" s="85"/>
      <c r="S101" s="85"/>
      <c r="U101" s="1"/>
      <c r="V101" s="85"/>
      <c r="W101" s="85"/>
      <c r="X101" s="85"/>
      <c r="Y101" s="85"/>
      <c r="Z101" s="85"/>
      <c r="AA101" s="85"/>
      <c r="AB101" s="1"/>
      <c r="AD101" s="3"/>
      <c r="AM101" s="85">
        <v>97</v>
      </c>
      <c r="AN101" s="128">
        <v>4</v>
      </c>
      <c r="AO101" s="128">
        <v>4</v>
      </c>
      <c r="AP101" s="128">
        <v>4</v>
      </c>
      <c r="AQ101" s="128">
        <v>3</v>
      </c>
      <c r="AR101" s="128">
        <v>4</v>
      </c>
      <c r="AS101" s="85" t="s">
        <v>30</v>
      </c>
      <c r="AT101" s="106">
        <v>45443.657118055555</v>
      </c>
      <c r="AV101" s="3"/>
    </row>
    <row r="102" spans="3:48" x14ac:dyDescent="0.3">
      <c r="C102" s="85"/>
      <c r="D102" s="85"/>
      <c r="E102" s="85"/>
      <c r="F102" s="85"/>
      <c r="G102" s="85"/>
      <c r="H102" s="85"/>
      <c r="I102" s="85"/>
      <c r="J102" s="85"/>
      <c r="K102" s="3"/>
      <c r="L102" s="85"/>
      <c r="M102" s="85"/>
      <c r="N102" s="85"/>
      <c r="O102" s="85"/>
      <c r="P102" s="85"/>
      <c r="Q102" s="85"/>
      <c r="R102" s="85"/>
      <c r="S102" s="85"/>
      <c r="U102" s="1"/>
      <c r="V102" s="85"/>
      <c r="W102" s="85"/>
      <c r="X102" s="85"/>
      <c r="Y102" s="85"/>
      <c r="Z102" s="85"/>
      <c r="AA102" s="85"/>
      <c r="AB102" s="1"/>
      <c r="AD102" s="3"/>
      <c r="AM102" s="86"/>
      <c r="AN102" s="85"/>
      <c r="AO102" s="85"/>
      <c r="AP102" s="85"/>
      <c r="AQ102" s="85"/>
      <c r="AR102" s="85"/>
      <c r="AS102" s="85"/>
      <c r="AT102" s="21"/>
      <c r="AV102" s="3"/>
    </row>
    <row r="103" spans="3:48" x14ac:dyDescent="0.3">
      <c r="C103" s="85"/>
      <c r="D103" s="85"/>
      <c r="E103" s="85"/>
      <c r="F103" s="85"/>
      <c r="G103" s="85"/>
      <c r="H103" s="85"/>
      <c r="I103" s="85"/>
      <c r="J103" s="85"/>
      <c r="K103" s="3"/>
      <c r="L103" s="85"/>
      <c r="M103" s="85"/>
      <c r="N103" s="85"/>
      <c r="O103" s="85"/>
      <c r="P103" s="85"/>
      <c r="Q103" s="85"/>
      <c r="R103" s="85"/>
      <c r="S103" s="85"/>
      <c r="U103" s="1"/>
      <c r="V103" s="85"/>
      <c r="W103" s="85"/>
      <c r="X103" s="85"/>
      <c r="Y103" s="85"/>
      <c r="Z103" s="85"/>
      <c r="AA103" s="85"/>
      <c r="AB103" s="1"/>
      <c r="AD103" s="3"/>
      <c r="AM103" s="86"/>
      <c r="AN103" s="85"/>
      <c r="AO103" s="85"/>
      <c r="AP103" s="85"/>
      <c r="AQ103" s="85"/>
      <c r="AR103" s="85"/>
      <c r="AS103" s="85"/>
      <c r="AT103" s="21"/>
      <c r="AV103" s="3"/>
    </row>
    <row r="104" spans="3:48" x14ac:dyDescent="0.3">
      <c r="C104" s="85"/>
      <c r="D104" s="85"/>
      <c r="E104" s="85"/>
      <c r="F104" s="85"/>
      <c r="G104" s="85"/>
      <c r="H104" s="85"/>
      <c r="I104" s="85"/>
      <c r="J104" s="85"/>
      <c r="K104" s="3"/>
      <c r="L104" s="85"/>
      <c r="M104" s="85"/>
      <c r="N104" s="85"/>
      <c r="O104" s="85"/>
      <c r="P104" s="85"/>
      <c r="Q104" s="85"/>
      <c r="R104" s="85"/>
      <c r="S104" s="85"/>
      <c r="U104" s="1"/>
      <c r="V104" s="85"/>
      <c r="W104" s="85"/>
      <c r="X104" s="85"/>
      <c r="Y104" s="85"/>
      <c r="Z104" s="85"/>
      <c r="AA104" s="85"/>
      <c r="AB104" s="1"/>
      <c r="AD104" s="3"/>
      <c r="AM104" s="86"/>
      <c r="AN104" s="85"/>
      <c r="AO104" s="85"/>
      <c r="AP104" s="85"/>
      <c r="AQ104" s="85"/>
      <c r="AR104" s="85"/>
      <c r="AS104" s="85"/>
      <c r="AT104" s="21"/>
      <c r="AV104" s="3"/>
    </row>
    <row r="105" spans="3:48" x14ac:dyDescent="0.3">
      <c r="C105" s="85"/>
      <c r="D105" s="85"/>
      <c r="E105" s="85"/>
      <c r="F105" s="85"/>
      <c r="G105" s="85"/>
      <c r="H105" s="85"/>
      <c r="I105" s="85"/>
      <c r="J105" s="85"/>
      <c r="K105" s="3"/>
      <c r="L105" s="85"/>
      <c r="M105" s="85"/>
      <c r="N105" s="85"/>
      <c r="O105" s="85"/>
      <c r="P105" s="85"/>
      <c r="Q105" s="85"/>
      <c r="R105" s="85"/>
      <c r="S105" s="85"/>
      <c r="U105" s="1"/>
      <c r="V105" s="85"/>
      <c r="W105" s="85"/>
      <c r="X105" s="85"/>
      <c r="Y105" s="85"/>
      <c r="Z105" s="85"/>
      <c r="AA105" s="85"/>
      <c r="AB105" s="1"/>
      <c r="AD105" s="3"/>
      <c r="AM105" s="86"/>
      <c r="AN105" s="85"/>
      <c r="AO105" s="85"/>
      <c r="AP105" s="85"/>
      <c r="AQ105" s="85"/>
      <c r="AR105" s="85"/>
      <c r="AS105" s="85"/>
      <c r="AT105" s="21"/>
      <c r="AV105" s="3"/>
    </row>
    <row r="106" spans="3:48" x14ac:dyDescent="0.3">
      <c r="C106" s="85"/>
      <c r="D106" s="85"/>
      <c r="E106" s="85"/>
      <c r="F106" s="85"/>
      <c r="G106" s="85"/>
      <c r="H106" s="85"/>
      <c r="I106" s="85"/>
      <c r="J106" s="85"/>
      <c r="K106" s="3"/>
      <c r="L106" s="85"/>
      <c r="M106" s="85"/>
      <c r="N106" s="85"/>
      <c r="O106" s="85"/>
      <c r="P106" s="85"/>
      <c r="Q106" s="85"/>
      <c r="R106" s="85"/>
      <c r="S106" s="85"/>
      <c r="U106" s="1"/>
      <c r="V106" s="85"/>
      <c r="W106" s="85"/>
      <c r="X106" s="85"/>
      <c r="Y106" s="85"/>
      <c r="Z106" s="85"/>
      <c r="AA106" s="85"/>
      <c r="AB106" s="1"/>
      <c r="AD106" s="3"/>
      <c r="AM106" s="86"/>
      <c r="AN106" s="85"/>
      <c r="AO106" s="85"/>
      <c r="AP106" s="85"/>
      <c r="AQ106" s="85"/>
      <c r="AR106" s="85"/>
      <c r="AS106" s="85"/>
      <c r="AT106" s="21"/>
      <c r="AV106" s="3"/>
    </row>
    <row r="107" spans="3:48" x14ac:dyDescent="0.3">
      <c r="C107" s="85"/>
      <c r="D107" s="85"/>
      <c r="E107" s="85"/>
      <c r="F107" s="85"/>
      <c r="G107" s="85"/>
      <c r="H107" s="85"/>
      <c r="I107" s="85"/>
      <c r="J107" s="85"/>
      <c r="K107" s="3"/>
      <c r="L107" s="85"/>
      <c r="M107" s="85"/>
      <c r="N107" s="85"/>
      <c r="O107" s="85"/>
      <c r="P107" s="85"/>
      <c r="Q107" s="85"/>
      <c r="R107" s="85"/>
      <c r="S107" s="85"/>
      <c r="U107" s="1"/>
      <c r="V107" s="85"/>
      <c r="W107" s="85"/>
      <c r="X107" s="85"/>
      <c r="Y107" s="85"/>
      <c r="Z107" s="85"/>
      <c r="AA107" s="85"/>
      <c r="AB107" s="1"/>
      <c r="AD107" s="3"/>
      <c r="AM107" s="86"/>
      <c r="AN107" s="85"/>
      <c r="AO107" s="85"/>
      <c r="AP107" s="85"/>
      <c r="AQ107" s="85"/>
      <c r="AR107" s="85"/>
      <c r="AS107" s="85"/>
      <c r="AT107" s="21"/>
      <c r="AV107" s="3"/>
    </row>
    <row r="108" spans="3:48" x14ac:dyDescent="0.3">
      <c r="C108" s="85"/>
      <c r="D108" s="85"/>
      <c r="E108" s="85"/>
      <c r="F108" s="85"/>
      <c r="G108" s="85"/>
      <c r="H108" s="85"/>
      <c r="I108" s="85"/>
      <c r="J108" s="85"/>
      <c r="K108" s="3"/>
      <c r="L108" s="85"/>
      <c r="M108" s="85"/>
      <c r="N108" s="85"/>
      <c r="O108" s="85"/>
      <c r="P108" s="85"/>
      <c r="Q108" s="85"/>
      <c r="R108" s="85"/>
      <c r="S108" s="85"/>
      <c r="U108" s="1"/>
      <c r="V108" s="85"/>
      <c r="W108" s="85"/>
      <c r="X108" s="85"/>
      <c r="Y108" s="85"/>
      <c r="Z108" s="85"/>
      <c r="AA108" s="85"/>
      <c r="AB108" s="1"/>
      <c r="AD108" s="3"/>
      <c r="AM108" s="86"/>
      <c r="AN108" s="85"/>
      <c r="AO108" s="85"/>
      <c r="AP108" s="85"/>
      <c r="AQ108" s="85"/>
      <c r="AR108" s="85"/>
      <c r="AS108" s="85"/>
      <c r="AT108" s="21"/>
      <c r="AV108" s="3"/>
    </row>
    <row r="109" spans="3:48" x14ac:dyDescent="0.3">
      <c r="C109" s="85"/>
      <c r="D109" s="85"/>
      <c r="E109" s="85"/>
      <c r="F109" s="85"/>
      <c r="G109" s="85"/>
      <c r="H109" s="85"/>
      <c r="I109" s="85"/>
      <c r="J109" s="85"/>
      <c r="K109" s="3"/>
      <c r="L109" s="85"/>
      <c r="M109" s="85"/>
      <c r="N109" s="85"/>
      <c r="O109" s="85"/>
      <c r="P109" s="85"/>
      <c r="Q109" s="85"/>
      <c r="R109" s="85"/>
      <c r="S109" s="85"/>
      <c r="U109" s="1"/>
      <c r="V109" s="85"/>
      <c r="W109" s="85"/>
      <c r="X109" s="85"/>
      <c r="Y109" s="85"/>
      <c r="Z109" s="85"/>
      <c r="AA109" s="85"/>
      <c r="AB109" s="1"/>
      <c r="AD109" s="3"/>
      <c r="AM109" s="86"/>
      <c r="AN109" s="85"/>
      <c r="AO109" s="85"/>
      <c r="AP109" s="85"/>
      <c r="AQ109" s="85"/>
      <c r="AR109" s="85"/>
      <c r="AS109" s="85"/>
      <c r="AT109" s="21"/>
      <c r="AV109" s="3"/>
    </row>
    <row r="110" spans="3:48" x14ac:dyDescent="0.3">
      <c r="C110" s="85"/>
      <c r="D110" s="85"/>
      <c r="E110" s="85"/>
      <c r="F110" s="85"/>
      <c r="G110" s="85"/>
      <c r="H110" s="85"/>
      <c r="I110" s="85"/>
      <c r="J110" s="85"/>
      <c r="K110" s="3"/>
      <c r="L110" s="85"/>
      <c r="M110" s="85"/>
      <c r="N110" s="85"/>
      <c r="O110" s="85"/>
      <c r="P110" s="85"/>
      <c r="Q110" s="85"/>
      <c r="R110" s="85"/>
      <c r="S110" s="85"/>
      <c r="U110" s="1"/>
      <c r="V110" s="85"/>
      <c r="W110" s="85"/>
      <c r="X110" s="85"/>
      <c r="Y110" s="85"/>
      <c r="Z110" s="85"/>
      <c r="AA110" s="85"/>
      <c r="AB110" s="1"/>
      <c r="AD110" s="3"/>
      <c r="AM110" s="86"/>
      <c r="AN110" s="85"/>
      <c r="AO110" s="85"/>
      <c r="AP110" s="85"/>
      <c r="AQ110" s="85"/>
      <c r="AR110" s="85"/>
      <c r="AS110" s="85"/>
      <c r="AT110" s="21"/>
      <c r="AV110" s="3"/>
    </row>
    <row r="111" spans="3:48" x14ac:dyDescent="0.3">
      <c r="C111" s="85"/>
      <c r="D111" s="85"/>
      <c r="E111" s="85"/>
      <c r="F111" s="85"/>
      <c r="G111" s="85"/>
      <c r="H111" s="85"/>
      <c r="I111" s="85"/>
      <c r="J111" s="85"/>
      <c r="K111" s="3"/>
      <c r="L111" s="85"/>
      <c r="M111" s="85"/>
      <c r="N111" s="85"/>
      <c r="O111" s="85"/>
      <c r="P111" s="85"/>
      <c r="Q111" s="85"/>
      <c r="R111" s="85"/>
      <c r="S111" s="85"/>
      <c r="U111" s="1"/>
      <c r="V111" s="85"/>
      <c r="W111" s="85"/>
      <c r="X111" s="85"/>
      <c r="Y111" s="85"/>
      <c r="Z111" s="85"/>
      <c r="AA111" s="85"/>
      <c r="AB111" s="1"/>
      <c r="AD111" s="3"/>
      <c r="AM111" s="86"/>
      <c r="AN111" s="85"/>
      <c r="AO111" s="85"/>
      <c r="AP111" s="85"/>
      <c r="AQ111" s="85"/>
      <c r="AR111" s="85"/>
      <c r="AS111" s="85"/>
      <c r="AT111" s="21"/>
      <c r="AV111" s="3"/>
    </row>
    <row r="112" spans="3:48" x14ac:dyDescent="0.3">
      <c r="C112" s="85"/>
      <c r="D112" s="85"/>
      <c r="E112" s="85"/>
      <c r="F112" s="85"/>
      <c r="G112" s="85"/>
      <c r="H112" s="85"/>
      <c r="I112" s="85"/>
      <c r="J112" s="85"/>
      <c r="K112" s="3"/>
      <c r="L112" s="85"/>
      <c r="M112" s="85"/>
      <c r="N112" s="85"/>
      <c r="O112" s="85"/>
      <c r="P112" s="85"/>
      <c r="Q112" s="85"/>
      <c r="R112" s="85"/>
      <c r="S112" s="85"/>
      <c r="U112" s="1"/>
      <c r="V112" s="85"/>
      <c r="W112" s="85"/>
      <c r="X112" s="85"/>
      <c r="Y112" s="85"/>
      <c r="Z112" s="85"/>
      <c r="AA112" s="85"/>
      <c r="AB112" s="1"/>
      <c r="AD112" s="3"/>
      <c r="AM112" s="86"/>
      <c r="AN112" s="85"/>
      <c r="AO112" s="85"/>
      <c r="AP112" s="85"/>
      <c r="AQ112" s="85"/>
      <c r="AR112" s="85"/>
      <c r="AS112" s="85"/>
      <c r="AT112" s="21"/>
      <c r="AV112" s="3"/>
    </row>
    <row r="113" spans="3:48" x14ac:dyDescent="0.3">
      <c r="C113" s="85"/>
      <c r="D113" s="85"/>
      <c r="E113" s="85"/>
      <c r="F113" s="85"/>
      <c r="G113" s="85"/>
      <c r="H113" s="85"/>
      <c r="I113" s="85"/>
      <c r="J113" s="85"/>
      <c r="K113" s="3"/>
      <c r="L113" s="85"/>
      <c r="M113" s="85"/>
      <c r="N113" s="85"/>
      <c r="O113" s="85"/>
      <c r="P113" s="85"/>
      <c r="Q113" s="85"/>
      <c r="R113" s="85"/>
      <c r="S113" s="85"/>
      <c r="U113" s="1"/>
      <c r="V113" s="85"/>
      <c r="W113" s="85"/>
      <c r="X113" s="85"/>
      <c r="Y113" s="85"/>
      <c r="Z113" s="85"/>
      <c r="AA113" s="85"/>
      <c r="AB113" s="1"/>
      <c r="AD113" s="3"/>
      <c r="AM113" s="86"/>
      <c r="AN113" s="85"/>
      <c r="AO113" s="85"/>
      <c r="AP113" s="85"/>
      <c r="AQ113" s="85"/>
      <c r="AR113" s="85"/>
      <c r="AS113" s="85"/>
      <c r="AT113" s="21"/>
      <c r="AV113" s="3"/>
    </row>
    <row r="114" spans="3:48" x14ac:dyDescent="0.3">
      <c r="C114" s="85"/>
      <c r="D114" s="85"/>
      <c r="E114" s="85"/>
      <c r="F114" s="85"/>
      <c r="G114" s="85"/>
      <c r="H114" s="85"/>
      <c r="I114" s="85"/>
      <c r="J114" s="85"/>
      <c r="K114" s="3"/>
      <c r="L114" s="85"/>
      <c r="M114" s="85"/>
      <c r="N114" s="85"/>
      <c r="O114" s="85"/>
      <c r="P114" s="85"/>
      <c r="Q114" s="85"/>
      <c r="R114" s="85"/>
      <c r="S114" s="85"/>
      <c r="U114" s="1"/>
      <c r="V114" s="85"/>
      <c r="W114" s="85"/>
      <c r="X114" s="85"/>
      <c r="Y114" s="85"/>
      <c r="Z114" s="85"/>
      <c r="AA114" s="85"/>
      <c r="AB114" s="1"/>
      <c r="AD114" s="3"/>
      <c r="AM114" s="86"/>
      <c r="AN114" s="85"/>
      <c r="AO114" s="85"/>
      <c r="AP114" s="85"/>
      <c r="AQ114" s="85"/>
      <c r="AR114" s="85"/>
      <c r="AS114" s="85"/>
      <c r="AT114" s="21"/>
      <c r="AV114" s="3"/>
    </row>
    <row r="115" spans="3:48" x14ac:dyDescent="0.3">
      <c r="C115" s="85"/>
      <c r="D115" s="85"/>
      <c r="E115" s="85"/>
      <c r="F115" s="85"/>
      <c r="G115" s="85"/>
      <c r="H115" s="85"/>
      <c r="I115" s="85"/>
      <c r="J115" s="85"/>
      <c r="K115" s="3"/>
      <c r="L115" s="85"/>
      <c r="M115" s="85"/>
      <c r="N115" s="85"/>
      <c r="O115" s="85"/>
      <c r="P115" s="85"/>
      <c r="Q115" s="85"/>
      <c r="R115" s="85"/>
      <c r="S115" s="85"/>
      <c r="U115" s="1"/>
      <c r="V115" s="85"/>
      <c r="W115" s="85"/>
      <c r="X115" s="85"/>
      <c r="Y115" s="85"/>
      <c r="Z115" s="85"/>
      <c r="AA115" s="85"/>
      <c r="AB115" s="1"/>
      <c r="AD115" s="3"/>
      <c r="AM115" s="86"/>
      <c r="AN115" s="85"/>
      <c r="AO115" s="85"/>
      <c r="AP115" s="85"/>
      <c r="AQ115" s="85"/>
      <c r="AR115" s="85"/>
      <c r="AS115" s="85"/>
      <c r="AT115" s="21"/>
      <c r="AV115" s="3"/>
    </row>
    <row r="116" spans="3:48" x14ac:dyDescent="0.3">
      <c r="C116" s="85"/>
      <c r="D116" s="85"/>
      <c r="E116" s="85"/>
      <c r="F116" s="85"/>
      <c r="G116" s="85"/>
      <c r="H116" s="85"/>
      <c r="I116" s="85"/>
      <c r="J116" s="85"/>
      <c r="K116" s="3"/>
      <c r="L116" s="85"/>
      <c r="M116" s="85"/>
      <c r="N116" s="85"/>
      <c r="O116" s="85"/>
      <c r="P116" s="85"/>
      <c r="Q116" s="85"/>
      <c r="R116" s="85"/>
      <c r="S116" s="85"/>
      <c r="U116" s="1"/>
      <c r="V116" s="85"/>
      <c r="W116" s="85"/>
      <c r="X116" s="85"/>
      <c r="Y116" s="85"/>
      <c r="Z116" s="85"/>
      <c r="AA116" s="85"/>
      <c r="AB116" s="1"/>
      <c r="AD116" s="3"/>
      <c r="AM116" s="86"/>
      <c r="AN116" s="85"/>
      <c r="AO116" s="85"/>
      <c r="AP116" s="85"/>
      <c r="AQ116" s="85"/>
      <c r="AR116" s="85"/>
      <c r="AS116" s="85"/>
      <c r="AT116" s="21"/>
      <c r="AV116" s="3"/>
    </row>
    <row r="117" spans="3:48" x14ac:dyDescent="0.3">
      <c r="C117" s="85"/>
      <c r="D117" s="85"/>
      <c r="E117" s="85"/>
      <c r="F117" s="85"/>
      <c r="G117" s="85"/>
      <c r="H117" s="85"/>
      <c r="I117" s="85"/>
      <c r="J117" s="85"/>
      <c r="K117" s="3"/>
      <c r="L117" s="85"/>
      <c r="M117" s="85"/>
      <c r="N117" s="85"/>
      <c r="O117" s="85"/>
      <c r="P117" s="85"/>
      <c r="Q117" s="85"/>
      <c r="R117" s="85"/>
      <c r="S117" s="85"/>
      <c r="U117" s="1"/>
      <c r="V117" s="85"/>
      <c r="W117" s="85"/>
      <c r="X117" s="85"/>
      <c r="Y117" s="85"/>
      <c r="Z117" s="85"/>
      <c r="AA117" s="85"/>
      <c r="AB117" s="1"/>
      <c r="AD117" s="3"/>
      <c r="AM117" s="86"/>
      <c r="AN117" s="85"/>
      <c r="AO117" s="85"/>
      <c r="AP117" s="85"/>
      <c r="AQ117" s="85"/>
      <c r="AR117" s="85"/>
      <c r="AS117" s="85"/>
      <c r="AT117" s="21"/>
      <c r="AV117" s="3"/>
    </row>
    <row r="118" spans="3:48" x14ac:dyDescent="0.3">
      <c r="C118" s="85"/>
      <c r="D118" s="85"/>
      <c r="E118" s="85"/>
      <c r="F118" s="85"/>
      <c r="G118" s="85"/>
      <c r="H118" s="85"/>
      <c r="I118" s="85"/>
      <c r="J118" s="85"/>
      <c r="K118" s="3"/>
      <c r="L118" s="85"/>
      <c r="M118" s="85"/>
      <c r="N118" s="85"/>
      <c r="O118" s="85"/>
      <c r="P118" s="85"/>
      <c r="Q118" s="85"/>
      <c r="R118" s="85"/>
      <c r="S118" s="85"/>
      <c r="U118" s="1"/>
      <c r="V118" s="85"/>
      <c r="W118" s="85"/>
      <c r="X118" s="85"/>
      <c r="Y118" s="85"/>
      <c r="Z118" s="85"/>
      <c r="AA118" s="85"/>
      <c r="AB118" s="1"/>
      <c r="AD118" s="3"/>
      <c r="AM118" s="86"/>
      <c r="AN118" s="85"/>
      <c r="AO118" s="85"/>
      <c r="AP118" s="85"/>
      <c r="AQ118" s="85"/>
      <c r="AR118" s="85"/>
      <c r="AS118" s="85"/>
      <c r="AT118" s="21"/>
      <c r="AV118" s="3"/>
    </row>
    <row r="119" spans="3:48" x14ac:dyDescent="0.3">
      <c r="C119" s="85"/>
      <c r="D119" s="85"/>
      <c r="E119" s="85"/>
      <c r="F119" s="85"/>
      <c r="G119" s="85"/>
      <c r="H119" s="85"/>
      <c r="I119" s="85"/>
      <c r="J119" s="85"/>
      <c r="K119" s="3"/>
      <c r="L119" s="85"/>
      <c r="M119" s="85"/>
      <c r="N119" s="85"/>
      <c r="O119" s="85"/>
      <c r="P119" s="85"/>
      <c r="Q119" s="85"/>
      <c r="R119" s="85"/>
      <c r="S119" s="85"/>
      <c r="U119" s="1"/>
      <c r="V119" s="85"/>
      <c r="W119" s="85"/>
      <c r="X119" s="85"/>
      <c r="Y119" s="85"/>
      <c r="Z119" s="85"/>
      <c r="AA119" s="85"/>
      <c r="AB119" s="1"/>
      <c r="AD119" s="3"/>
      <c r="AM119" s="86"/>
      <c r="AN119" s="85"/>
      <c r="AO119" s="85"/>
      <c r="AP119" s="85"/>
      <c r="AQ119" s="85"/>
      <c r="AR119" s="85"/>
      <c r="AS119" s="85"/>
      <c r="AT119" s="21"/>
      <c r="AV119" s="3"/>
    </row>
    <row r="120" spans="3:48" x14ac:dyDescent="0.3">
      <c r="C120" s="85"/>
      <c r="D120" s="85"/>
      <c r="E120" s="85"/>
      <c r="F120" s="85"/>
      <c r="G120" s="85"/>
      <c r="H120" s="85"/>
      <c r="I120" s="85"/>
      <c r="J120" s="85"/>
      <c r="K120" s="3"/>
      <c r="L120" s="85"/>
      <c r="M120" s="85"/>
      <c r="N120" s="85"/>
      <c r="O120" s="85"/>
      <c r="P120" s="85"/>
      <c r="Q120" s="85"/>
      <c r="R120" s="85"/>
      <c r="S120" s="85"/>
      <c r="U120" s="1"/>
      <c r="V120" s="85"/>
      <c r="W120" s="85"/>
      <c r="X120" s="85"/>
      <c r="Y120" s="85"/>
      <c r="Z120" s="85"/>
      <c r="AA120" s="85"/>
      <c r="AB120" s="1"/>
      <c r="AD120" s="3"/>
      <c r="AM120" s="86"/>
      <c r="AN120" s="85"/>
      <c r="AO120" s="85"/>
      <c r="AP120" s="85"/>
      <c r="AQ120" s="85"/>
      <c r="AR120" s="85"/>
      <c r="AS120" s="85"/>
      <c r="AT120" s="21"/>
      <c r="AV120" s="3"/>
    </row>
    <row r="121" spans="3:48" x14ac:dyDescent="0.3">
      <c r="C121" s="85"/>
      <c r="D121" s="85"/>
      <c r="E121" s="85"/>
      <c r="F121" s="85"/>
      <c r="G121" s="85"/>
      <c r="H121" s="85"/>
      <c r="I121" s="85"/>
      <c r="J121" s="85"/>
      <c r="K121" s="3"/>
      <c r="L121" s="85"/>
      <c r="M121" s="85"/>
      <c r="N121" s="85"/>
      <c r="O121" s="85"/>
      <c r="P121" s="85"/>
      <c r="Q121" s="85"/>
      <c r="R121" s="85"/>
      <c r="S121" s="85"/>
      <c r="U121" s="1"/>
      <c r="V121" s="85"/>
      <c r="W121" s="85"/>
      <c r="X121" s="85"/>
      <c r="Y121" s="85"/>
      <c r="Z121" s="85"/>
      <c r="AA121" s="85"/>
      <c r="AB121" s="1"/>
      <c r="AD121" s="3"/>
      <c r="AM121" s="86"/>
      <c r="AN121" s="85"/>
      <c r="AO121" s="85"/>
      <c r="AP121" s="85"/>
      <c r="AQ121" s="85"/>
      <c r="AR121" s="85"/>
      <c r="AS121" s="85"/>
      <c r="AT121" s="21"/>
      <c r="AV121" s="3"/>
    </row>
    <row r="122" spans="3:48" x14ac:dyDescent="0.3">
      <c r="C122" s="85"/>
      <c r="D122" s="85"/>
      <c r="E122" s="85"/>
      <c r="F122" s="85"/>
      <c r="G122" s="85"/>
      <c r="H122" s="85"/>
      <c r="I122" s="85"/>
      <c r="J122" s="85"/>
      <c r="K122" s="3"/>
      <c r="L122" s="85"/>
      <c r="M122" s="85"/>
      <c r="N122" s="85"/>
      <c r="O122" s="85"/>
      <c r="P122" s="85"/>
      <c r="Q122" s="85"/>
      <c r="R122" s="85"/>
      <c r="S122" s="85"/>
      <c r="U122" s="1"/>
      <c r="V122" s="1"/>
      <c r="W122" s="1"/>
      <c r="X122" s="1"/>
      <c r="Y122" s="1"/>
      <c r="Z122" s="1"/>
      <c r="AA122" s="1"/>
      <c r="AB122" s="1"/>
      <c r="AD122" s="3"/>
      <c r="AM122" s="86"/>
      <c r="AN122" s="85"/>
      <c r="AO122" s="85"/>
      <c r="AP122" s="85"/>
      <c r="AQ122" s="85"/>
      <c r="AR122" s="85"/>
      <c r="AS122" s="85"/>
      <c r="AT122" s="21"/>
      <c r="AV122" s="3"/>
    </row>
    <row r="123" spans="3:48" x14ac:dyDescent="0.3">
      <c r="C123" s="85"/>
      <c r="D123" s="85"/>
      <c r="E123" s="85"/>
      <c r="F123" s="85"/>
      <c r="G123" s="85"/>
      <c r="H123" s="85"/>
      <c r="I123" s="85"/>
      <c r="J123" s="85"/>
      <c r="K123" s="3"/>
      <c r="L123" s="85"/>
      <c r="M123" s="85"/>
      <c r="N123" s="85"/>
      <c r="O123" s="85"/>
      <c r="P123" s="85"/>
      <c r="Q123" s="85"/>
      <c r="R123" s="85"/>
      <c r="S123" s="85"/>
      <c r="U123" s="1"/>
      <c r="V123" s="1"/>
      <c r="W123" s="1"/>
      <c r="X123" s="1"/>
      <c r="Y123" s="1"/>
      <c r="Z123" s="1"/>
      <c r="AA123" s="1"/>
      <c r="AB123" s="1"/>
      <c r="AD123" s="3"/>
      <c r="AM123" s="86"/>
      <c r="AN123" s="85"/>
      <c r="AO123" s="85"/>
      <c r="AP123" s="85"/>
      <c r="AQ123" s="85"/>
      <c r="AR123" s="85"/>
      <c r="AS123" s="85"/>
      <c r="AT123" s="21"/>
      <c r="AV123" s="3"/>
    </row>
    <row r="124" spans="3:48" x14ac:dyDescent="0.3">
      <c r="C124" s="85"/>
      <c r="D124" s="85"/>
      <c r="E124" s="85"/>
      <c r="F124" s="85"/>
      <c r="G124" s="85"/>
      <c r="H124" s="85"/>
      <c r="I124" s="85"/>
      <c r="J124" s="85"/>
      <c r="K124" s="3"/>
      <c r="L124" s="85"/>
      <c r="M124" s="85"/>
      <c r="N124" s="85"/>
      <c r="O124" s="85"/>
      <c r="P124" s="85"/>
      <c r="Q124" s="85"/>
      <c r="R124" s="85"/>
      <c r="S124" s="85"/>
      <c r="U124" s="1"/>
      <c r="V124" s="1"/>
      <c r="W124" s="1"/>
      <c r="X124" s="1"/>
      <c r="Y124" s="1"/>
      <c r="Z124" s="1"/>
      <c r="AA124" s="1"/>
      <c r="AB124" s="1"/>
      <c r="AD124" s="3"/>
      <c r="AM124" s="86"/>
      <c r="AN124" s="85"/>
      <c r="AO124" s="85"/>
      <c r="AP124" s="85"/>
      <c r="AQ124" s="85"/>
      <c r="AR124" s="85"/>
      <c r="AS124" s="85"/>
      <c r="AT124" s="21"/>
      <c r="AV124" s="3"/>
    </row>
    <row r="125" spans="3:48" x14ac:dyDescent="0.3">
      <c r="C125" s="85"/>
      <c r="D125" s="85"/>
      <c r="E125" s="85"/>
      <c r="F125" s="85"/>
      <c r="G125" s="85"/>
      <c r="H125" s="85"/>
      <c r="I125" s="85"/>
      <c r="J125" s="85"/>
      <c r="K125" s="3"/>
      <c r="L125" s="85"/>
      <c r="M125" s="85"/>
      <c r="N125" s="85"/>
      <c r="O125" s="85"/>
      <c r="P125" s="85"/>
      <c r="Q125" s="85"/>
      <c r="R125" s="85"/>
      <c r="S125" s="85"/>
      <c r="U125" s="1"/>
      <c r="V125" s="1"/>
      <c r="W125" s="1"/>
      <c r="X125" s="1"/>
      <c r="Y125" s="1"/>
      <c r="Z125" s="1"/>
      <c r="AA125" s="1"/>
      <c r="AB125" s="1"/>
      <c r="AD125" s="3"/>
      <c r="AM125" s="86"/>
      <c r="AN125" s="85"/>
      <c r="AO125" s="85"/>
      <c r="AP125" s="85"/>
      <c r="AQ125" s="85"/>
      <c r="AR125" s="85"/>
      <c r="AS125" s="85"/>
      <c r="AT125" s="21"/>
      <c r="AV125" s="3"/>
    </row>
    <row r="126" spans="3:48" x14ac:dyDescent="0.3">
      <c r="C126" s="85"/>
      <c r="D126" s="85"/>
      <c r="E126" s="85"/>
      <c r="F126" s="85"/>
      <c r="G126" s="85"/>
      <c r="H126" s="85"/>
      <c r="I126" s="85"/>
      <c r="J126" s="85"/>
      <c r="K126" s="3"/>
      <c r="L126" s="85"/>
      <c r="M126" s="85"/>
      <c r="N126" s="85"/>
      <c r="O126" s="85"/>
      <c r="P126" s="85"/>
      <c r="Q126" s="85"/>
      <c r="R126" s="85"/>
      <c r="S126" s="85"/>
      <c r="U126" s="1"/>
      <c r="V126" s="1"/>
      <c r="W126" s="1"/>
      <c r="X126" s="1"/>
      <c r="Y126" s="1"/>
      <c r="Z126" s="1"/>
      <c r="AA126" s="1"/>
      <c r="AB126" s="1"/>
      <c r="AD126" s="3"/>
      <c r="AM126" s="86"/>
      <c r="AN126" s="85"/>
      <c r="AO126" s="85"/>
      <c r="AP126" s="85"/>
      <c r="AQ126" s="85"/>
      <c r="AR126" s="85"/>
      <c r="AS126" s="85"/>
      <c r="AT126" s="21"/>
      <c r="AV126" s="3"/>
    </row>
    <row r="127" spans="3:48" x14ac:dyDescent="0.3">
      <c r="C127" s="85"/>
      <c r="D127" s="85"/>
      <c r="E127" s="85"/>
      <c r="F127" s="85"/>
      <c r="G127" s="85"/>
      <c r="H127" s="85"/>
      <c r="I127" s="85"/>
      <c r="J127" s="85"/>
      <c r="K127" s="3"/>
      <c r="L127" s="85"/>
      <c r="M127" s="85"/>
      <c r="N127" s="85"/>
      <c r="O127" s="85"/>
      <c r="P127" s="85"/>
      <c r="Q127" s="85"/>
      <c r="R127" s="85"/>
      <c r="S127" s="85"/>
      <c r="U127" s="1"/>
      <c r="V127" s="1"/>
      <c r="W127" s="1"/>
      <c r="X127" s="1"/>
      <c r="Y127" s="1"/>
      <c r="Z127" s="1"/>
      <c r="AA127" s="1"/>
      <c r="AB127" s="1"/>
      <c r="AD127" s="3"/>
      <c r="AM127" s="86"/>
      <c r="AN127" s="85"/>
      <c r="AO127" s="85"/>
      <c r="AP127" s="85"/>
      <c r="AQ127" s="85"/>
      <c r="AR127" s="85"/>
      <c r="AS127" s="85"/>
      <c r="AT127" s="21"/>
      <c r="AV127" s="3"/>
    </row>
    <row r="128" spans="3:48" x14ac:dyDescent="0.3">
      <c r="C128" s="85"/>
      <c r="D128" s="85"/>
      <c r="E128" s="85"/>
      <c r="F128" s="85"/>
      <c r="G128" s="85"/>
      <c r="H128" s="85"/>
      <c r="I128" s="85"/>
      <c r="J128" s="85"/>
      <c r="K128" s="3"/>
      <c r="L128" s="85"/>
      <c r="M128" s="85"/>
      <c r="N128" s="85"/>
      <c r="O128" s="85"/>
      <c r="P128" s="85"/>
      <c r="Q128" s="85"/>
      <c r="R128" s="85"/>
      <c r="S128" s="85"/>
      <c r="U128" s="1"/>
      <c r="V128" s="1"/>
      <c r="W128" s="1"/>
      <c r="X128" s="1"/>
      <c r="Y128" s="1"/>
      <c r="Z128" s="1"/>
      <c r="AA128" s="1"/>
      <c r="AB128" s="1"/>
      <c r="AD128" s="3"/>
      <c r="AM128" s="86"/>
      <c r="AN128" s="85"/>
      <c r="AO128" s="85"/>
      <c r="AP128" s="85"/>
      <c r="AQ128" s="85"/>
      <c r="AR128" s="85"/>
      <c r="AS128" s="85"/>
      <c r="AT128" s="21"/>
      <c r="AV128" s="3"/>
    </row>
    <row r="129" spans="3:48" x14ac:dyDescent="0.3">
      <c r="C129" s="85"/>
      <c r="D129" s="85"/>
      <c r="E129" s="85"/>
      <c r="F129" s="85"/>
      <c r="G129" s="85"/>
      <c r="H129" s="85"/>
      <c r="I129" s="85"/>
      <c r="J129" s="85"/>
      <c r="K129" s="3"/>
      <c r="L129" s="85"/>
      <c r="M129" s="85"/>
      <c r="N129" s="85"/>
      <c r="O129" s="85"/>
      <c r="P129" s="85"/>
      <c r="Q129" s="85"/>
      <c r="R129" s="85"/>
      <c r="S129" s="85"/>
      <c r="U129" s="1"/>
      <c r="V129" s="1"/>
      <c r="W129" s="1"/>
      <c r="X129" s="1"/>
      <c r="Y129" s="1"/>
      <c r="Z129" s="1"/>
      <c r="AA129" s="1"/>
      <c r="AB129" s="1"/>
      <c r="AD129" s="3"/>
      <c r="AM129" s="86"/>
      <c r="AN129" s="85"/>
      <c r="AO129" s="85"/>
      <c r="AP129" s="85"/>
      <c r="AQ129" s="85"/>
      <c r="AR129" s="85"/>
      <c r="AS129" s="85"/>
      <c r="AT129" s="21"/>
      <c r="AV129" s="3"/>
    </row>
    <row r="130" spans="3:48" x14ac:dyDescent="0.3">
      <c r="C130" s="85"/>
      <c r="D130" s="85"/>
      <c r="E130" s="85"/>
      <c r="F130" s="85"/>
      <c r="G130" s="85"/>
      <c r="H130" s="85"/>
      <c r="I130" s="85"/>
      <c r="J130" s="85"/>
      <c r="K130" s="3"/>
      <c r="L130" s="85"/>
      <c r="M130" s="85"/>
      <c r="N130" s="85"/>
      <c r="O130" s="85"/>
      <c r="P130" s="85"/>
      <c r="Q130" s="85"/>
      <c r="R130" s="85"/>
      <c r="S130" s="85"/>
      <c r="U130" s="1"/>
      <c r="V130" s="1"/>
      <c r="W130" s="1"/>
      <c r="X130" s="1"/>
      <c r="Y130" s="1"/>
      <c r="Z130" s="1"/>
      <c r="AA130" s="1"/>
      <c r="AB130" s="1"/>
      <c r="AD130" s="3"/>
      <c r="AM130" s="86"/>
      <c r="AN130" s="85"/>
      <c r="AO130" s="85"/>
      <c r="AP130" s="85"/>
      <c r="AQ130" s="85"/>
      <c r="AR130" s="85"/>
      <c r="AS130" s="85"/>
      <c r="AT130" s="21"/>
      <c r="AV130" s="3"/>
    </row>
    <row r="131" spans="3:48" x14ac:dyDescent="0.3">
      <c r="C131" s="85"/>
      <c r="D131" s="85"/>
      <c r="E131" s="85"/>
      <c r="F131" s="85"/>
      <c r="G131" s="85"/>
      <c r="H131" s="85"/>
      <c r="I131" s="85"/>
      <c r="J131" s="85"/>
      <c r="K131" s="3"/>
      <c r="L131" s="85"/>
      <c r="M131" s="85"/>
      <c r="N131" s="85"/>
      <c r="O131" s="85"/>
      <c r="P131" s="85"/>
      <c r="Q131" s="85"/>
      <c r="R131" s="85"/>
      <c r="S131" s="85"/>
      <c r="U131" s="1"/>
      <c r="V131" s="1"/>
      <c r="W131" s="1"/>
      <c r="X131" s="1"/>
      <c r="Y131" s="1"/>
      <c r="Z131" s="1"/>
      <c r="AA131" s="1"/>
      <c r="AB131" s="1"/>
      <c r="AD131" s="3"/>
      <c r="AM131" s="86"/>
      <c r="AN131" s="85"/>
      <c r="AO131" s="85"/>
      <c r="AP131" s="85"/>
      <c r="AQ131" s="85"/>
      <c r="AR131" s="85"/>
      <c r="AS131" s="85"/>
      <c r="AT131" s="21"/>
      <c r="AV131" s="3"/>
    </row>
    <row r="132" spans="3:48" x14ac:dyDescent="0.3">
      <c r="C132" s="85"/>
      <c r="D132" s="85"/>
      <c r="E132" s="85"/>
      <c r="F132" s="85"/>
      <c r="G132" s="85"/>
      <c r="H132" s="85"/>
      <c r="I132" s="85"/>
      <c r="J132" s="85"/>
      <c r="K132" s="3"/>
      <c r="L132" s="85"/>
      <c r="M132" s="85"/>
      <c r="N132" s="85"/>
      <c r="O132" s="85"/>
      <c r="P132" s="85"/>
      <c r="Q132" s="85"/>
      <c r="R132" s="85"/>
      <c r="S132" s="85"/>
      <c r="U132" s="1"/>
      <c r="V132" s="1"/>
      <c r="W132" s="1"/>
      <c r="X132" s="1"/>
      <c r="Y132" s="1"/>
      <c r="Z132" s="1"/>
      <c r="AA132" s="1"/>
      <c r="AB132" s="1"/>
      <c r="AD132" s="3"/>
      <c r="AM132" s="86"/>
      <c r="AN132" s="85"/>
      <c r="AO132" s="85"/>
      <c r="AP132" s="85"/>
      <c r="AQ132" s="85"/>
      <c r="AR132" s="85"/>
      <c r="AS132" s="85"/>
      <c r="AT132" s="21"/>
      <c r="AV132" s="3"/>
    </row>
    <row r="133" spans="3:48" x14ac:dyDescent="0.3">
      <c r="C133" s="85"/>
      <c r="D133" s="85"/>
      <c r="E133" s="85"/>
      <c r="F133" s="85"/>
      <c r="G133" s="85"/>
      <c r="H133" s="85"/>
      <c r="I133" s="85"/>
      <c r="J133" s="85"/>
      <c r="K133" s="3"/>
      <c r="L133" s="85"/>
      <c r="M133" s="85"/>
      <c r="N133" s="85"/>
      <c r="O133" s="85"/>
      <c r="P133" s="85"/>
      <c r="Q133" s="85"/>
      <c r="R133" s="85"/>
      <c r="S133" s="85"/>
      <c r="U133" s="1"/>
      <c r="V133" s="1"/>
      <c r="W133" s="1"/>
      <c r="X133" s="1"/>
      <c r="Y133" s="1"/>
      <c r="Z133" s="1"/>
      <c r="AA133" s="1"/>
      <c r="AB133" s="1"/>
      <c r="AD133" s="3"/>
      <c r="AM133" s="86"/>
      <c r="AN133" s="85"/>
      <c r="AO133" s="85"/>
      <c r="AP133" s="85"/>
      <c r="AQ133" s="85"/>
      <c r="AR133" s="85"/>
      <c r="AS133" s="85"/>
      <c r="AT133" s="21"/>
      <c r="AV133" s="3"/>
    </row>
    <row r="134" spans="3:48" x14ac:dyDescent="0.3">
      <c r="C134" s="85"/>
      <c r="D134" s="85"/>
      <c r="E134" s="85"/>
      <c r="F134" s="85"/>
      <c r="G134" s="85"/>
      <c r="H134" s="85"/>
      <c r="I134" s="85"/>
      <c r="J134" s="85"/>
      <c r="K134" s="3"/>
      <c r="L134" s="85"/>
      <c r="M134" s="85"/>
      <c r="N134" s="85"/>
      <c r="O134" s="85"/>
      <c r="P134" s="85"/>
      <c r="Q134" s="85"/>
      <c r="R134" s="85"/>
      <c r="S134" s="85"/>
      <c r="U134" s="1"/>
      <c r="V134" s="1"/>
      <c r="W134" s="1"/>
      <c r="X134" s="1"/>
      <c r="Y134" s="1"/>
      <c r="Z134" s="1"/>
      <c r="AA134" s="1"/>
      <c r="AB134" s="1"/>
      <c r="AD134" s="3"/>
      <c r="AM134" s="86"/>
      <c r="AN134" s="85"/>
      <c r="AO134" s="85"/>
      <c r="AP134" s="85"/>
      <c r="AQ134" s="85"/>
      <c r="AR134" s="85"/>
      <c r="AS134" s="85"/>
      <c r="AT134" s="21"/>
      <c r="AV134" s="3"/>
    </row>
    <row r="135" spans="3:48" x14ac:dyDescent="0.3">
      <c r="C135" s="85"/>
      <c r="D135" s="85"/>
      <c r="E135" s="85"/>
      <c r="F135" s="85"/>
      <c r="G135" s="85"/>
      <c r="H135" s="85"/>
      <c r="I135" s="85"/>
      <c r="J135" s="85"/>
      <c r="K135" s="3"/>
      <c r="L135" s="85"/>
      <c r="M135" s="85"/>
      <c r="N135" s="85"/>
      <c r="O135" s="85"/>
      <c r="P135" s="85"/>
      <c r="Q135" s="85"/>
      <c r="R135" s="85"/>
      <c r="S135" s="85"/>
      <c r="U135" s="1"/>
      <c r="V135" s="1"/>
      <c r="W135" s="1"/>
      <c r="X135" s="1"/>
      <c r="Y135" s="1"/>
      <c r="Z135" s="1"/>
      <c r="AA135" s="1"/>
      <c r="AB135" s="1"/>
      <c r="AD135" s="3"/>
      <c r="AM135" s="86"/>
      <c r="AN135" s="85"/>
      <c r="AO135" s="85"/>
      <c r="AP135" s="85"/>
      <c r="AQ135" s="85"/>
      <c r="AR135" s="85"/>
      <c r="AS135" s="85"/>
      <c r="AT135" s="21"/>
      <c r="AV135" s="3"/>
    </row>
    <row r="136" spans="3:48" x14ac:dyDescent="0.3">
      <c r="C136" s="85"/>
      <c r="D136" s="85"/>
      <c r="E136" s="85"/>
      <c r="F136" s="85"/>
      <c r="G136" s="85"/>
      <c r="H136" s="85"/>
      <c r="I136" s="85"/>
      <c r="J136" s="85"/>
      <c r="K136" s="3"/>
      <c r="L136" s="85"/>
      <c r="M136" s="85"/>
      <c r="N136" s="85"/>
      <c r="O136" s="85"/>
      <c r="P136" s="85"/>
      <c r="Q136" s="85"/>
      <c r="R136" s="85"/>
      <c r="S136" s="85"/>
      <c r="U136" s="1"/>
      <c r="V136" s="1"/>
      <c r="W136" s="1"/>
      <c r="X136" s="1"/>
      <c r="Y136" s="1"/>
      <c r="Z136" s="1"/>
      <c r="AA136" s="1"/>
      <c r="AB136" s="1"/>
      <c r="AD136" s="3"/>
      <c r="AM136" s="86"/>
      <c r="AN136" s="85"/>
      <c r="AO136" s="85"/>
      <c r="AP136" s="85"/>
      <c r="AQ136" s="85"/>
      <c r="AR136" s="85"/>
      <c r="AS136" s="85"/>
      <c r="AT136" s="21"/>
      <c r="AV136" s="3"/>
    </row>
    <row r="137" spans="3:48" x14ac:dyDescent="0.3">
      <c r="C137" s="85"/>
      <c r="D137" s="85"/>
      <c r="E137" s="85"/>
      <c r="F137" s="85"/>
      <c r="G137" s="85"/>
      <c r="H137" s="85"/>
      <c r="I137" s="85"/>
      <c r="J137" s="85"/>
      <c r="K137" s="3"/>
      <c r="L137" s="85"/>
      <c r="M137" s="85"/>
      <c r="N137" s="85"/>
      <c r="O137" s="85"/>
      <c r="P137" s="85"/>
      <c r="Q137" s="85"/>
      <c r="R137" s="85"/>
      <c r="S137" s="85"/>
      <c r="U137" s="1"/>
      <c r="V137" s="1"/>
      <c r="W137" s="1"/>
      <c r="X137" s="1"/>
      <c r="Y137" s="1"/>
      <c r="Z137" s="1"/>
      <c r="AA137" s="1"/>
      <c r="AB137" s="1"/>
      <c r="AD137" s="3"/>
      <c r="AM137" s="86"/>
      <c r="AN137" s="85"/>
      <c r="AO137" s="85"/>
      <c r="AP137" s="85"/>
      <c r="AQ137" s="85"/>
      <c r="AR137" s="85"/>
      <c r="AS137" s="85"/>
      <c r="AT137" s="21"/>
      <c r="AV137" s="3"/>
    </row>
    <row r="138" spans="3:48" x14ac:dyDescent="0.3">
      <c r="C138" s="85"/>
      <c r="D138" s="85"/>
      <c r="E138" s="85"/>
      <c r="F138" s="85"/>
      <c r="G138" s="85"/>
      <c r="H138" s="85"/>
      <c r="I138" s="85"/>
      <c r="J138" s="85"/>
      <c r="K138" s="3"/>
      <c r="L138" s="85"/>
      <c r="M138" s="85"/>
      <c r="N138" s="85"/>
      <c r="O138" s="85"/>
      <c r="P138" s="85"/>
      <c r="Q138" s="85"/>
      <c r="R138" s="85"/>
      <c r="S138" s="85"/>
      <c r="U138" s="1"/>
      <c r="V138" s="1"/>
      <c r="W138" s="1"/>
      <c r="X138" s="1"/>
      <c r="Y138" s="1"/>
      <c r="Z138" s="1"/>
      <c r="AA138" s="1"/>
      <c r="AB138" s="1"/>
      <c r="AD138" s="3"/>
      <c r="AM138" s="86"/>
      <c r="AN138" s="85"/>
      <c r="AO138" s="85"/>
      <c r="AP138" s="85"/>
      <c r="AQ138" s="85"/>
      <c r="AR138" s="85"/>
      <c r="AS138" s="85"/>
      <c r="AT138" s="21"/>
      <c r="AV138" s="3"/>
    </row>
    <row r="139" spans="3:48" x14ac:dyDescent="0.3">
      <c r="C139" s="85"/>
      <c r="D139" s="85"/>
      <c r="E139" s="85"/>
      <c r="F139" s="85"/>
      <c r="G139" s="85"/>
      <c r="H139" s="85"/>
      <c r="I139" s="85"/>
      <c r="J139" s="85"/>
      <c r="K139" s="3"/>
      <c r="L139" s="85"/>
      <c r="M139" s="85"/>
      <c r="N139" s="85"/>
      <c r="O139" s="85"/>
      <c r="P139" s="85"/>
      <c r="Q139" s="85"/>
      <c r="R139" s="85"/>
      <c r="S139" s="85"/>
      <c r="U139" s="1"/>
      <c r="V139" s="1"/>
      <c r="W139" s="1"/>
      <c r="X139" s="1"/>
      <c r="Y139" s="1"/>
      <c r="Z139" s="1"/>
      <c r="AA139" s="1"/>
      <c r="AB139" s="1"/>
      <c r="AD139" s="3"/>
      <c r="AM139" s="86"/>
      <c r="AN139" s="85"/>
      <c r="AO139" s="85"/>
      <c r="AP139" s="85"/>
      <c r="AQ139" s="85"/>
      <c r="AR139" s="85"/>
      <c r="AS139" s="85"/>
      <c r="AT139" s="21"/>
      <c r="AV139" s="3"/>
    </row>
    <row r="140" spans="3:48" x14ac:dyDescent="0.3">
      <c r="C140" s="85"/>
      <c r="D140" s="85"/>
      <c r="E140" s="85"/>
      <c r="F140" s="85"/>
      <c r="G140" s="85"/>
      <c r="H140" s="85"/>
      <c r="I140" s="85"/>
      <c r="J140" s="85"/>
      <c r="K140" s="3"/>
      <c r="L140" s="85"/>
      <c r="M140" s="85"/>
      <c r="N140" s="85"/>
      <c r="O140" s="85"/>
      <c r="P140" s="85"/>
      <c r="Q140" s="85"/>
      <c r="R140" s="85"/>
      <c r="S140" s="85"/>
      <c r="U140" s="1"/>
      <c r="V140" s="1"/>
      <c r="W140" s="1"/>
      <c r="X140" s="1"/>
      <c r="Y140" s="1"/>
      <c r="Z140" s="1"/>
      <c r="AA140" s="1"/>
      <c r="AB140" s="1"/>
      <c r="AD140" s="3"/>
      <c r="AM140" s="86"/>
      <c r="AN140" s="85"/>
      <c r="AO140" s="85"/>
      <c r="AP140" s="85"/>
      <c r="AQ140" s="85"/>
      <c r="AR140" s="85"/>
      <c r="AS140" s="85"/>
      <c r="AT140" s="21"/>
      <c r="AV140" s="3"/>
    </row>
    <row r="141" spans="3:48" x14ac:dyDescent="0.3">
      <c r="C141" s="85"/>
      <c r="D141" s="85"/>
      <c r="E141" s="85"/>
      <c r="F141" s="85"/>
      <c r="G141" s="85"/>
      <c r="H141" s="85"/>
      <c r="I141" s="85"/>
      <c r="J141" s="85"/>
      <c r="K141" s="3"/>
      <c r="L141" s="85"/>
      <c r="M141" s="85"/>
      <c r="N141" s="85"/>
      <c r="O141" s="85"/>
      <c r="P141" s="85"/>
      <c r="Q141" s="85"/>
      <c r="R141" s="85"/>
      <c r="S141" s="85"/>
      <c r="U141" s="1"/>
      <c r="V141" s="1"/>
      <c r="W141" s="1"/>
      <c r="X141" s="1"/>
      <c r="Y141" s="1"/>
      <c r="Z141" s="1"/>
      <c r="AA141" s="1"/>
      <c r="AB141" s="1"/>
      <c r="AD141" s="3"/>
      <c r="AM141" s="86"/>
      <c r="AN141" s="85"/>
      <c r="AO141" s="85"/>
      <c r="AP141" s="85"/>
      <c r="AQ141" s="85"/>
      <c r="AR141" s="85"/>
      <c r="AS141" s="85"/>
      <c r="AT141" s="21"/>
      <c r="AV141" s="3"/>
    </row>
    <row r="142" spans="3:48" x14ac:dyDescent="0.3">
      <c r="C142" s="85"/>
      <c r="D142" s="85"/>
      <c r="E142" s="85"/>
      <c r="F142" s="85"/>
      <c r="G142" s="85"/>
      <c r="H142" s="85"/>
      <c r="I142" s="85"/>
      <c r="J142" s="85"/>
      <c r="K142" s="3"/>
      <c r="L142" s="85"/>
      <c r="M142" s="85"/>
      <c r="N142" s="85"/>
      <c r="O142" s="85"/>
      <c r="P142" s="85"/>
      <c r="Q142" s="85"/>
      <c r="R142" s="85"/>
      <c r="S142" s="85"/>
      <c r="U142" s="1"/>
      <c r="V142" s="1"/>
      <c r="W142" s="1"/>
      <c r="X142" s="1"/>
      <c r="Y142" s="1"/>
      <c r="Z142" s="1"/>
      <c r="AA142" s="1"/>
      <c r="AB142" s="1"/>
      <c r="AD142" s="3"/>
      <c r="AM142" s="86"/>
      <c r="AN142" s="85"/>
      <c r="AO142" s="85"/>
      <c r="AP142" s="85"/>
      <c r="AQ142" s="85"/>
      <c r="AR142" s="85"/>
      <c r="AS142" s="85"/>
      <c r="AT142" s="21"/>
      <c r="AV142" s="3"/>
    </row>
    <row r="143" spans="3:48" x14ac:dyDescent="0.3">
      <c r="C143" s="85"/>
      <c r="D143" s="85"/>
      <c r="E143" s="85"/>
      <c r="F143" s="85"/>
      <c r="G143" s="85"/>
      <c r="H143" s="85"/>
      <c r="I143" s="85"/>
      <c r="J143" s="85"/>
      <c r="K143" s="3"/>
      <c r="L143" s="85"/>
      <c r="M143" s="85"/>
      <c r="N143" s="85"/>
      <c r="O143" s="85"/>
      <c r="P143" s="85"/>
      <c r="Q143" s="85"/>
      <c r="R143" s="85"/>
      <c r="S143" s="85"/>
      <c r="U143" s="1"/>
      <c r="V143" s="1"/>
      <c r="W143" s="1"/>
      <c r="X143" s="1"/>
      <c r="Y143" s="1"/>
      <c r="Z143" s="1"/>
      <c r="AA143" s="1"/>
      <c r="AB143" s="1"/>
      <c r="AD143" s="3"/>
      <c r="AM143" s="86"/>
      <c r="AN143" s="85"/>
      <c r="AO143" s="85"/>
      <c r="AP143" s="85"/>
      <c r="AQ143" s="85"/>
      <c r="AR143" s="85"/>
      <c r="AS143" s="85"/>
      <c r="AT143" s="21"/>
      <c r="AV143" s="3"/>
    </row>
    <row r="144" spans="3:48" x14ac:dyDescent="0.3">
      <c r="C144" s="85"/>
      <c r="D144" s="85"/>
      <c r="E144" s="85"/>
      <c r="F144" s="85"/>
      <c r="G144" s="85"/>
      <c r="H144" s="85"/>
      <c r="I144" s="85"/>
      <c r="J144" s="85"/>
      <c r="K144" s="3"/>
      <c r="L144" s="85"/>
      <c r="M144" s="85"/>
      <c r="N144" s="85"/>
      <c r="O144" s="85"/>
      <c r="P144" s="85"/>
      <c r="Q144" s="85"/>
      <c r="R144" s="85"/>
      <c r="S144" s="85"/>
      <c r="U144" s="1"/>
      <c r="V144" s="1"/>
      <c r="W144" s="1"/>
      <c r="X144" s="1"/>
      <c r="Y144" s="1"/>
      <c r="Z144" s="1"/>
      <c r="AA144" s="1"/>
      <c r="AB144" s="1"/>
      <c r="AD144" s="3"/>
      <c r="AM144" s="86"/>
      <c r="AN144" s="85"/>
      <c r="AO144" s="85"/>
      <c r="AP144" s="85"/>
      <c r="AQ144" s="85"/>
      <c r="AR144" s="85"/>
      <c r="AS144" s="85"/>
      <c r="AT144" s="21"/>
      <c r="AV144" s="3"/>
    </row>
    <row r="145" spans="3:48" x14ac:dyDescent="0.3">
      <c r="C145" s="85"/>
      <c r="D145" s="85"/>
      <c r="E145" s="85"/>
      <c r="F145" s="85"/>
      <c r="G145" s="85"/>
      <c r="H145" s="85"/>
      <c r="I145" s="85"/>
      <c r="J145" s="85"/>
      <c r="K145" s="3"/>
      <c r="L145" s="85"/>
      <c r="M145" s="85"/>
      <c r="N145" s="85"/>
      <c r="O145" s="85"/>
      <c r="P145" s="85"/>
      <c r="Q145" s="85"/>
      <c r="R145" s="85"/>
      <c r="S145" s="85"/>
      <c r="U145" s="1"/>
      <c r="V145" s="1"/>
      <c r="W145" s="1"/>
      <c r="X145" s="1"/>
      <c r="Y145" s="1"/>
      <c r="Z145" s="1"/>
      <c r="AA145" s="1"/>
      <c r="AB145" s="1"/>
      <c r="AD145" s="3"/>
      <c r="AM145" s="86"/>
      <c r="AN145" s="85"/>
      <c r="AO145" s="85"/>
      <c r="AP145" s="85"/>
      <c r="AQ145" s="85"/>
      <c r="AR145" s="85"/>
      <c r="AS145" s="85"/>
      <c r="AT145" s="21"/>
      <c r="AV145" s="3"/>
    </row>
    <row r="146" spans="3:48" x14ac:dyDescent="0.3">
      <c r="C146" s="85"/>
      <c r="D146" s="85"/>
      <c r="E146" s="85"/>
      <c r="F146" s="85"/>
      <c r="G146" s="85"/>
      <c r="H146" s="85"/>
      <c r="I146" s="85"/>
      <c r="J146" s="85"/>
      <c r="K146" s="3"/>
      <c r="L146" s="85"/>
      <c r="M146" s="85"/>
      <c r="N146" s="85"/>
      <c r="O146" s="85"/>
      <c r="P146" s="85"/>
      <c r="Q146" s="85"/>
      <c r="R146" s="85"/>
      <c r="S146" s="85"/>
      <c r="U146" s="1"/>
      <c r="V146" s="1"/>
      <c r="W146" s="1"/>
      <c r="X146" s="1"/>
      <c r="Y146" s="1"/>
      <c r="Z146" s="1"/>
      <c r="AA146" s="1"/>
      <c r="AB146" s="1"/>
      <c r="AD146" s="3"/>
      <c r="AM146" s="86"/>
      <c r="AN146" s="85"/>
      <c r="AO146" s="85"/>
      <c r="AP146" s="85"/>
      <c r="AQ146" s="85"/>
      <c r="AR146" s="85"/>
      <c r="AS146" s="85"/>
      <c r="AT146" s="21"/>
      <c r="AV146" s="3"/>
    </row>
    <row r="147" spans="3:48" x14ac:dyDescent="0.3">
      <c r="C147" s="85"/>
      <c r="D147" s="85"/>
      <c r="E147" s="85"/>
      <c r="F147" s="85"/>
      <c r="G147" s="85"/>
      <c r="H147" s="85"/>
      <c r="I147" s="85"/>
      <c r="J147" s="85"/>
      <c r="K147" s="3"/>
      <c r="L147" s="85"/>
      <c r="M147" s="85"/>
      <c r="N147" s="85"/>
      <c r="O147" s="85"/>
      <c r="P147" s="85"/>
      <c r="Q147" s="85"/>
      <c r="R147" s="85"/>
      <c r="S147" s="85"/>
      <c r="U147" s="1"/>
      <c r="V147" s="1"/>
      <c r="W147" s="1"/>
      <c r="X147" s="1"/>
      <c r="Y147" s="1"/>
      <c r="Z147" s="1"/>
      <c r="AA147" s="1"/>
      <c r="AB147" s="1"/>
      <c r="AD147" s="3"/>
      <c r="AM147" s="86"/>
      <c r="AN147" s="85"/>
      <c r="AO147" s="85"/>
      <c r="AP147" s="85"/>
      <c r="AQ147" s="85"/>
      <c r="AR147" s="85"/>
      <c r="AS147" s="85"/>
      <c r="AT147" s="21"/>
      <c r="AV147" s="3"/>
    </row>
    <row r="148" spans="3:48" x14ac:dyDescent="0.3">
      <c r="C148" s="85"/>
      <c r="D148" s="85"/>
      <c r="E148" s="85"/>
      <c r="F148" s="85"/>
      <c r="G148" s="85"/>
      <c r="H148" s="85"/>
      <c r="I148" s="85"/>
      <c r="J148" s="85"/>
      <c r="K148" s="3"/>
      <c r="L148" s="85"/>
      <c r="M148" s="85"/>
      <c r="N148" s="85"/>
      <c r="O148" s="85"/>
      <c r="P148" s="85"/>
      <c r="Q148" s="85"/>
      <c r="R148" s="85"/>
      <c r="S148" s="85"/>
      <c r="U148" s="1"/>
      <c r="V148" s="1"/>
      <c r="W148" s="1"/>
      <c r="X148" s="1"/>
      <c r="Y148" s="1"/>
      <c r="Z148" s="1"/>
      <c r="AA148" s="1"/>
      <c r="AB148" s="1"/>
      <c r="AD148" s="3"/>
      <c r="AM148" s="86"/>
      <c r="AN148" s="85"/>
      <c r="AO148" s="85"/>
      <c r="AP148" s="85"/>
      <c r="AQ148" s="85"/>
      <c r="AR148" s="85"/>
      <c r="AS148" s="85"/>
      <c r="AT148" s="21"/>
      <c r="AV148" s="3"/>
    </row>
    <row r="149" spans="3:48" x14ac:dyDescent="0.3">
      <c r="C149" s="85"/>
      <c r="D149" s="85"/>
      <c r="E149" s="85"/>
      <c r="F149" s="85"/>
      <c r="G149" s="85"/>
      <c r="H149" s="85"/>
      <c r="I149" s="85"/>
      <c r="J149" s="85"/>
      <c r="K149" s="3"/>
      <c r="L149" s="85"/>
      <c r="M149" s="85"/>
      <c r="N149" s="85"/>
      <c r="O149" s="85"/>
      <c r="P149" s="85"/>
      <c r="Q149" s="85"/>
      <c r="R149" s="85"/>
      <c r="S149" s="1"/>
      <c r="U149" s="1"/>
      <c r="V149" s="1"/>
      <c r="W149" s="1"/>
      <c r="X149" s="1"/>
      <c r="Y149" s="1"/>
      <c r="Z149" s="1"/>
      <c r="AA149" s="1"/>
      <c r="AB149" s="1"/>
      <c r="AD149" s="3"/>
      <c r="AM149" s="86"/>
      <c r="AN149" s="85"/>
      <c r="AO149" s="85"/>
      <c r="AP149" s="85"/>
      <c r="AQ149" s="85"/>
      <c r="AR149" s="85"/>
      <c r="AS149" s="85"/>
      <c r="AT149" s="21"/>
      <c r="AV149" s="3"/>
    </row>
    <row r="150" spans="3:48" x14ac:dyDescent="0.3">
      <c r="C150" s="85"/>
      <c r="D150" s="85"/>
      <c r="E150" s="85"/>
      <c r="F150" s="85"/>
      <c r="G150" s="85"/>
      <c r="H150" s="85"/>
      <c r="I150" s="85"/>
      <c r="J150" s="85"/>
      <c r="K150" s="3"/>
      <c r="L150" s="85"/>
      <c r="M150" s="85"/>
      <c r="N150" s="85"/>
      <c r="O150" s="85"/>
      <c r="P150" s="85"/>
      <c r="Q150" s="85"/>
      <c r="R150" s="85"/>
      <c r="S150" s="1"/>
      <c r="U150" s="1"/>
      <c r="V150" s="1"/>
      <c r="W150" s="1"/>
      <c r="X150" s="1"/>
      <c r="Y150" s="1"/>
      <c r="Z150" s="1"/>
      <c r="AA150" s="1"/>
      <c r="AB150" s="1"/>
      <c r="AD150" s="3"/>
      <c r="AM150" s="86"/>
      <c r="AN150" s="85"/>
      <c r="AO150" s="85"/>
      <c r="AP150" s="85"/>
      <c r="AQ150" s="85"/>
      <c r="AR150" s="85"/>
      <c r="AS150" s="85"/>
      <c r="AT150" s="21"/>
      <c r="AV150" s="3"/>
    </row>
    <row r="151" spans="3:48" x14ac:dyDescent="0.3">
      <c r="C151" s="85"/>
      <c r="D151" s="85"/>
      <c r="E151" s="85"/>
      <c r="F151" s="85"/>
      <c r="G151" s="85"/>
      <c r="H151" s="85"/>
      <c r="I151" s="85"/>
      <c r="J151" s="85"/>
      <c r="K151" s="3"/>
      <c r="L151" s="85"/>
      <c r="M151" s="85"/>
      <c r="N151" s="85"/>
      <c r="O151" s="85"/>
      <c r="P151" s="85"/>
      <c r="Q151" s="85"/>
      <c r="R151" s="85"/>
      <c r="S151" s="1"/>
      <c r="U151" s="1"/>
      <c r="V151" s="1"/>
      <c r="W151" s="1"/>
      <c r="X151" s="1"/>
      <c r="Y151" s="1"/>
      <c r="Z151" s="1"/>
      <c r="AA151" s="1"/>
      <c r="AB151" s="1"/>
      <c r="AD151" s="3"/>
      <c r="AM151" s="86"/>
      <c r="AN151" s="85"/>
      <c r="AO151" s="85"/>
      <c r="AP151" s="85"/>
      <c r="AQ151" s="85"/>
      <c r="AR151" s="85"/>
      <c r="AS151" s="85"/>
      <c r="AT151" s="21"/>
      <c r="AV151" s="3"/>
    </row>
    <row r="152" spans="3:48" x14ac:dyDescent="0.3">
      <c r="C152" s="85"/>
      <c r="D152" s="85"/>
      <c r="E152" s="85"/>
      <c r="F152" s="85"/>
      <c r="G152" s="85"/>
      <c r="H152" s="85"/>
      <c r="I152" s="85"/>
      <c r="J152" s="85"/>
      <c r="K152" s="3"/>
      <c r="L152" s="85"/>
      <c r="M152" s="85"/>
      <c r="N152" s="85"/>
      <c r="O152" s="85"/>
      <c r="P152" s="85"/>
      <c r="Q152" s="85"/>
      <c r="R152" s="85"/>
      <c r="S152" s="1"/>
      <c r="U152" s="1"/>
      <c r="V152" s="1"/>
      <c r="W152" s="1"/>
      <c r="X152" s="1"/>
      <c r="Y152" s="1"/>
      <c r="Z152" s="1"/>
      <c r="AA152" s="1"/>
      <c r="AB152" s="1"/>
      <c r="AD152" s="3"/>
      <c r="AM152" s="86"/>
      <c r="AN152" s="85"/>
      <c r="AO152" s="85"/>
      <c r="AP152" s="85"/>
      <c r="AQ152" s="85"/>
      <c r="AR152" s="85"/>
      <c r="AS152" s="85"/>
      <c r="AT152" s="21"/>
      <c r="AV152" s="3"/>
    </row>
    <row r="153" spans="3:48" x14ac:dyDescent="0.3">
      <c r="C153" s="85"/>
      <c r="D153" s="85"/>
      <c r="E153" s="85"/>
      <c r="F153" s="85"/>
      <c r="G153" s="85"/>
      <c r="H153" s="85"/>
      <c r="I153" s="85"/>
      <c r="J153" s="85"/>
      <c r="K153" s="3"/>
      <c r="L153" s="85"/>
      <c r="M153" s="85"/>
      <c r="N153" s="85"/>
      <c r="O153" s="85"/>
      <c r="P153" s="85"/>
      <c r="Q153" s="85"/>
      <c r="R153" s="85"/>
      <c r="S153" s="1"/>
      <c r="U153" s="1"/>
      <c r="V153" s="1"/>
      <c r="W153" s="1"/>
      <c r="X153" s="1"/>
      <c r="Y153" s="1"/>
      <c r="Z153" s="1"/>
      <c r="AA153" s="1"/>
      <c r="AB153" s="1"/>
      <c r="AD153" s="3"/>
      <c r="AM153" s="86"/>
      <c r="AN153" s="85"/>
      <c r="AO153" s="85"/>
      <c r="AP153" s="85"/>
      <c r="AQ153" s="85"/>
      <c r="AR153" s="85"/>
      <c r="AS153" s="85"/>
      <c r="AT153" s="21"/>
      <c r="AV153" s="3"/>
    </row>
    <row r="154" spans="3:48" x14ac:dyDescent="0.3">
      <c r="C154" s="85"/>
      <c r="D154" s="85"/>
      <c r="E154" s="85"/>
      <c r="F154" s="85"/>
      <c r="G154" s="85"/>
      <c r="H154" s="85"/>
      <c r="I154" s="85"/>
      <c r="J154" s="85"/>
      <c r="K154" s="3"/>
      <c r="L154" s="85"/>
      <c r="M154" s="85"/>
      <c r="N154" s="85"/>
      <c r="O154" s="85"/>
      <c r="P154" s="85"/>
      <c r="Q154" s="85"/>
      <c r="R154" s="85"/>
      <c r="S154" s="1"/>
      <c r="U154" s="1"/>
      <c r="V154" s="1"/>
      <c r="W154" s="1"/>
      <c r="X154" s="1"/>
      <c r="Y154" s="1"/>
      <c r="Z154" s="1"/>
      <c r="AA154" s="1"/>
      <c r="AB154" s="1"/>
      <c r="AD154" s="3"/>
      <c r="AM154" s="86"/>
      <c r="AN154" s="85"/>
      <c r="AO154" s="85"/>
      <c r="AP154" s="85"/>
      <c r="AQ154" s="85"/>
      <c r="AR154" s="85"/>
      <c r="AS154" s="85"/>
      <c r="AT154" s="21"/>
      <c r="AV154" s="3"/>
    </row>
    <row r="155" spans="3:48" x14ac:dyDescent="0.3">
      <c r="C155" s="85"/>
      <c r="D155" s="85"/>
      <c r="E155" s="85"/>
      <c r="F155" s="85"/>
      <c r="G155" s="85"/>
      <c r="H155" s="85"/>
      <c r="I155" s="85"/>
      <c r="J155" s="85"/>
      <c r="K155" s="3"/>
      <c r="L155" s="85"/>
      <c r="M155" s="85"/>
      <c r="N155" s="85"/>
      <c r="O155" s="85"/>
      <c r="P155" s="85"/>
      <c r="Q155" s="85"/>
      <c r="R155" s="85"/>
      <c r="S155" s="1"/>
      <c r="U155" s="1"/>
      <c r="V155" s="1"/>
      <c r="W155" s="1"/>
      <c r="X155" s="1"/>
      <c r="Y155" s="1"/>
      <c r="Z155" s="1"/>
      <c r="AA155" s="1"/>
      <c r="AB155" s="1"/>
      <c r="AD155" s="3"/>
      <c r="AM155" s="86"/>
      <c r="AN155" s="85"/>
      <c r="AO155" s="85"/>
      <c r="AP155" s="85"/>
      <c r="AQ155" s="85"/>
      <c r="AR155" s="85"/>
      <c r="AS155" s="85"/>
      <c r="AT155" s="21"/>
      <c r="AV155" s="3"/>
    </row>
    <row r="156" spans="3:48" x14ac:dyDescent="0.3">
      <c r="C156" s="85"/>
      <c r="D156" s="85"/>
      <c r="E156" s="85"/>
      <c r="F156" s="85"/>
      <c r="G156" s="85"/>
      <c r="H156" s="85"/>
      <c r="I156" s="85"/>
      <c r="J156" s="85"/>
      <c r="K156" s="3"/>
      <c r="L156" s="85"/>
      <c r="M156" s="85"/>
      <c r="N156" s="85"/>
      <c r="O156" s="85"/>
      <c r="P156" s="85"/>
      <c r="Q156" s="85"/>
      <c r="R156" s="85"/>
      <c r="S156" s="1"/>
      <c r="U156" s="1"/>
      <c r="V156" s="1"/>
      <c r="W156" s="1"/>
      <c r="X156" s="1"/>
      <c r="Y156" s="1"/>
      <c r="Z156" s="1"/>
      <c r="AA156" s="1"/>
      <c r="AB156" s="1"/>
      <c r="AD156" s="3"/>
      <c r="AM156" s="86"/>
      <c r="AN156" s="85"/>
      <c r="AO156" s="85"/>
      <c r="AP156" s="85"/>
      <c r="AQ156" s="85"/>
      <c r="AR156" s="85"/>
      <c r="AS156" s="85"/>
      <c r="AT156" s="21"/>
      <c r="AV156" s="3"/>
    </row>
    <row r="157" spans="3:48" x14ac:dyDescent="0.3">
      <c r="C157" s="85"/>
      <c r="D157" s="85"/>
      <c r="E157" s="85"/>
      <c r="F157" s="85"/>
      <c r="G157" s="85"/>
      <c r="H157" s="85"/>
      <c r="I157" s="85"/>
      <c r="J157" s="85"/>
      <c r="K157" s="3"/>
      <c r="L157" s="85"/>
      <c r="M157" s="85"/>
      <c r="N157" s="85"/>
      <c r="O157" s="85"/>
      <c r="P157" s="85"/>
      <c r="Q157" s="85"/>
      <c r="R157" s="85"/>
      <c r="S157" s="1"/>
      <c r="U157" s="1"/>
      <c r="V157" s="1"/>
      <c r="W157" s="1"/>
      <c r="X157" s="1"/>
      <c r="Y157" s="1"/>
      <c r="Z157" s="1"/>
      <c r="AA157" s="1"/>
      <c r="AB157" s="1"/>
      <c r="AD157" s="3"/>
      <c r="AM157" s="86"/>
      <c r="AN157" s="85"/>
      <c r="AO157" s="85"/>
      <c r="AP157" s="85"/>
      <c r="AQ157" s="85"/>
      <c r="AR157" s="85"/>
      <c r="AS157" s="85"/>
      <c r="AT157" s="21"/>
      <c r="AV157" s="3"/>
    </row>
    <row r="158" spans="3:48" x14ac:dyDescent="0.3">
      <c r="C158" s="85"/>
      <c r="D158" s="85"/>
      <c r="E158" s="85"/>
      <c r="F158" s="85"/>
      <c r="G158" s="85"/>
      <c r="H158" s="85"/>
      <c r="I158" s="85"/>
      <c r="J158" s="85"/>
      <c r="K158" s="3"/>
      <c r="L158" s="85"/>
      <c r="M158" s="85"/>
      <c r="N158" s="85"/>
      <c r="O158" s="85"/>
      <c r="P158" s="85"/>
      <c r="Q158" s="85"/>
      <c r="R158" s="85"/>
      <c r="S158" s="1"/>
      <c r="U158" s="1"/>
      <c r="V158" s="1"/>
      <c r="W158" s="1"/>
      <c r="X158" s="1"/>
      <c r="Y158" s="1"/>
      <c r="Z158" s="1"/>
      <c r="AA158" s="1"/>
      <c r="AB158" s="1"/>
      <c r="AD158" s="3"/>
      <c r="AM158" s="86"/>
      <c r="AN158" s="85"/>
      <c r="AO158" s="85"/>
      <c r="AP158" s="85"/>
      <c r="AQ158" s="85"/>
      <c r="AR158" s="85"/>
      <c r="AS158" s="85"/>
      <c r="AT158" s="21"/>
      <c r="AV158" s="3"/>
    </row>
    <row r="159" spans="3:48" x14ac:dyDescent="0.3">
      <c r="C159" s="85"/>
      <c r="D159" s="85"/>
      <c r="E159" s="85"/>
      <c r="F159" s="85"/>
      <c r="G159" s="85"/>
      <c r="H159" s="85"/>
      <c r="I159" s="85"/>
      <c r="J159" s="85"/>
      <c r="K159" s="3"/>
      <c r="L159" s="85"/>
      <c r="M159" s="85"/>
      <c r="N159" s="85"/>
      <c r="O159" s="85"/>
      <c r="P159" s="85"/>
      <c r="Q159" s="85"/>
      <c r="R159" s="85"/>
      <c r="S159" s="1"/>
      <c r="U159" s="1"/>
      <c r="V159" s="1"/>
      <c r="W159" s="1"/>
      <c r="X159" s="1"/>
      <c r="Y159" s="1"/>
      <c r="Z159" s="1"/>
      <c r="AA159" s="1"/>
      <c r="AB159" s="1"/>
      <c r="AD159" s="3"/>
      <c r="AM159" s="86"/>
      <c r="AN159" s="85"/>
      <c r="AO159" s="85"/>
      <c r="AP159" s="85"/>
      <c r="AQ159" s="85"/>
      <c r="AR159" s="85"/>
      <c r="AS159" s="85"/>
      <c r="AT159" s="21"/>
      <c r="AV159" s="3"/>
    </row>
    <row r="160" spans="3:48" x14ac:dyDescent="0.3">
      <c r="C160" s="85"/>
      <c r="D160" s="85"/>
      <c r="E160" s="85"/>
      <c r="F160" s="85"/>
      <c r="G160" s="85"/>
      <c r="H160" s="85"/>
      <c r="I160" s="85"/>
      <c r="J160" s="85"/>
      <c r="K160" s="3"/>
      <c r="L160" s="85"/>
      <c r="M160" s="85"/>
      <c r="N160" s="85"/>
      <c r="O160" s="85"/>
      <c r="P160" s="85"/>
      <c r="Q160" s="85"/>
      <c r="R160" s="85"/>
      <c r="S160" s="1"/>
      <c r="U160" s="1"/>
      <c r="V160" s="1"/>
      <c r="W160" s="1"/>
      <c r="X160" s="1"/>
      <c r="Y160" s="1"/>
      <c r="Z160" s="1"/>
      <c r="AA160" s="1"/>
      <c r="AB160" s="1"/>
      <c r="AD160" s="3"/>
      <c r="AM160" s="86"/>
      <c r="AN160" s="85"/>
      <c r="AO160" s="85"/>
      <c r="AP160" s="85"/>
      <c r="AQ160" s="85"/>
      <c r="AR160" s="85"/>
      <c r="AS160" s="85"/>
      <c r="AT160" s="21"/>
      <c r="AV160" s="3"/>
    </row>
    <row r="161" spans="3:48" x14ac:dyDescent="0.3">
      <c r="C161" s="85"/>
      <c r="D161" s="85"/>
      <c r="E161" s="85"/>
      <c r="F161" s="85"/>
      <c r="G161" s="85"/>
      <c r="H161" s="85"/>
      <c r="I161" s="85"/>
      <c r="J161" s="85"/>
      <c r="K161" s="3"/>
      <c r="L161" s="85"/>
      <c r="M161" s="85"/>
      <c r="N161" s="85"/>
      <c r="O161" s="85"/>
      <c r="P161" s="85"/>
      <c r="Q161" s="85"/>
      <c r="R161" s="85"/>
      <c r="S161" s="1"/>
      <c r="U161" s="1"/>
      <c r="V161" s="1"/>
      <c r="W161" s="1"/>
      <c r="X161" s="1"/>
      <c r="Y161" s="1"/>
      <c r="Z161" s="1"/>
      <c r="AA161" s="1"/>
      <c r="AB161" s="1"/>
      <c r="AD161" s="3"/>
      <c r="AM161" s="86"/>
      <c r="AN161" s="85"/>
      <c r="AO161" s="85"/>
      <c r="AP161" s="85"/>
      <c r="AQ161" s="85"/>
      <c r="AR161" s="85"/>
      <c r="AS161" s="85"/>
      <c r="AT161" s="21"/>
      <c r="AV161" s="3"/>
    </row>
    <row r="162" spans="3:48" x14ac:dyDescent="0.3">
      <c r="C162" s="85"/>
      <c r="D162" s="85"/>
      <c r="E162" s="85"/>
      <c r="F162" s="85"/>
      <c r="G162" s="85"/>
      <c r="H162" s="85"/>
      <c r="I162" s="85"/>
      <c r="J162" s="85"/>
      <c r="K162" s="3"/>
      <c r="L162" s="85"/>
      <c r="M162" s="85"/>
      <c r="N162" s="85"/>
      <c r="O162" s="85"/>
      <c r="P162" s="85"/>
      <c r="Q162" s="85"/>
      <c r="R162" s="85"/>
      <c r="S162" s="1"/>
      <c r="U162" s="1"/>
      <c r="V162" s="1"/>
      <c r="W162" s="1"/>
      <c r="X162" s="1"/>
      <c r="Y162" s="1"/>
      <c r="Z162" s="1"/>
      <c r="AA162" s="1"/>
      <c r="AB162" s="1"/>
      <c r="AD162" s="3"/>
      <c r="AM162" s="86"/>
      <c r="AN162" s="85"/>
      <c r="AO162" s="85"/>
      <c r="AP162" s="85"/>
      <c r="AQ162" s="85"/>
      <c r="AR162" s="85"/>
      <c r="AS162" s="85"/>
      <c r="AT162" s="21"/>
      <c r="AV162" s="3"/>
    </row>
    <row r="163" spans="3:48" x14ac:dyDescent="0.3">
      <c r="C163" s="85"/>
      <c r="D163" s="85"/>
      <c r="E163" s="85"/>
      <c r="F163" s="85"/>
      <c r="G163" s="85"/>
      <c r="H163" s="85"/>
      <c r="I163" s="85"/>
      <c r="J163" s="85"/>
      <c r="K163" s="3"/>
      <c r="L163" s="85"/>
      <c r="M163" s="85"/>
      <c r="N163" s="85"/>
      <c r="O163" s="85"/>
      <c r="P163" s="85"/>
      <c r="Q163" s="85"/>
      <c r="R163" s="85"/>
      <c r="S163" s="1"/>
      <c r="U163" s="1"/>
      <c r="V163" s="1"/>
      <c r="W163" s="1"/>
      <c r="X163" s="1"/>
      <c r="Y163" s="1"/>
      <c r="Z163" s="1"/>
      <c r="AA163" s="1"/>
      <c r="AB163" s="1"/>
      <c r="AD163" s="3"/>
      <c r="AM163" s="86"/>
      <c r="AN163" s="85"/>
      <c r="AO163" s="85"/>
      <c r="AP163" s="85"/>
      <c r="AQ163" s="85"/>
      <c r="AR163" s="85"/>
      <c r="AS163" s="85"/>
      <c r="AT163" s="21"/>
      <c r="AV163" s="3"/>
    </row>
    <row r="164" spans="3:48" x14ac:dyDescent="0.3">
      <c r="C164" s="85"/>
      <c r="D164" s="85"/>
      <c r="E164" s="85"/>
      <c r="F164" s="85"/>
      <c r="G164" s="85"/>
      <c r="H164" s="85"/>
      <c r="I164" s="85"/>
      <c r="J164" s="85"/>
      <c r="K164" s="3"/>
      <c r="L164" s="85"/>
      <c r="M164" s="85"/>
      <c r="N164" s="85"/>
      <c r="O164" s="85"/>
      <c r="P164" s="85"/>
      <c r="Q164" s="85"/>
      <c r="R164" s="85"/>
      <c r="S164" s="1"/>
      <c r="U164" s="1"/>
      <c r="V164" s="1"/>
      <c r="W164" s="1"/>
      <c r="X164" s="1"/>
      <c r="Y164" s="1"/>
      <c r="Z164" s="1"/>
      <c r="AA164" s="1"/>
      <c r="AB164" s="1"/>
      <c r="AD164" s="3"/>
      <c r="AM164" s="86"/>
      <c r="AN164" s="85"/>
      <c r="AO164" s="85"/>
      <c r="AP164" s="85"/>
      <c r="AQ164" s="85"/>
      <c r="AR164" s="85"/>
      <c r="AS164" s="85"/>
      <c r="AT164" s="21"/>
      <c r="AV164" s="3"/>
    </row>
    <row r="165" spans="3:48" x14ac:dyDescent="0.3">
      <c r="C165" s="85"/>
      <c r="D165" s="85"/>
      <c r="E165" s="85"/>
      <c r="F165" s="85"/>
      <c r="G165" s="85"/>
      <c r="H165" s="85"/>
      <c r="I165" s="85"/>
      <c r="J165" s="85"/>
      <c r="K165" s="3"/>
      <c r="L165" s="85"/>
      <c r="M165" s="85"/>
      <c r="N165" s="85"/>
      <c r="O165" s="85"/>
      <c r="P165" s="85"/>
      <c r="Q165" s="85"/>
      <c r="R165" s="85"/>
      <c r="S165" s="1"/>
      <c r="U165" s="1"/>
      <c r="V165" s="1"/>
      <c r="W165" s="1"/>
      <c r="X165" s="1"/>
      <c r="Y165" s="1"/>
      <c r="Z165" s="1"/>
      <c r="AA165" s="1"/>
      <c r="AB165" s="1"/>
      <c r="AD165" s="3"/>
      <c r="AM165" s="86"/>
      <c r="AN165" s="85"/>
      <c r="AO165" s="85"/>
      <c r="AP165" s="85"/>
      <c r="AQ165" s="85"/>
      <c r="AR165" s="85"/>
      <c r="AS165" s="85"/>
      <c r="AT165" s="21"/>
      <c r="AV165" s="3"/>
    </row>
    <row r="166" spans="3:48" x14ac:dyDescent="0.3">
      <c r="C166" s="85"/>
      <c r="D166" s="85"/>
      <c r="E166" s="85"/>
      <c r="F166" s="85"/>
      <c r="G166" s="85"/>
      <c r="H166" s="85"/>
      <c r="I166" s="85"/>
      <c r="J166" s="85"/>
      <c r="K166" s="3"/>
      <c r="L166" s="85"/>
      <c r="M166" s="85"/>
      <c r="N166" s="85"/>
      <c r="O166" s="85"/>
      <c r="P166" s="85"/>
      <c r="Q166" s="85"/>
      <c r="R166" s="85"/>
      <c r="S166" s="1"/>
      <c r="U166" s="1"/>
      <c r="V166" s="1"/>
      <c r="W166" s="1"/>
      <c r="X166" s="1"/>
      <c r="Y166" s="1"/>
      <c r="Z166" s="1"/>
      <c r="AA166" s="1"/>
      <c r="AB166" s="1"/>
      <c r="AD166" s="3"/>
      <c r="AM166" s="86"/>
      <c r="AN166" s="85"/>
      <c r="AO166" s="85"/>
      <c r="AP166" s="85"/>
      <c r="AQ166" s="85"/>
      <c r="AR166" s="85"/>
      <c r="AS166" s="85"/>
      <c r="AT166" s="21"/>
      <c r="AV166" s="3"/>
    </row>
    <row r="167" spans="3:48" x14ac:dyDescent="0.3">
      <c r="C167" s="85"/>
      <c r="D167" s="85"/>
      <c r="E167" s="85"/>
      <c r="F167" s="85"/>
      <c r="G167" s="85"/>
      <c r="H167" s="85"/>
      <c r="I167" s="85"/>
      <c r="J167" s="85"/>
      <c r="K167" s="3"/>
      <c r="L167" s="85"/>
      <c r="M167" s="85"/>
      <c r="N167" s="85"/>
      <c r="O167" s="85"/>
      <c r="P167" s="85"/>
      <c r="Q167" s="85"/>
      <c r="R167" s="85"/>
      <c r="S167" s="1"/>
      <c r="U167" s="1"/>
      <c r="V167" s="1"/>
      <c r="W167" s="1"/>
      <c r="X167" s="1"/>
      <c r="Y167" s="1"/>
      <c r="Z167" s="1"/>
      <c r="AA167" s="1"/>
      <c r="AB167" s="1"/>
      <c r="AD167" s="3"/>
      <c r="AM167" s="86"/>
      <c r="AN167" s="85"/>
      <c r="AO167" s="85"/>
      <c r="AP167" s="85"/>
      <c r="AQ167" s="85"/>
      <c r="AR167" s="85"/>
      <c r="AS167" s="85"/>
      <c r="AT167" s="21"/>
      <c r="AV167" s="3"/>
    </row>
    <row r="168" spans="3:48" x14ac:dyDescent="0.3">
      <c r="C168" s="85"/>
      <c r="D168" s="85"/>
      <c r="E168" s="85"/>
      <c r="F168" s="85"/>
      <c r="G168" s="85"/>
      <c r="H168" s="85"/>
      <c r="I168" s="85"/>
      <c r="J168" s="85"/>
      <c r="K168" s="3"/>
      <c r="L168" s="85"/>
      <c r="M168" s="85"/>
      <c r="N168" s="85"/>
      <c r="O168" s="85"/>
      <c r="P168" s="85"/>
      <c r="Q168" s="85"/>
      <c r="R168" s="85"/>
      <c r="S168" s="1"/>
      <c r="U168" s="1"/>
      <c r="V168" s="1"/>
      <c r="W168" s="1"/>
      <c r="X168" s="1"/>
      <c r="Y168" s="1"/>
      <c r="Z168" s="1"/>
      <c r="AA168" s="1"/>
      <c r="AB168" s="1"/>
      <c r="AD168" s="3"/>
      <c r="AM168" s="86"/>
      <c r="AN168" s="85"/>
      <c r="AO168" s="85"/>
      <c r="AP168" s="85"/>
      <c r="AQ168" s="85"/>
      <c r="AR168" s="85"/>
      <c r="AS168" s="85"/>
      <c r="AT168" s="21"/>
      <c r="AV168" s="3"/>
    </row>
    <row r="169" spans="3:48" x14ac:dyDescent="0.3">
      <c r="C169" s="85"/>
      <c r="D169" s="85"/>
      <c r="E169" s="85"/>
      <c r="F169" s="85"/>
      <c r="G169" s="85"/>
      <c r="H169" s="85"/>
      <c r="I169" s="85"/>
      <c r="J169" s="85"/>
      <c r="K169" s="3"/>
      <c r="L169" s="85"/>
      <c r="M169" s="85"/>
      <c r="N169" s="85"/>
      <c r="O169" s="85"/>
      <c r="P169" s="85"/>
      <c r="Q169" s="85"/>
      <c r="R169" s="85"/>
      <c r="S169" s="1"/>
      <c r="U169" s="1"/>
      <c r="V169" s="1"/>
      <c r="W169" s="1"/>
      <c r="X169" s="1"/>
      <c r="Y169" s="1"/>
      <c r="Z169" s="1"/>
      <c r="AA169" s="1"/>
      <c r="AB169" s="1"/>
      <c r="AD169" s="3"/>
      <c r="AM169" s="86"/>
      <c r="AN169" s="85"/>
      <c r="AO169" s="85"/>
      <c r="AP169" s="85"/>
      <c r="AQ169" s="85"/>
      <c r="AR169" s="85"/>
      <c r="AS169" s="85"/>
      <c r="AT169" s="21"/>
      <c r="AV169" s="3"/>
    </row>
    <row r="170" spans="3:48" x14ac:dyDescent="0.3">
      <c r="C170" s="85"/>
      <c r="D170" s="85"/>
      <c r="E170" s="85"/>
      <c r="F170" s="85"/>
      <c r="G170" s="85"/>
      <c r="H170" s="85"/>
      <c r="I170" s="85"/>
      <c r="J170" s="85"/>
      <c r="K170" s="3"/>
      <c r="L170" s="85"/>
      <c r="M170" s="85"/>
      <c r="N170" s="85"/>
      <c r="O170" s="85"/>
      <c r="P170" s="85"/>
      <c r="Q170" s="85"/>
      <c r="R170" s="85"/>
      <c r="S170" s="1"/>
      <c r="U170" s="1"/>
      <c r="V170" s="1"/>
      <c r="W170" s="1"/>
      <c r="X170" s="1"/>
      <c r="Y170" s="1"/>
      <c r="Z170" s="1"/>
      <c r="AA170" s="1"/>
      <c r="AB170" s="1"/>
      <c r="AD170" s="3"/>
      <c r="AM170" s="86"/>
      <c r="AN170" s="85"/>
      <c r="AO170" s="85"/>
      <c r="AP170" s="85"/>
      <c r="AQ170" s="85"/>
      <c r="AR170" s="85"/>
      <c r="AS170" s="85"/>
      <c r="AT170" s="21"/>
      <c r="AV170" s="3"/>
    </row>
    <row r="171" spans="3:48" x14ac:dyDescent="0.3">
      <c r="C171" s="85"/>
      <c r="D171" s="85"/>
      <c r="E171" s="85"/>
      <c r="F171" s="85"/>
      <c r="G171" s="85"/>
      <c r="H171" s="85"/>
      <c r="I171" s="85"/>
      <c r="J171" s="85"/>
      <c r="K171" s="3"/>
      <c r="L171" s="85"/>
      <c r="M171" s="85"/>
      <c r="N171" s="85"/>
      <c r="O171" s="85"/>
      <c r="P171" s="85"/>
      <c r="Q171" s="85"/>
      <c r="R171" s="85"/>
      <c r="S171" s="1"/>
      <c r="U171" s="1"/>
      <c r="V171" s="1"/>
      <c r="W171" s="1"/>
      <c r="X171" s="1"/>
      <c r="Y171" s="1"/>
      <c r="Z171" s="1"/>
      <c r="AA171" s="1"/>
      <c r="AB171" s="1"/>
      <c r="AD171" s="3"/>
      <c r="AM171" s="86"/>
      <c r="AN171" s="85"/>
      <c r="AO171" s="85"/>
      <c r="AP171" s="85"/>
      <c r="AQ171" s="85"/>
      <c r="AR171" s="85"/>
      <c r="AS171" s="85"/>
      <c r="AT171" s="21"/>
      <c r="AV171" s="3"/>
    </row>
    <row r="172" spans="3:48" x14ac:dyDescent="0.3">
      <c r="C172" s="85"/>
      <c r="D172" s="85"/>
      <c r="E172" s="85"/>
      <c r="F172" s="85"/>
      <c r="G172" s="85"/>
      <c r="H172" s="85"/>
      <c r="I172" s="85"/>
      <c r="J172" s="85"/>
      <c r="K172" s="3"/>
      <c r="L172" s="85"/>
      <c r="M172" s="85"/>
      <c r="N172" s="85"/>
      <c r="O172" s="85"/>
      <c r="P172" s="85"/>
      <c r="Q172" s="85"/>
      <c r="R172" s="85"/>
      <c r="S172" s="1"/>
      <c r="U172" s="1"/>
      <c r="V172" s="1"/>
      <c r="W172" s="1"/>
      <c r="X172" s="1"/>
      <c r="Y172" s="1"/>
      <c r="Z172" s="1"/>
      <c r="AA172" s="1"/>
      <c r="AB172" s="1"/>
      <c r="AD172" s="3"/>
      <c r="AM172" s="86"/>
      <c r="AN172" s="85"/>
      <c r="AO172" s="85"/>
      <c r="AP172" s="85"/>
      <c r="AQ172" s="85"/>
      <c r="AR172" s="85"/>
      <c r="AS172" s="85"/>
      <c r="AT172" s="21"/>
      <c r="AV172" s="3"/>
    </row>
    <row r="173" spans="3:48" x14ac:dyDescent="0.3">
      <c r="C173" s="85"/>
      <c r="D173" s="85"/>
      <c r="E173" s="85"/>
      <c r="F173" s="85"/>
      <c r="G173" s="85"/>
      <c r="H173" s="85"/>
      <c r="I173" s="85"/>
      <c r="J173" s="85"/>
      <c r="K173" s="3"/>
      <c r="L173" s="85"/>
      <c r="M173" s="85"/>
      <c r="N173" s="85"/>
      <c r="O173" s="85"/>
      <c r="P173" s="85"/>
      <c r="Q173" s="85"/>
      <c r="R173" s="85"/>
      <c r="S173" s="1"/>
      <c r="U173" s="1"/>
      <c r="V173" s="1"/>
      <c r="W173" s="1"/>
      <c r="X173" s="1"/>
      <c r="Y173" s="1"/>
      <c r="Z173" s="1"/>
      <c r="AA173" s="1"/>
      <c r="AB173" s="1"/>
      <c r="AD173" s="3"/>
      <c r="AM173" s="86"/>
      <c r="AN173" s="85"/>
      <c r="AO173" s="85"/>
      <c r="AP173" s="85"/>
      <c r="AQ173" s="85"/>
      <c r="AR173" s="85"/>
      <c r="AS173" s="85"/>
      <c r="AT173" s="21"/>
      <c r="AV173" s="3"/>
    </row>
    <row r="174" spans="3:48" x14ac:dyDescent="0.3">
      <c r="C174" s="85"/>
      <c r="D174" s="85"/>
      <c r="E174" s="85"/>
      <c r="F174" s="85"/>
      <c r="G174" s="85"/>
      <c r="H174" s="85"/>
      <c r="I174" s="85"/>
      <c r="J174" s="85"/>
      <c r="K174" s="3"/>
      <c r="L174" s="85"/>
      <c r="M174" s="85"/>
      <c r="N174" s="85"/>
      <c r="O174" s="85"/>
      <c r="P174" s="85"/>
      <c r="Q174" s="85"/>
      <c r="R174" s="85"/>
      <c r="S174" s="1"/>
      <c r="U174" s="1"/>
      <c r="V174" s="1"/>
      <c r="W174" s="1"/>
      <c r="X174" s="1"/>
      <c r="Y174" s="1"/>
      <c r="Z174" s="1"/>
      <c r="AA174" s="1"/>
      <c r="AB174" s="1"/>
      <c r="AD174" s="3"/>
      <c r="AM174" s="86"/>
      <c r="AN174" s="85"/>
      <c r="AO174" s="85"/>
      <c r="AP174" s="85"/>
      <c r="AQ174" s="85"/>
      <c r="AR174" s="85"/>
      <c r="AS174" s="85"/>
      <c r="AT174" s="21"/>
      <c r="AV174" s="3"/>
    </row>
    <row r="175" spans="3:48" x14ac:dyDescent="0.3">
      <c r="C175" s="85"/>
      <c r="D175" s="85"/>
      <c r="E175" s="85"/>
      <c r="F175" s="85"/>
      <c r="G175" s="85"/>
      <c r="H175" s="85"/>
      <c r="I175" s="85"/>
      <c r="J175" s="85"/>
      <c r="K175" s="3"/>
      <c r="L175" s="85"/>
      <c r="M175" s="85"/>
      <c r="N175" s="85"/>
      <c r="O175" s="85"/>
      <c r="P175" s="85"/>
      <c r="Q175" s="85"/>
      <c r="R175" s="85"/>
      <c r="S175" s="1"/>
      <c r="U175" s="1"/>
      <c r="V175" s="1"/>
      <c r="W175" s="1"/>
      <c r="X175" s="1"/>
      <c r="Y175" s="1"/>
      <c r="Z175" s="1"/>
      <c r="AA175" s="1"/>
      <c r="AB175" s="1"/>
      <c r="AD175" s="3"/>
      <c r="AM175" s="86"/>
      <c r="AN175" s="85"/>
      <c r="AO175" s="85"/>
      <c r="AP175" s="85"/>
      <c r="AQ175" s="85"/>
      <c r="AR175" s="85"/>
      <c r="AS175" s="85"/>
      <c r="AT175" s="21"/>
      <c r="AV175" s="3"/>
    </row>
    <row r="176" spans="3:48" x14ac:dyDescent="0.3">
      <c r="C176" s="85"/>
      <c r="D176" s="85"/>
      <c r="E176" s="85"/>
      <c r="F176" s="85"/>
      <c r="G176" s="85"/>
      <c r="H176" s="85"/>
      <c r="I176" s="85"/>
      <c r="J176" s="85"/>
      <c r="K176" s="3"/>
      <c r="L176" s="85"/>
      <c r="M176" s="85"/>
      <c r="N176" s="85"/>
      <c r="O176" s="85"/>
      <c r="P176" s="85"/>
      <c r="Q176" s="85"/>
      <c r="R176" s="85"/>
      <c r="S176" s="1"/>
      <c r="U176" s="1"/>
      <c r="V176" s="1"/>
      <c r="W176" s="1"/>
      <c r="X176" s="1"/>
      <c r="Y176" s="1"/>
      <c r="Z176" s="1"/>
      <c r="AA176" s="1"/>
      <c r="AB176" s="1"/>
      <c r="AD176" s="3"/>
      <c r="AM176" s="86"/>
      <c r="AN176" s="85"/>
      <c r="AO176" s="85"/>
      <c r="AP176" s="85"/>
      <c r="AQ176" s="85"/>
      <c r="AR176" s="85"/>
      <c r="AS176" s="85"/>
      <c r="AT176" s="21"/>
      <c r="AV176" s="3"/>
    </row>
    <row r="177" spans="3:48" x14ac:dyDescent="0.3">
      <c r="C177" s="85"/>
      <c r="D177" s="85"/>
      <c r="E177" s="85"/>
      <c r="F177" s="85"/>
      <c r="G177" s="85"/>
      <c r="H177" s="85"/>
      <c r="I177" s="85"/>
      <c r="J177" s="85"/>
      <c r="K177" s="3"/>
      <c r="L177" s="85"/>
      <c r="M177" s="85"/>
      <c r="N177" s="85"/>
      <c r="O177" s="85"/>
      <c r="P177" s="85"/>
      <c r="Q177" s="85"/>
      <c r="R177" s="85"/>
      <c r="S177" s="1"/>
      <c r="U177" s="1"/>
      <c r="V177" s="1"/>
      <c r="W177" s="1"/>
      <c r="X177" s="1"/>
      <c r="Y177" s="1"/>
      <c r="Z177" s="1"/>
      <c r="AA177" s="1"/>
      <c r="AB177" s="1"/>
      <c r="AD177" s="3"/>
      <c r="AM177" s="86"/>
      <c r="AN177" s="85"/>
      <c r="AO177" s="85"/>
      <c r="AP177" s="85"/>
      <c r="AQ177" s="85"/>
      <c r="AR177" s="85"/>
      <c r="AS177" s="85"/>
      <c r="AT177" s="21"/>
      <c r="AV177" s="3"/>
    </row>
    <row r="178" spans="3:48" x14ac:dyDescent="0.3">
      <c r="C178" s="85"/>
      <c r="D178" s="85"/>
      <c r="E178" s="85"/>
      <c r="F178" s="85"/>
      <c r="G178" s="85"/>
      <c r="H178" s="85"/>
      <c r="I178" s="85"/>
      <c r="J178" s="85"/>
      <c r="K178" s="3"/>
      <c r="L178" s="85"/>
      <c r="M178" s="85"/>
      <c r="N178" s="85"/>
      <c r="O178" s="85"/>
      <c r="P178" s="85"/>
      <c r="Q178" s="85"/>
      <c r="R178" s="85"/>
      <c r="S178" s="1"/>
      <c r="U178" s="1"/>
      <c r="V178" s="1"/>
      <c r="W178" s="1"/>
      <c r="X178" s="1"/>
      <c r="Y178" s="1"/>
      <c r="Z178" s="1"/>
      <c r="AA178" s="1"/>
      <c r="AB178" s="1"/>
      <c r="AD178" s="3"/>
      <c r="AM178" s="86"/>
      <c r="AN178" s="85"/>
      <c r="AO178" s="85"/>
      <c r="AP178" s="85"/>
      <c r="AQ178" s="85"/>
      <c r="AR178" s="85"/>
      <c r="AS178" s="85"/>
      <c r="AT178" s="21"/>
      <c r="AV178" s="3"/>
    </row>
    <row r="179" spans="3:48" x14ac:dyDescent="0.3">
      <c r="C179" s="85"/>
      <c r="D179" s="85"/>
      <c r="E179" s="85"/>
      <c r="F179" s="85"/>
      <c r="G179" s="85"/>
      <c r="H179" s="85"/>
      <c r="I179" s="85"/>
      <c r="J179" s="85"/>
      <c r="K179" s="3"/>
      <c r="L179" s="85"/>
      <c r="M179" s="85"/>
      <c r="N179" s="85"/>
      <c r="O179" s="85"/>
      <c r="P179" s="85"/>
      <c r="Q179" s="85"/>
      <c r="R179" s="85"/>
      <c r="S179" s="1"/>
      <c r="U179" s="1"/>
      <c r="V179" s="1"/>
      <c r="W179" s="1"/>
      <c r="X179" s="1"/>
      <c r="Y179" s="1"/>
      <c r="Z179" s="1"/>
      <c r="AA179" s="1"/>
      <c r="AB179" s="1"/>
      <c r="AD179" s="3"/>
      <c r="AM179" s="86"/>
      <c r="AN179" s="85"/>
      <c r="AO179" s="85"/>
      <c r="AP179" s="85"/>
      <c r="AQ179" s="85"/>
      <c r="AR179" s="85"/>
      <c r="AS179" s="85"/>
      <c r="AT179" s="21"/>
      <c r="AV179" s="3"/>
    </row>
    <row r="180" spans="3:48" x14ac:dyDescent="0.3">
      <c r="C180" s="85"/>
      <c r="D180" s="85"/>
      <c r="E180" s="85"/>
      <c r="F180" s="85"/>
      <c r="G180" s="85"/>
      <c r="H180" s="85"/>
      <c r="I180" s="85"/>
      <c r="J180" s="85"/>
      <c r="K180" s="3"/>
      <c r="L180" s="85"/>
      <c r="M180" s="85"/>
      <c r="N180" s="85"/>
      <c r="O180" s="85"/>
      <c r="P180" s="85"/>
      <c r="Q180" s="85"/>
      <c r="R180" s="85"/>
      <c r="S180" s="1"/>
      <c r="U180" s="1"/>
      <c r="V180" s="1"/>
      <c r="W180" s="1"/>
      <c r="X180" s="1"/>
      <c r="Y180" s="1"/>
      <c r="Z180" s="1"/>
      <c r="AA180" s="1"/>
      <c r="AB180" s="1"/>
      <c r="AD180" s="3"/>
      <c r="AM180" s="86"/>
      <c r="AN180" s="85"/>
      <c r="AO180" s="85"/>
      <c r="AP180" s="85"/>
      <c r="AQ180" s="85"/>
      <c r="AR180" s="85"/>
      <c r="AS180" s="85"/>
      <c r="AT180" s="21"/>
      <c r="AV180" s="3"/>
    </row>
    <row r="181" spans="3:48" x14ac:dyDescent="0.3">
      <c r="C181" s="85"/>
      <c r="D181" s="85"/>
      <c r="E181" s="85"/>
      <c r="F181" s="85"/>
      <c r="G181" s="85"/>
      <c r="H181" s="85"/>
      <c r="I181" s="85"/>
      <c r="J181" s="85"/>
      <c r="K181" s="3"/>
      <c r="L181" s="85"/>
      <c r="M181" s="85"/>
      <c r="N181" s="85"/>
      <c r="O181" s="85"/>
      <c r="P181" s="85"/>
      <c r="Q181" s="85"/>
      <c r="R181" s="85"/>
      <c r="S181" s="1"/>
      <c r="U181" s="1"/>
      <c r="V181" s="1"/>
      <c r="W181" s="1"/>
      <c r="X181" s="1"/>
      <c r="Y181" s="1"/>
      <c r="Z181" s="1"/>
      <c r="AA181" s="1"/>
      <c r="AB181" s="1"/>
      <c r="AD181" s="3"/>
      <c r="AM181" s="86"/>
      <c r="AN181" s="85"/>
      <c r="AO181" s="85"/>
      <c r="AP181" s="85"/>
      <c r="AQ181" s="85"/>
      <c r="AR181" s="85"/>
      <c r="AS181" s="85"/>
      <c r="AT181" s="21"/>
      <c r="AV181" s="3"/>
    </row>
    <row r="182" spans="3:48" x14ac:dyDescent="0.3">
      <c r="C182" s="85"/>
      <c r="D182" s="85"/>
      <c r="E182" s="85"/>
      <c r="F182" s="85"/>
      <c r="G182" s="85"/>
      <c r="H182" s="85"/>
      <c r="I182" s="85"/>
      <c r="J182" s="85"/>
      <c r="K182" s="3"/>
      <c r="L182" s="85"/>
      <c r="M182" s="85"/>
      <c r="N182" s="85"/>
      <c r="O182" s="85"/>
      <c r="P182" s="85"/>
      <c r="Q182" s="85"/>
      <c r="R182" s="85"/>
      <c r="S182" s="1"/>
      <c r="U182" s="1"/>
      <c r="V182" s="1"/>
      <c r="W182" s="1"/>
      <c r="X182" s="1"/>
      <c r="Y182" s="1"/>
      <c r="Z182" s="1"/>
      <c r="AA182" s="1"/>
      <c r="AB182" s="1"/>
      <c r="AD182" s="3"/>
      <c r="AM182" s="86"/>
      <c r="AN182" s="85"/>
      <c r="AO182" s="85"/>
      <c r="AP182" s="85"/>
      <c r="AQ182" s="85"/>
      <c r="AR182" s="85"/>
      <c r="AS182" s="85"/>
      <c r="AT182" s="21"/>
      <c r="AV182" s="3"/>
    </row>
    <row r="183" spans="3:48" x14ac:dyDescent="0.3">
      <c r="C183" s="85"/>
      <c r="D183" s="85"/>
      <c r="E183" s="85"/>
      <c r="F183" s="85"/>
      <c r="G183" s="85"/>
      <c r="H183" s="85"/>
      <c r="I183" s="85"/>
      <c r="J183" s="85"/>
      <c r="K183" s="3"/>
      <c r="L183" s="85"/>
      <c r="M183" s="85"/>
      <c r="N183" s="85"/>
      <c r="O183" s="85"/>
      <c r="P183" s="85"/>
      <c r="Q183" s="85"/>
      <c r="R183" s="85"/>
      <c r="S183" s="1"/>
      <c r="U183" s="1"/>
      <c r="V183" s="1"/>
      <c r="W183" s="1"/>
      <c r="X183" s="1"/>
      <c r="Y183" s="1"/>
      <c r="Z183" s="1"/>
      <c r="AA183" s="1"/>
      <c r="AB183" s="1"/>
      <c r="AD183" s="3"/>
      <c r="AM183" s="86"/>
      <c r="AN183" s="85"/>
      <c r="AO183" s="85"/>
      <c r="AP183" s="85"/>
      <c r="AQ183" s="85"/>
      <c r="AR183" s="85"/>
      <c r="AS183" s="85"/>
      <c r="AT183" s="21"/>
      <c r="AV183" s="3"/>
    </row>
    <row r="184" spans="3:48" x14ac:dyDescent="0.3">
      <c r="C184" s="85"/>
      <c r="D184" s="85"/>
      <c r="E184" s="85"/>
      <c r="F184" s="85"/>
      <c r="G184" s="85"/>
      <c r="H184" s="85"/>
      <c r="I184" s="85"/>
      <c r="J184" s="85"/>
      <c r="K184" s="3"/>
      <c r="L184" s="85"/>
      <c r="M184" s="85"/>
      <c r="N184" s="85"/>
      <c r="O184" s="85"/>
      <c r="P184" s="85"/>
      <c r="Q184" s="85"/>
      <c r="R184" s="85"/>
      <c r="S184" s="1"/>
      <c r="U184" s="1"/>
      <c r="V184" s="1"/>
      <c r="W184" s="1"/>
      <c r="X184" s="1"/>
      <c r="Y184" s="1"/>
      <c r="Z184" s="1"/>
      <c r="AA184" s="1"/>
      <c r="AB184" s="1"/>
      <c r="AD184" s="3"/>
      <c r="AM184" s="86"/>
      <c r="AN184" s="85"/>
      <c r="AO184" s="85"/>
      <c r="AP184" s="85"/>
      <c r="AQ184" s="85"/>
      <c r="AR184" s="85"/>
      <c r="AS184" s="85"/>
      <c r="AT184" s="21"/>
      <c r="AV184" s="3"/>
    </row>
    <row r="185" spans="3:48" x14ac:dyDescent="0.3">
      <c r="C185" s="85"/>
      <c r="D185" s="85"/>
      <c r="E185" s="85"/>
      <c r="F185" s="85"/>
      <c r="G185" s="85"/>
      <c r="H185" s="85"/>
      <c r="I185" s="85"/>
      <c r="J185" s="85"/>
      <c r="K185" s="3"/>
      <c r="L185" s="85"/>
      <c r="M185" s="85"/>
      <c r="N185" s="85"/>
      <c r="O185" s="85"/>
      <c r="P185" s="85"/>
      <c r="Q185" s="85"/>
      <c r="R185" s="85"/>
      <c r="S185" s="1"/>
      <c r="U185" s="1"/>
      <c r="V185" s="1"/>
      <c r="W185" s="1"/>
      <c r="X185" s="1"/>
      <c r="Y185" s="1"/>
      <c r="Z185" s="1"/>
      <c r="AA185" s="1"/>
      <c r="AB185" s="1"/>
      <c r="AD185" s="3"/>
      <c r="AM185" s="86"/>
      <c r="AN185" s="85"/>
      <c r="AO185" s="85"/>
      <c r="AP185" s="85"/>
      <c r="AQ185" s="85"/>
      <c r="AR185" s="85"/>
      <c r="AS185" s="85"/>
      <c r="AT185" s="21"/>
      <c r="AV185" s="3"/>
    </row>
    <row r="186" spans="3:48" x14ac:dyDescent="0.3">
      <c r="C186" s="85"/>
      <c r="D186" s="85"/>
      <c r="E186" s="85"/>
      <c r="F186" s="85"/>
      <c r="G186" s="85"/>
      <c r="H186" s="85"/>
      <c r="I186" s="85"/>
      <c r="J186" s="85"/>
      <c r="K186" s="3"/>
      <c r="L186" s="85"/>
      <c r="M186" s="85"/>
      <c r="N186" s="85"/>
      <c r="O186" s="85"/>
      <c r="P186" s="85"/>
      <c r="Q186" s="85"/>
      <c r="R186" s="85"/>
      <c r="S186" s="1"/>
      <c r="U186" s="1"/>
      <c r="V186" s="1"/>
      <c r="W186" s="1"/>
      <c r="X186" s="1"/>
      <c r="Y186" s="1"/>
      <c r="Z186" s="1"/>
      <c r="AA186" s="1"/>
      <c r="AB186" s="1"/>
      <c r="AD186" s="3"/>
      <c r="AM186" s="86"/>
      <c r="AN186" s="85"/>
      <c r="AO186" s="85"/>
      <c r="AP186" s="85"/>
      <c r="AQ186" s="85"/>
      <c r="AR186" s="85"/>
      <c r="AS186" s="85"/>
      <c r="AT186" s="21"/>
      <c r="AV186" s="3"/>
    </row>
    <row r="187" spans="3:48" x14ac:dyDescent="0.3">
      <c r="C187" s="85"/>
      <c r="D187" s="85"/>
      <c r="E187" s="85"/>
      <c r="F187" s="85"/>
      <c r="G187" s="85"/>
      <c r="H187" s="85"/>
      <c r="I187" s="85"/>
      <c r="J187" s="85"/>
      <c r="K187" s="3"/>
      <c r="L187" s="85"/>
      <c r="M187" s="85"/>
      <c r="N187" s="85"/>
      <c r="O187" s="85"/>
      <c r="P187" s="85"/>
      <c r="Q187" s="85"/>
      <c r="R187" s="85"/>
      <c r="S187" s="1"/>
      <c r="U187" s="1"/>
      <c r="V187" s="1"/>
      <c r="W187" s="1"/>
      <c r="X187" s="1"/>
      <c r="Y187" s="1"/>
      <c r="Z187" s="1"/>
      <c r="AA187" s="1"/>
      <c r="AB187" s="1"/>
      <c r="AD187" s="3"/>
      <c r="AM187" s="86"/>
      <c r="AN187" s="85"/>
      <c r="AO187" s="85"/>
      <c r="AP187" s="85"/>
      <c r="AQ187" s="85"/>
      <c r="AR187" s="85"/>
      <c r="AS187" s="85"/>
      <c r="AT187" s="21"/>
      <c r="AV187" s="3"/>
    </row>
    <row r="188" spans="3:48" x14ac:dyDescent="0.3">
      <c r="C188" s="85"/>
      <c r="D188" s="85"/>
      <c r="E188" s="85"/>
      <c r="F188" s="85"/>
      <c r="G188" s="85"/>
      <c r="H188" s="85"/>
      <c r="I188" s="85"/>
      <c r="J188" s="85"/>
      <c r="K188" s="3"/>
      <c r="L188" s="85"/>
      <c r="M188" s="85"/>
      <c r="N188" s="85"/>
      <c r="O188" s="85"/>
      <c r="P188" s="85"/>
      <c r="Q188" s="85"/>
      <c r="R188" s="85"/>
      <c r="S188" s="1"/>
      <c r="U188" s="1"/>
      <c r="V188" s="1"/>
      <c r="W188" s="1"/>
      <c r="X188" s="1"/>
      <c r="Y188" s="1"/>
      <c r="Z188" s="1"/>
      <c r="AA188" s="1"/>
      <c r="AB188" s="1"/>
      <c r="AD188" s="3"/>
      <c r="AM188" s="86"/>
      <c r="AN188" s="85"/>
      <c r="AO188" s="85"/>
      <c r="AP188" s="85"/>
      <c r="AQ188" s="85"/>
      <c r="AR188" s="85"/>
      <c r="AS188" s="85"/>
      <c r="AT188" s="21"/>
      <c r="AV188" s="3"/>
    </row>
    <row r="189" spans="3:48" x14ac:dyDescent="0.3">
      <c r="C189" s="85"/>
      <c r="D189" s="85"/>
      <c r="E189" s="85"/>
      <c r="F189" s="85"/>
      <c r="G189" s="85"/>
      <c r="H189" s="85"/>
      <c r="I189" s="85"/>
      <c r="J189" s="85"/>
      <c r="K189" s="3"/>
      <c r="L189" s="85"/>
      <c r="M189" s="85"/>
      <c r="N189" s="85"/>
      <c r="O189" s="85"/>
      <c r="P189" s="85"/>
      <c r="Q189" s="85"/>
      <c r="R189" s="85"/>
      <c r="S189" s="1"/>
      <c r="U189" s="1"/>
      <c r="V189" s="1"/>
      <c r="W189" s="1"/>
      <c r="X189" s="1"/>
      <c r="Y189" s="1"/>
      <c r="Z189" s="1"/>
      <c r="AA189" s="1"/>
      <c r="AB189" s="1"/>
      <c r="AD189" s="3"/>
      <c r="AM189" s="86"/>
      <c r="AN189" s="85"/>
      <c r="AO189" s="85"/>
      <c r="AP189" s="85"/>
      <c r="AQ189" s="85"/>
      <c r="AR189" s="85"/>
      <c r="AS189" s="85"/>
      <c r="AT189" s="21"/>
      <c r="AV189" s="3"/>
    </row>
    <row r="190" spans="3:48" x14ac:dyDescent="0.3">
      <c r="C190" s="85"/>
      <c r="D190" s="85"/>
      <c r="E190" s="85"/>
      <c r="F190" s="85"/>
      <c r="G190" s="85"/>
      <c r="H190" s="85"/>
      <c r="I190" s="85"/>
      <c r="J190" s="85"/>
      <c r="K190" s="3"/>
      <c r="L190" s="85"/>
      <c r="M190" s="85"/>
      <c r="N190" s="85"/>
      <c r="O190" s="85"/>
      <c r="P190" s="85"/>
      <c r="Q190" s="85"/>
      <c r="R190" s="85"/>
      <c r="S190" s="1"/>
      <c r="U190" s="1"/>
      <c r="V190" s="1"/>
      <c r="W190" s="1"/>
      <c r="X190" s="1"/>
      <c r="Y190" s="1"/>
      <c r="Z190" s="1"/>
      <c r="AA190" s="1"/>
      <c r="AB190" s="1"/>
      <c r="AD190" s="3"/>
      <c r="AM190" s="86"/>
      <c r="AN190" s="85"/>
      <c r="AO190" s="85"/>
      <c r="AP190" s="85"/>
      <c r="AQ190" s="85"/>
      <c r="AR190" s="85"/>
      <c r="AS190" s="85"/>
      <c r="AT190" s="21"/>
      <c r="AV190" s="3"/>
    </row>
    <row r="191" spans="3:48" x14ac:dyDescent="0.3">
      <c r="C191" s="85"/>
      <c r="D191" s="85"/>
      <c r="E191" s="85"/>
      <c r="F191" s="85"/>
      <c r="G191" s="85"/>
      <c r="H191" s="85"/>
      <c r="I191" s="85"/>
      <c r="J191" s="85"/>
      <c r="K191" s="3"/>
      <c r="L191" s="85"/>
      <c r="M191" s="85"/>
      <c r="N191" s="85"/>
      <c r="O191" s="85"/>
      <c r="P191" s="85"/>
      <c r="Q191" s="85"/>
      <c r="R191" s="85"/>
      <c r="S191" s="1"/>
      <c r="U191" s="1"/>
      <c r="V191" s="1"/>
      <c r="W191" s="1"/>
      <c r="X191" s="1"/>
      <c r="Y191" s="1"/>
      <c r="Z191" s="1"/>
      <c r="AA191" s="1"/>
      <c r="AB191" s="1"/>
      <c r="AD191" s="3"/>
      <c r="AM191" s="86"/>
      <c r="AN191" s="85"/>
      <c r="AO191" s="85"/>
      <c r="AP191" s="85"/>
      <c r="AQ191" s="85"/>
      <c r="AR191" s="85"/>
      <c r="AS191" s="85"/>
      <c r="AT191" s="21"/>
      <c r="AV191" s="3"/>
    </row>
    <row r="192" spans="3:48" x14ac:dyDescent="0.3">
      <c r="C192" s="85"/>
      <c r="D192" s="85"/>
      <c r="E192" s="85"/>
      <c r="F192" s="85"/>
      <c r="G192" s="85"/>
      <c r="H192" s="85"/>
      <c r="I192" s="85"/>
      <c r="J192" s="85"/>
      <c r="K192" s="3"/>
      <c r="L192" s="85"/>
      <c r="M192" s="85"/>
      <c r="N192" s="85"/>
      <c r="O192" s="85"/>
      <c r="P192" s="85"/>
      <c r="Q192" s="85"/>
      <c r="R192" s="85"/>
      <c r="S192" s="1"/>
      <c r="U192" s="1"/>
      <c r="V192" s="1"/>
      <c r="W192" s="1"/>
      <c r="X192" s="1"/>
      <c r="Y192" s="1"/>
      <c r="Z192" s="1"/>
      <c r="AA192" s="1"/>
      <c r="AB192" s="1"/>
      <c r="AD192" s="3"/>
      <c r="AM192" s="86"/>
      <c r="AN192" s="85"/>
      <c r="AO192" s="85"/>
      <c r="AP192" s="85"/>
      <c r="AQ192" s="85"/>
      <c r="AR192" s="85"/>
      <c r="AS192" s="85"/>
      <c r="AT192" s="21"/>
      <c r="AV192" s="3"/>
    </row>
    <row r="193" spans="3:48" x14ac:dyDescent="0.3">
      <c r="C193" s="85"/>
      <c r="D193" s="85"/>
      <c r="E193" s="85"/>
      <c r="F193" s="85"/>
      <c r="G193" s="85"/>
      <c r="H193" s="85"/>
      <c r="I193" s="85"/>
      <c r="J193" s="85"/>
      <c r="K193" s="3"/>
      <c r="L193" s="85"/>
      <c r="M193" s="85"/>
      <c r="N193" s="85"/>
      <c r="O193" s="85"/>
      <c r="P193" s="85"/>
      <c r="Q193" s="85"/>
      <c r="R193" s="85"/>
      <c r="S193" s="1"/>
      <c r="U193" s="1"/>
      <c r="V193" s="1"/>
      <c r="W193" s="1"/>
      <c r="X193" s="1"/>
      <c r="Y193" s="1"/>
      <c r="Z193" s="1"/>
      <c r="AA193" s="1"/>
      <c r="AB193" s="1"/>
      <c r="AD193" s="3"/>
      <c r="AM193" s="86"/>
      <c r="AN193" s="85"/>
      <c r="AO193" s="85"/>
      <c r="AP193" s="85"/>
      <c r="AQ193" s="85"/>
      <c r="AR193" s="85"/>
      <c r="AS193" s="85"/>
      <c r="AT193" s="21"/>
      <c r="AV193" s="3"/>
    </row>
    <row r="194" spans="3:48" x14ac:dyDescent="0.3">
      <c r="C194" s="85"/>
      <c r="D194" s="85"/>
      <c r="E194" s="85"/>
      <c r="F194" s="85"/>
      <c r="G194" s="85"/>
      <c r="H194" s="85"/>
      <c r="I194" s="85"/>
      <c r="J194" s="85"/>
      <c r="K194" s="3"/>
      <c r="L194" s="85"/>
      <c r="M194" s="85"/>
      <c r="N194" s="85"/>
      <c r="O194" s="85"/>
      <c r="P194" s="85"/>
      <c r="Q194" s="85"/>
      <c r="R194" s="85"/>
      <c r="S194" s="1"/>
      <c r="U194" s="1"/>
      <c r="V194" s="1"/>
      <c r="W194" s="1"/>
      <c r="X194" s="1"/>
      <c r="Y194" s="1"/>
      <c r="Z194" s="1"/>
      <c r="AA194" s="1"/>
      <c r="AB194" s="1"/>
      <c r="AD194" s="3"/>
      <c r="AM194" s="86"/>
      <c r="AN194" s="85"/>
      <c r="AO194" s="85"/>
      <c r="AP194" s="85"/>
      <c r="AQ194" s="85"/>
      <c r="AR194" s="85"/>
      <c r="AS194" s="85"/>
      <c r="AT194" s="21"/>
      <c r="AV194" s="3"/>
    </row>
    <row r="195" spans="3:48" x14ac:dyDescent="0.3">
      <c r="C195" s="85"/>
      <c r="D195" s="85"/>
      <c r="E195" s="85"/>
      <c r="F195" s="85"/>
      <c r="G195" s="85"/>
      <c r="H195" s="85"/>
      <c r="I195" s="85"/>
      <c r="J195" s="85"/>
      <c r="K195" s="3"/>
      <c r="L195" s="85"/>
      <c r="M195" s="85"/>
      <c r="N195" s="85"/>
      <c r="O195" s="85"/>
      <c r="P195" s="85"/>
      <c r="Q195" s="85"/>
      <c r="R195" s="85"/>
      <c r="S195" s="1"/>
      <c r="U195" s="1"/>
      <c r="V195" s="1"/>
      <c r="W195" s="1"/>
      <c r="X195" s="1"/>
      <c r="Y195" s="1"/>
      <c r="Z195" s="1"/>
      <c r="AA195" s="1"/>
      <c r="AB195" s="1"/>
      <c r="AD195" s="3"/>
      <c r="AM195" s="86"/>
      <c r="AN195" s="85"/>
      <c r="AO195" s="85"/>
      <c r="AP195" s="85"/>
      <c r="AQ195" s="85"/>
      <c r="AR195" s="85"/>
      <c r="AS195" s="85"/>
      <c r="AT195" s="21"/>
      <c r="AV195" s="3"/>
    </row>
    <row r="196" spans="3:48" x14ac:dyDescent="0.3">
      <c r="C196" s="85"/>
      <c r="D196" s="85"/>
      <c r="E196" s="85"/>
      <c r="F196" s="85"/>
      <c r="G196" s="85"/>
      <c r="H196" s="85"/>
      <c r="I196" s="85"/>
      <c r="J196" s="85"/>
      <c r="K196" s="3"/>
      <c r="L196" s="85"/>
      <c r="M196" s="85"/>
      <c r="N196" s="85"/>
      <c r="O196" s="85"/>
      <c r="P196" s="85"/>
      <c r="Q196" s="85"/>
      <c r="R196" s="85"/>
      <c r="S196" s="1"/>
      <c r="U196" s="1"/>
      <c r="V196" s="1"/>
      <c r="W196" s="1"/>
      <c r="X196" s="1"/>
      <c r="Y196" s="1"/>
      <c r="Z196" s="1"/>
      <c r="AA196" s="1"/>
      <c r="AB196" s="1"/>
      <c r="AD196" s="3"/>
      <c r="AM196" s="86"/>
      <c r="AN196" s="85"/>
      <c r="AO196" s="85"/>
      <c r="AP196" s="85"/>
      <c r="AQ196" s="85"/>
      <c r="AR196" s="85"/>
      <c r="AS196" s="85"/>
      <c r="AT196" s="21"/>
      <c r="AV196" s="3"/>
    </row>
    <row r="197" spans="3:48" x14ac:dyDescent="0.3">
      <c r="C197" s="85"/>
      <c r="D197" s="85"/>
      <c r="E197" s="85"/>
      <c r="F197" s="85"/>
      <c r="G197" s="85"/>
      <c r="H197" s="85"/>
      <c r="I197" s="85"/>
      <c r="J197" s="85"/>
      <c r="K197" s="3"/>
      <c r="L197" s="85"/>
      <c r="M197" s="85"/>
      <c r="N197" s="85"/>
      <c r="O197" s="85"/>
      <c r="P197" s="85"/>
      <c r="Q197" s="85"/>
      <c r="R197" s="85"/>
      <c r="S197" s="1"/>
      <c r="U197" s="1"/>
      <c r="V197" s="1"/>
      <c r="W197" s="1"/>
      <c r="X197" s="1"/>
      <c r="Y197" s="1"/>
      <c r="Z197" s="1"/>
      <c r="AA197" s="1"/>
      <c r="AB197" s="1"/>
      <c r="AD197" s="3"/>
      <c r="AM197" s="86"/>
      <c r="AN197" s="85"/>
      <c r="AO197" s="85"/>
      <c r="AP197" s="85"/>
      <c r="AQ197" s="85"/>
      <c r="AR197" s="85"/>
      <c r="AS197" s="85"/>
      <c r="AT197" s="21"/>
      <c r="AV197" s="3"/>
    </row>
    <row r="198" spans="3:48" x14ac:dyDescent="0.3">
      <c r="C198" s="85"/>
      <c r="D198" s="85"/>
      <c r="E198" s="85"/>
      <c r="F198" s="85"/>
      <c r="G198" s="85"/>
      <c r="H198" s="85"/>
      <c r="I198" s="85"/>
      <c r="J198" s="85"/>
      <c r="K198" s="3"/>
      <c r="L198" s="85"/>
      <c r="M198" s="85"/>
      <c r="N198" s="85"/>
      <c r="O198" s="85"/>
      <c r="P198" s="85"/>
      <c r="Q198" s="85"/>
      <c r="R198" s="85"/>
      <c r="S198" s="1"/>
      <c r="U198" s="1"/>
      <c r="V198" s="1"/>
      <c r="W198" s="1"/>
      <c r="X198" s="1"/>
      <c r="Y198" s="1"/>
      <c r="Z198" s="1"/>
      <c r="AA198" s="1"/>
      <c r="AB198" s="1"/>
      <c r="AD198" s="3"/>
      <c r="AM198" s="86"/>
      <c r="AN198" s="85"/>
      <c r="AO198" s="85"/>
      <c r="AP198" s="85"/>
      <c r="AQ198" s="85"/>
      <c r="AR198" s="85"/>
      <c r="AS198" s="85"/>
      <c r="AT198" s="21"/>
      <c r="AV198" s="3"/>
    </row>
    <row r="199" spans="3:48" x14ac:dyDescent="0.3">
      <c r="C199" s="85"/>
      <c r="D199" s="85"/>
      <c r="E199" s="85"/>
      <c r="F199" s="85"/>
      <c r="G199" s="85"/>
      <c r="H199" s="85"/>
      <c r="I199" s="85"/>
      <c r="J199" s="25"/>
      <c r="K199" s="3"/>
      <c r="L199" s="85"/>
      <c r="M199" s="85"/>
      <c r="N199" s="85"/>
      <c r="O199" s="85"/>
      <c r="P199" s="85"/>
      <c r="Q199" s="85"/>
      <c r="R199" s="85"/>
      <c r="S199" s="1"/>
      <c r="U199" s="1"/>
      <c r="V199" s="1"/>
      <c r="W199" s="1"/>
      <c r="X199" s="1"/>
      <c r="Y199" s="1"/>
      <c r="Z199" s="1"/>
      <c r="AA199" s="1"/>
      <c r="AB199" s="1"/>
      <c r="AD199" s="3"/>
      <c r="AM199" s="86"/>
      <c r="AN199" s="85"/>
      <c r="AO199" s="85"/>
      <c r="AP199" s="85"/>
      <c r="AQ199" s="85"/>
      <c r="AR199" s="85"/>
      <c r="AS199" s="85"/>
      <c r="AT199" s="21"/>
      <c r="AV199" s="3"/>
    </row>
    <row r="200" spans="3:48" x14ac:dyDescent="0.3">
      <c r="C200" s="85"/>
      <c r="D200" s="85"/>
      <c r="E200" s="85"/>
      <c r="F200" s="85"/>
      <c r="G200" s="85"/>
      <c r="H200" s="85"/>
      <c r="I200" s="85"/>
      <c r="J200" s="25"/>
      <c r="K200" s="3"/>
      <c r="L200" s="85"/>
      <c r="M200" s="85"/>
      <c r="N200" s="85"/>
      <c r="O200" s="85"/>
      <c r="P200" s="85"/>
      <c r="Q200" s="85"/>
      <c r="R200" s="85"/>
      <c r="S200" s="1"/>
      <c r="U200" s="1"/>
      <c r="V200" s="1"/>
      <c r="W200" s="1"/>
      <c r="X200" s="1"/>
      <c r="Y200" s="1"/>
      <c r="Z200" s="1"/>
      <c r="AA200" s="1"/>
      <c r="AB200" s="1"/>
      <c r="AD200" s="3"/>
      <c r="AM200" s="86"/>
      <c r="AN200" s="85"/>
      <c r="AO200" s="85"/>
      <c r="AP200" s="85"/>
      <c r="AQ200" s="85"/>
      <c r="AR200" s="85"/>
      <c r="AS200" s="85"/>
      <c r="AT200" s="21"/>
      <c r="AV200" s="3"/>
    </row>
    <row r="201" spans="3:48" x14ac:dyDescent="0.3">
      <c r="C201" s="85"/>
      <c r="D201" s="85"/>
      <c r="E201" s="85"/>
      <c r="F201" s="85"/>
      <c r="G201" s="85"/>
      <c r="H201" s="85"/>
      <c r="I201" s="85"/>
      <c r="J201" s="25"/>
      <c r="K201" s="3"/>
      <c r="L201" s="85"/>
      <c r="M201" s="85"/>
      <c r="N201" s="85"/>
      <c r="O201" s="85"/>
      <c r="P201" s="85"/>
      <c r="Q201" s="85"/>
      <c r="R201" s="85"/>
      <c r="S201" s="1"/>
      <c r="U201" s="1"/>
      <c r="V201" s="1"/>
      <c r="W201" s="1"/>
      <c r="X201" s="1"/>
      <c r="Y201" s="1"/>
      <c r="Z201" s="1"/>
      <c r="AA201" s="1"/>
      <c r="AB201" s="1"/>
      <c r="AD201" s="3"/>
      <c r="AM201" s="86"/>
      <c r="AN201" s="85"/>
      <c r="AO201" s="85"/>
      <c r="AP201" s="85"/>
      <c r="AQ201" s="85"/>
      <c r="AR201" s="85"/>
      <c r="AS201" s="85"/>
      <c r="AT201" s="21"/>
      <c r="AV201" s="3"/>
    </row>
    <row r="202" spans="3:48" x14ac:dyDescent="0.3">
      <c r="C202" s="85"/>
      <c r="D202" s="85"/>
      <c r="E202" s="85"/>
      <c r="F202" s="85"/>
      <c r="G202" s="85"/>
      <c r="H202" s="85"/>
      <c r="I202" s="85"/>
      <c r="J202" s="25"/>
      <c r="K202" s="3"/>
      <c r="L202" s="85"/>
      <c r="M202" s="85"/>
      <c r="N202" s="85"/>
      <c r="O202" s="85"/>
      <c r="P202" s="85"/>
      <c r="Q202" s="85"/>
      <c r="R202" s="85"/>
      <c r="S202" s="1"/>
      <c r="U202" s="1"/>
      <c r="V202" s="1"/>
      <c r="W202" s="1"/>
      <c r="X202" s="1"/>
      <c r="Y202" s="1"/>
      <c r="Z202" s="1"/>
      <c r="AA202" s="1"/>
      <c r="AB202" s="1"/>
      <c r="AD202" s="3"/>
      <c r="AM202" s="86"/>
      <c r="AN202" s="85"/>
      <c r="AO202" s="85"/>
      <c r="AP202" s="85"/>
      <c r="AQ202" s="85"/>
      <c r="AR202" s="85"/>
      <c r="AS202" s="85"/>
      <c r="AT202" s="21"/>
      <c r="AV202" s="3"/>
    </row>
    <row r="203" spans="3:48" x14ac:dyDescent="0.3">
      <c r="C203" s="85"/>
      <c r="D203" s="85"/>
      <c r="E203" s="85"/>
      <c r="F203" s="85"/>
      <c r="G203" s="85"/>
      <c r="H203" s="85"/>
      <c r="I203" s="85"/>
      <c r="J203" s="25"/>
      <c r="K203" s="3"/>
      <c r="L203" s="85"/>
      <c r="M203" s="85"/>
      <c r="N203" s="85"/>
      <c r="O203" s="85"/>
      <c r="P203" s="85"/>
      <c r="Q203" s="85"/>
      <c r="R203" s="85"/>
      <c r="S203" s="1"/>
      <c r="U203" s="1"/>
      <c r="V203" s="1"/>
      <c r="W203" s="1"/>
      <c r="X203" s="1"/>
      <c r="Y203" s="1"/>
      <c r="Z203" s="1"/>
      <c r="AA203" s="1"/>
      <c r="AB203" s="1"/>
      <c r="AD203" s="3"/>
      <c r="AM203" s="86"/>
      <c r="AN203" s="85"/>
      <c r="AO203" s="85"/>
      <c r="AP203" s="85"/>
      <c r="AQ203" s="85"/>
      <c r="AR203" s="85"/>
      <c r="AS203" s="85"/>
      <c r="AT203" s="21"/>
      <c r="AV203" s="3"/>
    </row>
    <row r="204" spans="3:48" x14ac:dyDescent="0.3">
      <c r="C204" s="85"/>
      <c r="D204" s="85"/>
      <c r="E204" s="85"/>
      <c r="F204" s="85"/>
      <c r="G204" s="85"/>
      <c r="H204" s="85"/>
      <c r="I204" s="85"/>
      <c r="J204" s="25"/>
      <c r="K204" s="3"/>
      <c r="L204" s="85"/>
      <c r="M204" s="85"/>
      <c r="N204" s="85"/>
      <c r="O204" s="85"/>
      <c r="P204" s="85"/>
      <c r="Q204" s="85"/>
      <c r="R204" s="85"/>
      <c r="S204" s="1"/>
      <c r="U204" s="1"/>
      <c r="V204" s="1"/>
      <c r="W204" s="1"/>
      <c r="X204" s="1"/>
      <c r="Y204" s="1"/>
      <c r="Z204" s="1"/>
      <c r="AA204" s="1"/>
      <c r="AB204" s="1"/>
      <c r="AD204" s="3"/>
      <c r="AM204" s="86"/>
      <c r="AN204" s="85"/>
      <c r="AO204" s="85"/>
      <c r="AP204" s="85"/>
      <c r="AQ204" s="85"/>
      <c r="AR204" s="85"/>
      <c r="AS204" s="85"/>
      <c r="AT204" s="21"/>
      <c r="AV204" s="3"/>
    </row>
    <row r="205" spans="3:48" x14ac:dyDescent="0.3">
      <c r="C205" s="85"/>
      <c r="D205" s="85"/>
      <c r="E205" s="85"/>
      <c r="F205" s="85"/>
      <c r="G205" s="85"/>
      <c r="H205" s="85"/>
      <c r="I205" s="85"/>
      <c r="J205" s="25"/>
      <c r="K205" s="3"/>
      <c r="L205" s="85"/>
      <c r="M205" s="85"/>
      <c r="N205" s="85"/>
      <c r="O205" s="85"/>
      <c r="P205" s="85"/>
      <c r="Q205" s="85"/>
      <c r="R205" s="85"/>
      <c r="S205" s="1"/>
      <c r="U205" s="1"/>
      <c r="V205" s="1"/>
      <c r="W205" s="1"/>
      <c r="X205" s="1"/>
      <c r="Y205" s="1"/>
      <c r="Z205" s="1"/>
      <c r="AA205" s="1"/>
      <c r="AB205" s="1"/>
      <c r="AD205" s="3"/>
      <c r="AM205" s="86"/>
      <c r="AN205" s="85"/>
      <c r="AO205" s="85"/>
      <c r="AP205" s="85"/>
      <c r="AQ205" s="85"/>
      <c r="AR205" s="85"/>
      <c r="AS205" s="85"/>
      <c r="AT205" s="21"/>
      <c r="AV205" s="3"/>
    </row>
    <row r="206" spans="3:48" x14ac:dyDescent="0.3">
      <c r="C206" s="85"/>
      <c r="D206" s="85"/>
      <c r="E206" s="85"/>
      <c r="F206" s="85"/>
      <c r="G206" s="85"/>
      <c r="H206" s="85"/>
      <c r="I206" s="85"/>
      <c r="J206" s="25"/>
      <c r="K206" s="3"/>
      <c r="L206" s="85"/>
      <c r="M206" s="85"/>
      <c r="N206" s="85"/>
      <c r="O206" s="85"/>
      <c r="P206" s="85"/>
      <c r="Q206" s="85"/>
      <c r="R206" s="85"/>
      <c r="S206" s="1"/>
      <c r="U206" s="1"/>
      <c r="V206" s="1"/>
      <c r="W206" s="1"/>
      <c r="X206" s="1"/>
      <c r="Y206" s="1"/>
      <c r="Z206" s="1"/>
      <c r="AA206" s="1"/>
      <c r="AB206" s="1"/>
      <c r="AD206" s="3"/>
      <c r="AM206" s="86"/>
      <c r="AN206" s="85"/>
      <c r="AO206" s="85"/>
      <c r="AP206" s="85"/>
      <c r="AQ206" s="85"/>
      <c r="AR206" s="85"/>
      <c r="AS206" s="85"/>
      <c r="AT206" s="21"/>
      <c r="AV206" s="3"/>
    </row>
    <row r="207" spans="3:48" x14ac:dyDescent="0.3">
      <c r="C207" s="85"/>
      <c r="D207" s="85"/>
      <c r="E207" s="85"/>
      <c r="F207" s="85"/>
      <c r="G207" s="85"/>
      <c r="H207" s="85"/>
      <c r="I207" s="85"/>
      <c r="J207" s="25"/>
      <c r="K207" s="3"/>
      <c r="L207" s="85"/>
      <c r="M207" s="85"/>
      <c r="N207" s="85"/>
      <c r="O207" s="85"/>
      <c r="P207" s="85"/>
      <c r="Q207" s="85"/>
      <c r="R207" s="85"/>
      <c r="S207" s="1"/>
      <c r="U207" s="1"/>
      <c r="V207" s="1"/>
      <c r="W207" s="1"/>
      <c r="X207" s="1"/>
      <c r="Y207" s="1"/>
      <c r="Z207" s="1"/>
      <c r="AA207" s="1"/>
      <c r="AB207" s="1"/>
      <c r="AD207" s="3"/>
      <c r="AM207" s="86"/>
      <c r="AN207" s="85"/>
      <c r="AO207" s="85"/>
      <c r="AP207" s="85"/>
      <c r="AQ207" s="85"/>
      <c r="AR207" s="85"/>
      <c r="AS207" s="85"/>
      <c r="AT207" s="21"/>
      <c r="AV207" s="3"/>
    </row>
    <row r="208" spans="3:48" x14ac:dyDescent="0.3">
      <c r="C208" s="85"/>
      <c r="D208" s="85"/>
      <c r="E208" s="85"/>
      <c r="F208" s="85"/>
      <c r="G208" s="85"/>
      <c r="H208" s="85"/>
      <c r="I208" s="85"/>
      <c r="J208" s="25"/>
      <c r="K208" s="3"/>
      <c r="L208" s="85"/>
      <c r="M208" s="85"/>
      <c r="N208" s="85"/>
      <c r="O208" s="85"/>
      <c r="P208" s="85"/>
      <c r="Q208" s="85"/>
      <c r="R208" s="85"/>
      <c r="S208" s="1"/>
      <c r="U208" s="1"/>
      <c r="V208" s="1"/>
      <c r="W208" s="1"/>
      <c r="X208" s="1"/>
      <c r="Y208" s="1"/>
      <c r="Z208" s="1"/>
      <c r="AA208" s="1"/>
      <c r="AB208" s="1"/>
      <c r="AD208" s="3"/>
      <c r="AM208" s="86"/>
      <c r="AN208" s="85"/>
      <c r="AO208" s="85"/>
      <c r="AP208" s="85"/>
      <c r="AQ208" s="85"/>
      <c r="AR208" s="85"/>
      <c r="AS208" s="85"/>
      <c r="AT208" s="21"/>
      <c r="AV208" s="3"/>
    </row>
    <row r="209" spans="3:48" x14ac:dyDescent="0.3">
      <c r="C209" s="85"/>
      <c r="D209" s="85"/>
      <c r="E209" s="85"/>
      <c r="F209" s="85"/>
      <c r="G209" s="85"/>
      <c r="H209" s="85"/>
      <c r="I209" s="85"/>
      <c r="J209" s="25"/>
      <c r="K209" s="3"/>
      <c r="L209" s="85"/>
      <c r="M209" s="85"/>
      <c r="N209" s="85"/>
      <c r="O209" s="85"/>
      <c r="P209" s="85"/>
      <c r="Q209" s="85"/>
      <c r="R209" s="85"/>
      <c r="S209" s="1"/>
      <c r="U209" s="1"/>
      <c r="V209" s="1"/>
      <c r="W209" s="1"/>
      <c r="X209" s="1"/>
      <c r="Y209" s="1"/>
      <c r="Z209" s="1"/>
      <c r="AA209" s="1"/>
      <c r="AB209" s="1"/>
      <c r="AD209" s="3"/>
      <c r="AM209" s="86"/>
      <c r="AN209" s="85"/>
      <c r="AO209" s="85"/>
      <c r="AP209" s="85"/>
      <c r="AQ209" s="85"/>
      <c r="AR209" s="85"/>
      <c r="AS209" s="85"/>
      <c r="AT209" s="21"/>
      <c r="AV209" s="3"/>
    </row>
    <row r="210" spans="3:48" x14ac:dyDescent="0.3">
      <c r="C210" s="85"/>
      <c r="D210" s="85"/>
      <c r="E210" s="85"/>
      <c r="F210" s="85"/>
      <c r="G210" s="85"/>
      <c r="H210" s="85"/>
      <c r="I210" s="85"/>
      <c r="J210" s="25"/>
      <c r="K210" s="3"/>
      <c r="L210" s="85"/>
      <c r="M210" s="85"/>
      <c r="N210" s="85"/>
      <c r="O210" s="85"/>
      <c r="P210" s="85"/>
      <c r="Q210" s="85"/>
      <c r="R210" s="85"/>
      <c r="S210" s="1"/>
      <c r="U210" s="1"/>
      <c r="V210" s="1"/>
      <c r="W210" s="1"/>
      <c r="X210" s="1"/>
      <c r="Y210" s="1"/>
      <c r="Z210" s="1"/>
      <c r="AA210" s="1"/>
      <c r="AB210" s="1"/>
      <c r="AD210" s="3"/>
      <c r="AM210" s="86"/>
      <c r="AN210" s="85"/>
      <c r="AO210" s="85"/>
      <c r="AP210" s="85"/>
      <c r="AQ210" s="85"/>
      <c r="AR210" s="85"/>
      <c r="AS210" s="85"/>
      <c r="AT210" s="21"/>
      <c r="AV210" s="3"/>
    </row>
    <row r="211" spans="3:48" x14ac:dyDescent="0.3">
      <c r="C211" s="85"/>
      <c r="D211" s="85"/>
      <c r="E211" s="85"/>
      <c r="F211" s="85"/>
      <c r="G211" s="85"/>
      <c r="H211" s="85"/>
      <c r="I211" s="85"/>
      <c r="J211" s="25"/>
      <c r="K211" s="3"/>
      <c r="L211" s="85"/>
      <c r="M211" s="85"/>
      <c r="N211" s="85"/>
      <c r="O211" s="85"/>
      <c r="P211" s="85"/>
      <c r="Q211" s="85"/>
      <c r="R211" s="85"/>
      <c r="S211" s="1"/>
      <c r="U211" s="1"/>
      <c r="V211" s="1"/>
      <c r="W211" s="1"/>
      <c r="X211" s="1"/>
      <c r="Y211" s="1"/>
      <c r="Z211" s="1"/>
      <c r="AA211" s="1"/>
      <c r="AB211" s="1"/>
      <c r="AD211" s="3"/>
      <c r="AM211" s="86"/>
      <c r="AN211" s="85"/>
      <c r="AO211" s="85"/>
      <c r="AP211" s="85"/>
      <c r="AQ211" s="85"/>
      <c r="AR211" s="85"/>
      <c r="AS211" s="85"/>
      <c r="AT211" s="21"/>
      <c r="AV211" s="3"/>
    </row>
    <row r="212" spans="3:48" x14ac:dyDescent="0.3">
      <c r="C212" s="85"/>
      <c r="D212" s="85"/>
      <c r="E212" s="85"/>
      <c r="F212" s="85"/>
      <c r="G212" s="85"/>
      <c r="H212" s="85"/>
      <c r="I212" s="85"/>
      <c r="J212" s="25"/>
      <c r="K212" s="3"/>
      <c r="L212" s="85"/>
      <c r="M212" s="85"/>
      <c r="N212" s="85"/>
      <c r="O212" s="85"/>
      <c r="P212" s="85"/>
      <c r="Q212" s="85"/>
      <c r="R212" s="85"/>
      <c r="S212" s="1"/>
      <c r="U212" s="1"/>
      <c r="V212" s="1"/>
      <c r="W212" s="1"/>
      <c r="X212" s="1"/>
      <c r="Y212" s="1"/>
      <c r="Z212" s="1"/>
      <c r="AA212" s="1"/>
      <c r="AB212" s="1"/>
      <c r="AD212" s="3"/>
      <c r="AM212" s="86"/>
      <c r="AN212" s="85"/>
      <c r="AO212" s="85"/>
      <c r="AP212" s="85"/>
      <c r="AQ212" s="85"/>
      <c r="AR212" s="85"/>
      <c r="AS212" s="85"/>
      <c r="AT212" s="21"/>
      <c r="AV212" s="3"/>
    </row>
    <row r="213" spans="3:48" x14ac:dyDescent="0.3">
      <c r="C213" s="85"/>
      <c r="D213" s="85"/>
      <c r="E213" s="85"/>
      <c r="F213" s="85"/>
      <c r="G213" s="85"/>
      <c r="H213" s="85"/>
      <c r="I213" s="85"/>
      <c r="J213" s="25"/>
      <c r="K213" s="3"/>
      <c r="L213" s="85"/>
      <c r="M213" s="85"/>
      <c r="N213" s="85"/>
      <c r="O213" s="85"/>
      <c r="P213" s="85"/>
      <c r="Q213" s="85"/>
      <c r="R213" s="85"/>
      <c r="S213" s="1"/>
      <c r="U213" s="1"/>
      <c r="V213" s="1"/>
      <c r="W213" s="1"/>
      <c r="X213" s="1"/>
      <c r="Y213" s="1"/>
      <c r="Z213" s="1"/>
      <c r="AA213" s="1"/>
      <c r="AB213" s="1"/>
      <c r="AD213" s="3"/>
      <c r="AM213" s="86"/>
      <c r="AN213" s="85"/>
      <c r="AO213" s="85"/>
      <c r="AP213" s="85"/>
      <c r="AQ213" s="85"/>
      <c r="AR213" s="85"/>
      <c r="AS213" s="85"/>
      <c r="AT213" s="21"/>
      <c r="AV213" s="3"/>
    </row>
    <row r="214" spans="3:48" x14ac:dyDescent="0.3">
      <c r="C214" s="85"/>
      <c r="D214" s="85"/>
      <c r="E214" s="85"/>
      <c r="F214" s="85"/>
      <c r="G214" s="85"/>
      <c r="H214" s="85"/>
      <c r="I214" s="85"/>
      <c r="J214" s="25"/>
      <c r="K214" s="3"/>
      <c r="L214" s="85"/>
      <c r="M214" s="85"/>
      <c r="N214" s="85"/>
      <c r="O214" s="85"/>
      <c r="P214" s="85"/>
      <c r="Q214" s="85"/>
      <c r="R214" s="85"/>
      <c r="S214" s="1"/>
      <c r="U214" s="1"/>
      <c r="V214" s="1"/>
      <c r="W214" s="1"/>
      <c r="X214" s="1"/>
      <c r="Y214" s="1"/>
      <c r="Z214" s="1"/>
      <c r="AA214" s="1"/>
      <c r="AB214" s="1"/>
      <c r="AD214" s="3"/>
      <c r="AM214" s="86"/>
      <c r="AN214" s="85"/>
      <c r="AO214" s="85"/>
      <c r="AP214" s="85"/>
      <c r="AQ214" s="85"/>
      <c r="AR214" s="85"/>
      <c r="AS214" s="85"/>
      <c r="AT214" s="21"/>
      <c r="AV214" s="3"/>
    </row>
    <row r="215" spans="3:48" x14ac:dyDescent="0.3">
      <c r="C215" s="85"/>
      <c r="D215" s="85"/>
      <c r="E215" s="85"/>
      <c r="F215" s="85"/>
      <c r="G215" s="85"/>
      <c r="H215" s="85"/>
      <c r="I215" s="85"/>
      <c r="J215" s="25"/>
      <c r="K215" s="3"/>
      <c r="L215" s="85"/>
      <c r="M215" s="85"/>
      <c r="N215" s="85"/>
      <c r="O215" s="85"/>
      <c r="P215" s="85"/>
      <c r="Q215" s="85"/>
      <c r="R215" s="85"/>
      <c r="S215" s="1"/>
      <c r="U215" s="1"/>
      <c r="V215" s="1"/>
      <c r="W215" s="1"/>
      <c r="X215" s="1"/>
      <c r="Y215" s="1"/>
      <c r="Z215" s="1"/>
      <c r="AA215" s="1"/>
      <c r="AB215" s="1"/>
      <c r="AD215" s="3"/>
      <c r="AM215" s="86"/>
      <c r="AN215" s="85"/>
      <c r="AO215" s="85"/>
      <c r="AP215" s="85"/>
      <c r="AQ215" s="85"/>
      <c r="AR215" s="85"/>
      <c r="AS215" s="85"/>
      <c r="AT215" s="21"/>
      <c r="AV215" s="3"/>
    </row>
    <row r="216" spans="3:48" x14ac:dyDescent="0.3">
      <c r="C216" s="85"/>
      <c r="D216" s="85"/>
      <c r="E216" s="85"/>
      <c r="F216" s="85"/>
      <c r="G216" s="85"/>
      <c r="H216" s="85"/>
      <c r="I216" s="85"/>
      <c r="J216" s="25"/>
      <c r="K216" s="3"/>
      <c r="L216" s="85"/>
      <c r="M216" s="85"/>
      <c r="N216" s="85"/>
      <c r="O216" s="85"/>
      <c r="P216" s="85"/>
      <c r="Q216" s="85"/>
      <c r="R216" s="85"/>
      <c r="S216" s="1"/>
      <c r="U216" s="1"/>
      <c r="V216" s="1"/>
      <c r="W216" s="1"/>
      <c r="X216" s="1"/>
      <c r="Y216" s="1"/>
      <c r="Z216" s="1"/>
      <c r="AA216" s="1"/>
      <c r="AB216" s="1"/>
      <c r="AD216" s="3"/>
      <c r="AM216" s="86"/>
      <c r="AN216" s="85"/>
      <c r="AO216" s="85"/>
      <c r="AP216" s="85"/>
      <c r="AQ216" s="85"/>
      <c r="AR216" s="85"/>
      <c r="AS216" s="85"/>
      <c r="AT216" s="21"/>
      <c r="AV216" s="3"/>
    </row>
    <row r="217" spans="3:48" x14ac:dyDescent="0.3">
      <c r="C217" s="85"/>
      <c r="D217" s="85"/>
      <c r="E217" s="85"/>
      <c r="F217" s="85"/>
      <c r="G217" s="85"/>
      <c r="H217" s="85"/>
      <c r="I217" s="85"/>
      <c r="J217" s="25"/>
      <c r="K217" s="3"/>
      <c r="L217" s="85"/>
      <c r="M217" s="85"/>
      <c r="N217" s="85"/>
      <c r="O217" s="85"/>
      <c r="P217" s="85"/>
      <c r="Q217" s="85"/>
      <c r="R217" s="85"/>
      <c r="S217" s="1"/>
      <c r="U217" s="1"/>
      <c r="V217" s="1"/>
      <c r="W217" s="1"/>
      <c r="X217" s="1"/>
      <c r="Y217" s="1"/>
      <c r="Z217" s="1"/>
      <c r="AA217" s="1"/>
      <c r="AB217" s="1"/>
      <c r="AD217" s="3"/>
      <c r="AM217" s="86"/>
      <c r="AN217" s="85"/>
      <c r="AO217" s="85"/>
      <c r="AP217" s="85"/>
      <c r="AQ217" s="85"/>
      <c r="AR217" s="85"/>
      <c r="AS217" s="85"/>
      <c r="AT217" s="21"/>
      <c r="AV217" s="3"/>
    </row>
    <row r="218" spans="3:48" x14ac:dyDescent="0.3">
      <c r="C218" s="85"/>
      <c r="D218" s="85"/>
      <c r="E218" s="85"/>
      <c r="F218" s="85"/>
      <c r="G218" s="85"/>
      <c r="H218" s="85"/>
      <c r="I218" s="85"/>
      <c r="J218" s="25"/>
      <c r="K218" s="3"/>
      <c r="L218" s="85"/>
      <c r="M218" s="85"/>
      <c r="N218" s="85"/>
      <c r="O218" s="85"/>
      <c r="P218" s="85"/>
      <c r="Q218" s="85"/>
      <c r="R218" s="85"/>
      <c r="S218" s="1"/>
      <c r="U218" s="1"/>
      <c r="V218" s="1"/>
      <c r="W218" s="1"/>
      <c r="X218" s="1"/>
      <c r="Y218" s="1"/>
      <c r="Z218" s="1"/>
      <c r="AA218" s="1"/>
      <c r="AB218" s="1"/>
      <c r="AD218" s="3"/>
      <c r="AM218" s="86"/>
      <c r="AN218" s="85"/>
      <c r="AO218" s="85"/>
      <c r="AP218" s="85"/>
      <c r="AQ218" s="85"/>
      <c r="AR218" s="85"/>
      <c r="AS218" s="85"/>
      <c r="AT218" s="21"/>
      <c r="AV218" s="3"/>
    </row>
    <row r="219" spans="3:48" x14ac:dyDescent="0.3">
      <c r="C219" s="85"/>
      <c r="D219" s="85"/>
      <c r="E219" s="85"/>
      <c r="F219" s="85"/>
      <c r="G219" s="85"/>
      <c r="H219" s="85"/>
      <c r="I219" s="85"/>
      <c r="J219" s="25"/>
      <c r="K219" s="3"/>
      <c r="L219" s="85"/>
      <c r="M219" s="85"/>
      <c r="N219" s="85"/>
      <c r="O219" s="85"/>
      <c r="P219" s="85"/>
      <c r="Q219" s="85"/>
      <c r="R219" s="85"/>
      <c r="S219" s="1"/>
      <c r="U219" s="1"/>
      <c r="V219" s="1"/>
      <c r="W219" s="1"/>
      <c r="X219" s="1"/>
      <c r="Y219" s="1"/>
      <c r="Z219" s="1"/>
      <c r="AA219" s="1"/>
      <c r="AB219" s="1"/>
      <c r="AD219" s="3"/>
      <c r="AM219" s="86"/>
      <c r="AN219" s="85"/>
      <c r="AO219" s="85"/>
      <c r="AP219" s="85"/>
      <c r="AQ219" s="85"/>
      <c r="AR219" s="85"/>
      <c r="AS219" s="85"/>
      <c r="AT219" s="21"/>
      <c r="AV219" s="3"/>
    </row>
    <row r="220" spans="3:48" x14ac:dyDescent="0.3">
      <c r="C220" s="85"/>
      <c r="D220" s="85"/>
      <c r="E220" s="85"/>
      <c r="F220" s="85"/>
      <c r="G220" s="85"/>
      <c r="H220" s="85"/>
      <c r="I220" s="85"/>
      <c r="J220" s="25"/>
      <c r="K220" s="3"/>
      <c r="L220" s="85"/>
      <c r="M220" s="85"/>
      <c r="N220" s="85"/>
      <c r="O220" s="85"/>
      <c r="P220" s="85"/>
      <c r="Q220" s="85"/>
      <c r="R220" s="85"/>
      <c r="S220" s="1"/>
      <c r="U220" s="1"/>
      <c r="V220" s="1"/>
      <c r="W220" s="1"/>
      <c r="X220" s="1"/>
      <c r="Y220" s="1"/>
      <c r="Z220" s="1"/>
      <c r="AA220" s="1"/>
      <c r="AB220" s="1"/>
      <c r="AD220" s="3"/>
      <c r="AM220" s="86"/>
      <c r="AN220" s="85"/>
      <c r="AO220" s="85"/>
      <c r="AP220" s="85"/>
      <c r="AQ220" s="85"/>
      <c r="AR220" s="85"/>
      <c r="AS220" s="85"/>
      <c r="AT220" s="21"/>
      <c r="AV220" s="3"/>
    </row>
    <row r="221" spans="3:48" x14ac:dyDescent="0.3">
      <c r="C221" s="85"/>
      <c r="D221" s="85"/>
      <c r="E221" s="85"/>
      <c r="F221" s="85"/>
      <c r="G221" s="85"/>
      <c r="H221" s="85"/>
      <c r="I221" s="85"/>
      <c r="J221" s="25"/>
      <c r="K221" s="3"/>
      <c r="L221" s="85"/>
      <c r="M221" s="85"/>
      <c r="N221" s="85"/>
      <c r="O221" s="85"/>
      <c r="P221" s="85"/>
      <c r="Q221" s="85"/>
      <c r="R221" s="85"/>
      <c r="S221" s="1"/>
      <c r="U221" s="1"/>
      <c r="V221" s="1"/>
      <c r="W221" s="1"/>
      <c r="X221" s="1"/>
      <c r="Y221" s="1"/>
      <c r="Z221" s="1"/>
      <c r="AA221" s="1"/>
      <c r="AB221" s="1"/>
      <c r="AD221" s="3"/>
      <c r="AM221" s="86"/>
      <c r="AN221" s="85"/>
      <c r="AO221" s="85"/>
      <c r="AP221" s="85"/>
      <c r="AQ221" s="85"/>
      <c r="AR221" s="85"/>
      <c r="AS221" s="85"/>
      <c r="AT221" s="21"/>
      <c r="AV221" s="3"/>
    </row>
    <row r="222" spans="3:48" x14ac:dyDescent="0.3">
      <c r="C222" s="85"/>
      <c r="D222" s="85"/>
      <c r="E222" s="85"/>
      <c r="F222" s="85"/>
      <c r="G222" s="85"/>
      <c r="H222" s="85"/>
      <c r="I222" s="85"/>
      <c r="J222" s="25"/>
      <c r="K222" s="3"/>
      <c r="L222" s="85"/>
      <c r="M222" s="85"/>
      <c r="N222" s="85"/>
      <c r="O222" s="85"/>
      <c r="P222" s="85"/>
      <c r="Q222" s="85"/>
      <c r="R222" s="85"/>
      <c r="S222" s="1"/>
      <c r="U222" s="1"/>
      <c r="V222" s="1"/>
      <c r="W222" s="1"/>
      <c r="X222" s="1"/>
      <c r="Y222" s="1"/>
      <c r="Z222" s="1"/>
      <c r="AA222" s="1"/>
      <c r="AB222" s="1"/>
      <c r="AD222" s="3"/>
      <c r="AM222" s="86"/>
      <c r="AN222" s="85"/>
      <c r="AO222" s="85"/>
      <c r="AP222" s="85"/>
      <c r="AQ222" s="85"/>
      <c r="AR222" s="85"/>
      <c r="AS222" s="85"/>
      <c r="AT222" s="21"/>
      <c r="AV222" s="3"/>
    </row>
    <row r="223" spans="3:48" x14ac:dyDescent="0.3">
      <c r="C223" s="85"/>
      <c r="D223" s="85"/>
      <c r="E223" s="85"/>
      <c r="F223" s="85"/>
      <c r="G223" s="85"/>
      <c r="H223" s="85"/>
      <c r="I223" s="85"/>
      <c r="J223" s="25"/>
      <c r="K223" s="3"/>
      <c r="L223" s="85"/>
      <c r="M223" s="85"/>
      <c r="N223" s="85"/>
      <c r="O223" s="85"/>
      <c r="P223" s="85"/>
      <c r="Q223" s="85"/>
      <c r="R223" s="85"/>
      <c r="S223" s="1"/>
      <c r="U223" s="1"/>
      <c r="V223" s="1"/>
      <c r="W223" s="1"/>
      <c r="X223" s="1"/>
      <c r="Y223" s="1"/>
      <c r="Z223" s="1"/>
      <c r="AA223" s="1"/>
      <c r="AB223" s="1"/>
      <c r="AD223" s="3"/>
      <c r="AM223" s="86"/>
      <c r="AN223" s="85"/>
      <c r="AO223" s="85"/>
      <c r="AP223" s="85"/>
      <c r="AQ223" s="85"/>
      <c r="AR223" s="85"/>
      <c r="AS223" s="85"/>
      <c r="AT223" s="21"/>
      <c r="AV223" s="3"/>
    </row>
    <row r="224" spans="3:48" x14ac:dyDescent="0.3">
      <c r="C224" s="85"/>
      <c r="D224" s="85"/>
      <c r="E224" s="85"/>
      <c r="F224" s="85"/>
      <c r="G224" s="85"/>
      <c r="H224" s="85"/>
      <c r="I224" s="85"/>
      <c r="J224" s="25"/>
      <c r="K224" s="3"/>
      <c r="L224" s="85"/>
      <c r="M224" s="85"/>
      <c r="N224" s="85"/>
      <c r="O224" s="85"/>
      <c r="P224" s="85"/>
      <c r="Q224" s="85"/>
      <c r="R224" s="85"/>
      <c r="S224" s="1"/>
      <c r="U224" s="1"/>
      <c r="V224" s="1"/>
      <c r="W224" s="1"/>
      <c r="X224" s="1"/>
      <c r="Y224" s="1"/>
      <c r="Z224" s="1"/>
      <c r="AA224" s="1"/>
      <c r="AB224" s="1"/>
      <c r="AD224" s="3"/>
      <c r="AM224" s="86"/>
      <c r="AN224" s="85"/>
      <c r="AO224" s="85"/>
      <c r="AP224" s="85"/>
      <c r="AQ224" s="85"/>
      <c r="AR224" s="85"/>
      <c r="AS224" s="85"/>
      <c r="AT224" s="21"/>
      <c r="AV224" s="3"/>
    </row>
    <row r="225" spans="3:48" x14ac:dyDescent="0.3">
      <c r="C225" s="85"/>
      <c r="D225" s="85"/>
      <c r="E225" s="85"/>
      <c r="F225" s="85"/>
      <c r="G225" s="85"/>
      <c r="H225" s="85"/>
      <c r="I225" s="85"/>
      <c r="J225" s="25"/>
      <c r="K225" s="3"/>
      <c r="L225" s="85"/>
      <c r="M225" s="85"/>
      <c r="N225" s="85"/>
      <c r="O225" s="85"/>
      <c r="P225" s="85"/>
      <c r="Q225" s="85"/>
      <c r="R225" s="85"/>
      <c r="S225" s="1"/>
      <c r="U225" s="1"/>
      <c r="V225" s="1"/>
      <c r="W225" s="1"/>
      <c r="X225" s="1"/>
      <c r="Y225" s="1"/>
      <c r="Z225" s="1"/>
      <c r="AA225" s="1"/>
      <c r="AB225" s="1"/>
      <c r="AD225" s="3"/>
      <c r="AM225" s="86"/>
      <c r="AN225" s="85"/>
      <c r="AO225" s="85"/>
      <c r="AP225" s="85"/>
      <c r="AQ225" s="85"/>
      <c r="AR225" s="85"/>
      <c r="AS225" s="85"/>
      <c r="AT225" s="21"/>
      <c r="AV225" s="3"/>
    </row>
    <row r="226" spans="3:48" x14ac:dyDescent="0.3">
      <c r="C226" s="85"/>
      <c r="D226" s="85"/>
      <c r="E226" s="85"/>
      <c r="F226" s="85"/>
      <c r="G226" s="85"/>
      <c r="H226" s="85"/>
      <c r="I226" s="85"/>
      <c r="J226" s="25"/>
      <c r="K226" s="3"/>
      <c r="L226" s="85"/>
      <c r="M226" s="85"/>
      <c r="N226" s="85"/>
      <c r="O226" s="85"/>
      <c r="P226" s="85"/>
      <c r="Q226" s="85"/>
      <c r="R226" s="85"/>
      <c r="S226" s="1"/>
      <c r="U226" s="1"/>
      <c r="V226" s="1"/>
      <c r="W226" s="1"/>
      <c r="X226" s="1"/>
      <c r="Y226" s="1"/>
      <c r="Z226" s="1"/>
      <c r="AA226" s="1"/>
      <c r="AB226" s="1"/>
      <c r="AD226" s="3"/>
      <c r="AM226" s="86"/>
      <c r="AN226" s="85"/>
      <c r="AO226" s="85"/>
      <c r="AP226" s="85"/>
      <c r="AQ226" s="85"/>
      <c r="AR226" s="85"/>
      <c r="AS226" s="85"/>
      <c r="AT226" s="21"/>
      <c r="AV226" s="3"/>
    </row>
    <row r="227" spans="3:48" x14ac:dyDescent="0.3">
      <c r="C227" s="85"/>
      <c r="D227" s="85"/>
      <c r="E227" s="85"/>
      <c r="F227" s="85"/>
      <c r="G227" s="85"/>
      <c r="H227" s="85"/>
      <c r="I227" s="85"/>
      <c r="J227" s="25"/>
      <c r="K227" s="3"/>
      <c r="L227" s="85"/>
      <c r="M227" s="85"/>
      <c r="N227" s="85"/>
      <c r="O227" s="85"/>
      <c r="P227" s="85"/>
      <c r="Q227" s="85"/>
      <c r="R227" s="85"/>
      <c r="S227" s="1"/>
      <c r="U227" s="1"/>
      <c r="V227" s="1"/>
      <c r="W227" s="1"/>
      <c r="X227" s="1"/>
      <c r="Y227" s="1"/>
      <c r="Z227" s="1"/>
      <c r="AA227" s="1"/>
      <c r="AB227" s="1"/>
      <c r="AD227" s="3"/>
      <c r="AM227" s="86"/>
      <c r="AN227" s="85"/>
      <c r="AO227" s="85"/>
      <c r="AP227" s="85"/>
      <c r="AQ227" s="85"/>
      <c r="AR227" s="85"/>
      <c r="AS227" s="85"/>
      <c r="AT227" s="21"/>
      <c r="AV227" s="3"/>
    </row>
    <row r="228" spans="3:48" x14ac:dyDescent="0.3">
      <c r="C228" s="85"/>
      <c r="D228" s="85"/>
      <c r="E228" s="85"/>
      <c r="F228" s="85"/>
      <c r="G228" s="85"/>
      <c r="H228" s="85"/>
      <c r="I228" s="85"/>
      <c r="J228" s="25"/>
      <c r="K228" s="3"/>
      <c r="L228" s="85"/>
      <c r="M228" s="85"/>
      <c r="N228" s="85"/>
      <c r="O228" s="85"/>
      <c r="P228" s="85"/>
      <c r="Q228" s="85"/>
      <c r="R228" s="85"/>
      <c r="S228" s="1"/>
      <c r="U228" s="1"/>
      <c r="V228" s="1"/>
      <c r="W228" s="1"/>
      <c r="X228" s="1"/>
      <c r="Y228" s="1"/>
      <c r="Z228" s="1"/>
      <c r="AA228" s="1"/>
      <c r="AB228" s="1"/>
      <c r="AD228" s="3"/>
      <c r="AM228" s="86"/>
      <c r="AN228" s="85"/>
      <c r="AO228" s="85"/>
      <c r="AP228" s="85"/>
      <c r="AQ228" s="85"/>
      <c r="AR228" s="85"/>
      <c r="AS228" s="85"/>
      <c r="AT228" s="21"/>
      <c r="AV228" s="3"/>
    </row>
    <row r="229" spans="3:48" x14ac:dyDescent="0.3">
      <c r="C229" s="85"/>
      <c r="D229" s="85"/>
      <c r="E229" s="85"/>
      <c r="F229" s="85"/>
      <c r="G229" s="85"/>
      <c r="H229" s="85"/>
      <c r="I229" s="85"/>
      <c r="J229" s="25"/>
      <c r="K229" s="3"/>
      <c r="L229" s="85"/>
      <c r="M229" s="85"/>
      <c r="N229" s="85"/>
      <c r="O229" s="85"/>
      <c r="P229" s="85"/>
      <c r="Q229" s="85"/>
      <c r="R229" s="85"/>
      <c r="S229" s="1"/>
      <c r="U229" s="1"/>
      <c r="V229" s="1"/>
      <c r="W229" s="1"/>
      <c r="X229" s="1"/>
      <c r="Y229" s="1"/>
      <c r="Z229" s="1"/>
      <c r="AA229" s="1"/>
      <c r="AB229" s="1"/>
      <c r="AD229" s="3"/>
      <c r="AM229" s="86"/>
      <c r="AN229" s="85"/>
      <c r="AO229" s="85"/>
      <c r="AP229" s="85"/>
      <c r="AQ229" s="85"/>
      <c r="AR229" s="85"/>
      <c r="AS229" s="85"/>
      <c r="AT229" s="21"/>
      <c r="AV229" s="3"/>
    </row>
    <row r="230" spans="3:48" x14ac:dyDescent="0.3">
      <c r="C230" s="85"/>
      <c r="D230" s="85"/>
      <c r="E230" s="85"/>
      <c r="F230" s="85"/>
      <c r="G230" s="85"/>
      <c r="H230" s="85"/>
      <c r="I230" s="85"/>
      <c r="J230" s="25"/>
      <c r="K230" s="3"/>
      <c r="L230" s="85"/>
      <c r="M230" s="85"/>
      <c r="N230" s="85"/>
      <c r="O230" s="85"/>
      <c r="P230" s="85"/>
      <c r="Q230" s="85"/>
      <c r="R230" s="85"/>
      <c r="S230" s="1"/>
      <c r="U230" s="1"/>
      <c r="V230" s="1"/>
      <c r="W230" s="1"/>
      <c r="X230" s="1"/>
      <c r="Y230" s="1"/>
      <c r="Z230" s="1"/>
      <c r="AA230" s="1"/>
      <c r="AB230" s="1"/>
      <c r="AD230" s="3"/>
      <c r="AM230" s="86"/>
      <c r="AN230" s="85"/>
      <c r="AO230" s="85"/>
      <c r="AP230" s="85"/>
      <c r="AQ230" s="85"/>
      <c r="AR230" s="85"/>
      <c r="AS230" s="85"/>
      <c r="AT230" s="21"/>
      <c r="AV230" s="3"/>
    </row>
    <row r="231" spans="3:48" x14ac:dyDescent="0.3">
      <c r="C231" s="85"/>
      <c r="D231" s="85"/>
      <c r="E231" s="85"/>
      <c r="F231" s="85"/>
      <c r="G231" s="85"/>
      <c r="H231" s="85"/>
      <c r="I231" s="85"/>
      <c r="J231" s="25"/>
      <c r="K231" s="3"/>
      <c r="L231" s="85"/>
      <c r="M231" s="85"/>
      <c r="N231" s="85"/>
      <c r="O231" s="85"/>
      <c r="P231" s="85"/>
      <c r="Q231" s="85"/>
      <c r="R231" s="85"/>
      <c r="S231" s="1"/>
      <c r="U231" s="1"/>
      <c r="V231" s="1"/>
      <c r="W231" s="1"/>
      <c r="X231" s="1"/>
      <c r="Y231" s="1"/>
      <c r="Z231" s="1"/>
      <c r="AA231" s="1"/>
      <c r="AB231" s="1"/>
      <c r="AD231" s="3"/>
      <c r="AM231" s="86"/>
      <c r="AN231" s="85"/>
      <c r="AO231" s="85"/>
      <c r="AP231" s="85"/>
      <c r="AQ231" s="85"/>
      <c r="AR231" s="85"/>
      <c r="AS231" s="85"/>
      <c r="AT231" s="21"/>
      <c r="AV231" s="3"/>
    </row>
    <row r="232" spans="3:48" x14ac:dyDescent="0.3">
      <c r="C232" s="85"/>
      <c r="D232" s="85"/>
      <c r="E232" s="85"/>
      <c r="F232" s="85"/>
      <c r="G232" s="85"/>
      <c r="H232" s="85"/>
      <c r="I232" s="85"/>
      <c r="J232" s="25"/>
      <c r="K232" s="3"/>
      <c r="L232" s="85"/>
      <c r="M232" s="85"/>
      <c r="N232" s="85"/>
      <c r="O232" s="85"/>
      <c r="P232" s="85"/>
      <c r="Q232" s="85"/>
      <c r="R232" s="85"/>
      <c r="S232" s="1"/>
      <c r="U232" s="1"/>
      <c r="V232" s="1"/>
      <c r="W232" s="1"/>
      <c r="X232" s="1"/>
      <c r="Y232" s="1"/>
      <c r="Z232" s="1"/>
      <c r="AA232" s="1"/>
      <c r="AB232" s="1"/>
      <c r="AD232" s="3"/>
      <c r="AM232" s="86"/>
      <c r="AN232" s="85"/>
      <c r="AO232" s="85"/>
      <c r="AP232" s="85"/>
      <c r="AQ232" s="85"/>
      <c r="AR232" s="85"/>
      <c r="AS232" s="85"/>
      <c r="AT232" s="21"/>
      <c r="AV232" s="3"/>
    </row>
    <row r="233" spans="3:48" x14ac:dyDescent="0.3">
      <c r="C233" s="85"/>
      <c r="D233" s="85"/>
      <c r="E233" s="85"/>
      <c r="F233" s="85"/>
      <c r="G233" s="85"/>
      <c r="H233" s="85"/>
      <c r="I233" s="85"/>
      <c r="J233" s="25"/>
      <c r="K233" s="3"/>
      <c r="L233" s="85"/>
      <c r="M233" s="85"/>
      <c r="N233" s="85"/>
      <c r="O233" s="85"/>
      <c r="P233" s="85"/>
      <c r="Q233" s="85"/>
      <c r="R233" s="85"/>
      <c r="S233" s="1"/>
      <c r="U233" s="1"/>
      <c r="V233" s="1"/>
      <c r="W233" s="1"/>
      <c r="X233" s="1"/>
      <c r="Y233" s="1"/>
      <c r="Z233" s="1"/>
      <c r="AA233" s="1"/>
      <c r="AB233" s="1"/>
      <c r="AD233" s="3"/>
      <c r="AM233" s="86"/>
      <c r="AN233" s="85"/>
      <c r="AO233" s="85"/>
      <c r="AP233" s="85"/>
      <c r="AQ233" s="85"/>
      <c r="AR233" s="85"/>
      <c r="AS233" s="85"/>
      <c r="AT233" s="21"/>
      <c r="AV233" s="3"/>
    </row>
    <row r="234" spans="3:48" x14ac:dyDescent="0.3">
      <c r="C234" s="85"/>
      <c r="D234" s="85"/>
      <c r="E234" s="85"/>
      <c r="F234" s="85"/>
      <c r="G234" s="85"/>
      <c r="H234" s="85"/>
      <c r="I234" s="85"/>
      <c r="J234" s="25"/>
      <c r="K234" s="3"/>
      <c r="L234" s="85"/>
      <c r="M234" s="85"/>
      <c r="N234" s="85"/>
      <c r="O234" s="85"/>
      <c r="P234" s="85"/>
      <c r="Q234" s="85"/>
      <c r="R234" s="85"/>
      <c r="S234" s="1"/>
      <c r="U234" s="1"/>
      <c r="V234" s="1"/>
      <c r="W234" s="1"/>
      <c r="X234" s="1"/>
      <c r="Y234" s="1"/>
      <c r="Z234" s="1"/>
      <c r="AA234" s="1"/>
      <c r="AB234" s="1"/>
      <c r="AD234" s="3"/>
      <c r="AM234" s="86"/>
      <c r="AN234" s="85"/>
      <c r="AO234" s="85"/>
      <c r="AP234" s="85"/>
      <c r="AQ234" s="85"/>
      <c r="AR234" s="85"/>
      <c r="AS234" s="85"/>
      <c r="AT234" s="21"/>
      <c r="AV234" s="3"/>
    </row>
    <row r="235" spans="3:48" x14ac:dyDescent="0.3">
      <c r="C235" s="85"/>
      <c r="D235" s="85"/>
      <c r="E235" s="85"/>
      <c r="F235" s="85"/>
      <c r="G235" s="85"/>
      <c r="H235" s="85"/>
      <c r="I235" s="85"/>
      <c r="J235" s="25"/>
      <c r="K235" s="3"/>
      <c r="L235" s="85"/>
      <c r="M235" s="85"/>
      <c r="N235" s="85"/>
      <c r="O235" s="85"/>
      <c r="P235" s="85"/>
      <c r="Q235" s="85"/>
      <c r="R235" s="85"/>
      <c r="S235" s="1"/>
      <c r="U235" s="1"/>
      <c r="V235" s="1"/>
      <c r="W235" s="1"/>
      <c r="X235" s="1"/>
      <c r="Y235" s="1"/>
      <c r="Z235" s="1"/>
      <c r="AA235" s="1"/>
      <c r="AB235" s="1"/>
      <c r="AD235" s="3"/>
      <c r="AM235" s="86"/>
      <c r="AN235" s="85"/>
      <c r="AO235" s="85"/>
      <c r="AP235" s="85"/>
      <c r="AQ235" s="85"/>
      <c r="AR235" s="85"/>
      <c r="AS235" s="85"/>
      <c r="AT235" s="21"/>
      <c r="AV235" s="3"/>
    </row>
    <row r="236" spans="3:48" x14ac:dyDescent="0.3">
      <c r="C236" s="85"/>
      <c r="D236" s="85"/>
      <c r="E236" s="85"/>
      <c r="F236" s="85"/>
      <c r="G236" s="85"/>
      <c r="H236" s="85"/>
      <c r="I236" s="85"/>
      <c r="J236" s="25"/>
      <c r="K236" s="3"/>
      <c r="L236" s="85"/>
      <c r="M236" s="85"/>
      <c r="N236" s="85"/>
      <c r="O236" s="85"/>
      <c r="P236" s="85"/>
      <c r="Q236" s="85"/>
      <c r="R236" s="85"/>
      <c r="S236" s="1"/>
      <c r="U236" s="1"/>
      <c r="V236" s="1"/>
      <c r="W236" s="1"/>
      <c r="X236" s="1"/>
      <c r="Y236" s="1"/>
      <c r="Z236" s="1"/>
      <c r="AA236" s="1"/>
      <c r="AB236" s="1"/>
      <c r="AD236" s="3"/>
      <c r="AM236" s="86"/>
      <c r="AN236" s="85"/>
      <c r="AO236" s="85"/>
      <c r="AP236" s="85"/>
      <c r="AQ236" s="85"/>
      <c r="AR236" s="85"/>
      <c r="AS236" s="85"/>
      <c r="AT236" s="21"/>
      <c r="AV236" s="3"/>
    </row>
    <row r="237" spans="3:48" x14ac:dyDescent="0.3">
      <c r="C237" s="85"/>
      <c r="D237" s="85"/>
      <c r="E237" s="85"/>
      <c r="F237" s="85"/>
      <c r="G237" s="85"/>
      <c r="H237" s="85"/>
      <c r="I237" s="85"/>
      <c r="J237" s="25"/>
      <c r="K237" s="3"/>
      <c r="L237" s="85"/>
      <c r="M237" s="85"/>
      <c r="N237" s="85"/>
      <c r="O237" s="85"/>
      <c r="P237" s="85"/>
      <c r="Q237" s="85"/>
      <c r="R237" s="85"/>
      <c r="S237" s="1"/>
      <c r="U237" s="1"/>
      <c r="V237" s="1"/>
      <c r="W237" s="1"/>
      <c r="X237" s="1"/>
      <c r="Y237" s="1"/>
      <c r="Z237" s="1"/>
      <c r="AA237" s="1"/>
      <c r="AB237" s="1"/>
      <c r="AD237" s="3"/>
      <c r="AM237" s="86"/>
      <c r="AN237" s="85"/>
      <c r="AO237" s="85"/>
      <c r="AP237" s="85"/>
      <c r="AQ237" s="85"/>
      <c r="AR237" s="85"/>
      <c r="AS237" s="85"/>
      <c r="AT237" s="21"/>
      <c r="AV237" s="3"/>
    </row>
    <row r="238" spans="3:48" x14ac:dyDescent="0.3">
      <c r="C238" s="85"/>
      <c r="D238" s="85"/>
      <c r="E238" s="85"/>
      <c r="F238" s="85"/>
      <c r="G238" s="85"/>
      <c r="H238" s="85"/>
      <c r="I238" s="85"/>
      <c r="J238" s="25"/>
      <c r="K238" s="3"/>
      <c r="L238" s="85"/>
      <c r="M238" s="85"/>
      <c r="N238" s="85"/>
      <c r="O238" s="85"/>
      <c r="P238" s="85"/>
      <c r="Q238" s="85"/>
      <c r="R238" s="85"/>
      <c r="S238" s="1"/>
      <c r="U238" s="1"/>
      <c r="V238" s="1"/>
      <c r="W238" s="1"/>
      <c r="X238" s="1"/>
      <c r="Y238" s="1"/>
      <c r="Z238" s="1"/>
      <c r="AA238" s="1"/>
      <c r="AB238" s="1"/>
      <c r="AD238" s="3"/>
      <c r="AM238" s="86"/>
      <c r="AN238" s="85"/>
      <c r="AO238" s="85"/>
      <c r="AP238" s="85"/>
      <c r="AQ238" s="85"/>
      <c r="AR238" s="85"/>
      <c r="AS238" s="85"/>
      <c r="AT238" s="21"/>
      <c r="AV238" s="3"/>
    </row>
    <row r="239" spans="3:48" x14ac:dyDescent="0.3">
      <c r="C239" s="85"/>
      <c r="D239" s="85"/>
      <c r="E239" s="85"/>
      <c r="F239" s="85"/>
      <c r="G239" s="85"/>
      <c r="H239" s="85"/>
      <c r="I239" s="85"/>
      <c r="J239" s="25"/>
      <c r="K239" s="3"/>
      <c r="L239" s="85"/>
      <c r="M239" s="85"/>
      <c r="N239" s="85"/>
      <c r="O239" s="85"/>
      <c r="P239" s="85"/>
      <c r="Q239" s="85"/>
      <c r="R239" s="85"/>
      <c r="S239" s="1"/>
      <c r="U239" s="1"/>
      <c r="V239" s="1"/>
      <c r="W239" s="1"/>
      <c r="X239" s="1"/>
      <c r="Y239" s="1"/>
      <c r="Z239" s="1"/>
      <c r="AA239" s="1"/>
      <c r="AB239" s="1"/>
      <c r="AD239" s="3"/>
      <c r="AM239" s="86"/>
      <c r="AN239" s="85"/>
      <c r="AO239" s="85"/>
      <c r="AP239" s="85"/>
      <c r="AQ239" s="85"/>
      <c r="AR239" s="85"/>
      <c r="AS239" s="85"/>
      <c r="AT239" s="21"/>
      <c r="AV239" s="3"/>
    </row>
    <row r="240" spans="3:48" x14ac:dyDescent="0.3">
      <c r="C240" s="85"/>
      <c r="D240" s="85"/>
      <c r="E240" s="85"/>
      <c r="F240" s="85"/>
      <c r="G240" s="85"/>
      <c r="H240" s="85"/>
      <c r="I240" s="85"/>
      <c r="J240" s="25"/>
      <c r="K240" s="3"/>
      <c r="L240" s="85"/>
      <c r="M240" s="85"/>
      <c r="N240" s="85"/>
      <c r="O240" s="85"/>
      <c r="P240" s="85"/>
      <c r="Q240" s="85"/>
      <c r="R240" s="85"/>
      <c r="S240" s="1"/>
      <c r="U240" s="1"/>
      <c r="V240" s="1"/>
      <c r="W240" s="1"/>
      <c r="X240" s="1"/>
      <c r="Y240" s="1"/>
      <c r="Z240" s="1"/>
      <c r="AA240" s="1"/>
      <c r="AB240" s="1"/>
      <c r="AD240" s="3"/>
      <c r="AM240" s="86"/>
      <c r="AN240" s="85"/>
      <c r="AO240" s="85"/>
      <c r="AP240" s="85"/>
      <c r="AQ240" s="85"/>
      <c r="AR240" s="85"/>
      <c r="AS240" s="85"/>
      <c r="AT240" s="21"/>
      <c r="AV240" s="3"/>
    </row>
    <row r="241" spans="3:48" x14ac:dyDescent="0.3">
      <c r="C241" s="85"/>
      <c r="D241" s="85"/>
      <c r="E241" s="85"/>
      <c r="F241" s="85"/>
      <c r="G241" s="85"/>
      <c r="H241" s="85"/>
      <c r="I241" s="85"/>
      <c r="J241" s="25"/>
      <c r="K241" s="3"/>
      <c r="L241" s="85"/>
      <c r="M241" s="85"/>
      <c r="N241" s="85"/>
      <c r="O241" s="85"/>
      <c r="P241" s="85"/>
      <c r="Q241" s="85"/>
      <c r="R241" s="85"/>
      <c r="S241" s="1"/>
      <c r="U241" s="1"/>
      <c r="V241" s="1"/>
      <c r="W241" s="1"/>
      <c r="X241" s="1"/>
      <c r="Y241" s="1"/>
      <c r="Z241" s="1"/>
      <c r="AA241" s="1"/>
      <c r="AB241" s="1"/>
      <c r="AD241" s="3"/>
      <c r="AM241" s="86"/>
      <c r="AN241" s="85"/>
      <c r="AO241" s="85"/>
      <c r="AP241" s="85"/>
      <c r="AQ241" s="85"/>
      <c r="AR241" s="85"/>
      <c r="AS241" s="85"/>
      <c r="AT241" s="21"/>
      <c r="AV241" s="3"/>
    </row>
    <row r="242" spans="3:48" x14ac:dyDescent="0.3">
      <c r="C242" s="85"/>
      <c r="D242" s="85"/>
      <c r="E242" s="85"/>
      <c r="F242" s="85"/>
      <c r="G242" s="85"/>
      <c r="H242" s="85"/>
      <c r="I242" s="85"/>
      <c r="J242" s="25"/>
      <c r="K242" s="3"/>
      <c r="L242" s="85"/>
      <c r="M242" s="85"/>
      <c r="N242" s="85"/>
      <c r="O242" s="85"/>
      <c r="P242" s="85"/>
      <c r="Q242" s="85"/>
      <c r="R242" s="85"/>
      <c r="S242" s="1"/>
      <c r="U242" s="1"/>
      <c r="V242" s="1"/>
      <c r="W242" s="1"/>
      <c r="X242" s="1"/>
      <c r="Y242" s="1"/>
      <c r="Z242" s="1"/>
      <c r="AA242" s="1"/>
      <c r="AB242" s="1"/>
      <c r="AD242" s="3"/>
      <c r="AM242" s="86"/>
      <c r="AN242" s="85"/>
      <c r="AO242" s="85"/>
      <c r="AP242" s="85"/>
      <c r="AQ242" s="85"/>
      <c r="AR242" s="85"/>
      <c r="AS242" s="85"/>
      <c r="AT242" s="21"/>
      <c r="AV242" s="3"/>
    </row>
    <row r="243" spans="3:48" x14ac:dyDescent="0.3">
      <c r="C243" s="85"/>
      <c r="D243" s="85"/>
      <c r="E243" s="85"/>
      <c r="F243" s="85"/>
      <c r="G243" s="85"/>
      <c r="H243" s="85"/>
      <c r="I243" s="85"/>
      <c r="J243" s="25"/>
      <c r="K243" s="3"/>
      <c r="L243" s="85"/>
      <c r="M243" s="85"/>
      <c r="N243" s="85"/>
      <c r="O243" s="85"/>
      <c r="P243" s="85"/>
      <c r="Q243" s="85"/>
      <c r="R243" s="85"/>
      <c r="S243" s="1"/>
      <c r="U243" s="1"/>
      <c r="V243" s="1"/>
      <c r="W243" s="1"/>
      <c r="X243" s="1"/>
      <c r="Y243" s="1"/>
      <c r="Z243" s="1"/>
      <c r="AA243" s="1"/>
      <c r="AB243" s="1"/>
      <c r="AD243" s="3"/>
      <c r="AM243" s="86"/>
      <c r="AN243" s="85"/>
      <c r="AO243" s="85"/>
      <c r="AP243" s="85"/>
      <c r="AQ243" s="85"/>
      <c r="AR243" s="85"/>
      <c r="AS243" s="85"/>
      <c r="AT243" s="21"/>
      <c r="AV243" s="3"/>
    </row>
    <row r="244" spans="3:48" x14ac:dyDescent="0.3">
      <c r="C244" s="85"/>
      <c r="D244" s="85"/>
      <c r="E244" s="85"/>
      <c r="F244" s="85"/>
      <c r="G244" s="85"/>
      <c r="H244" s="85"/>
      <c r="I244" s="85"/>
      <c r="J244" s="25"/>
      <c r="K244" s="3"/>
      <c r="L244" s="85"/>
      <c r="M244" s="85"/>
      <c r="N244" s="85"/>
      <c r="O244" s="85"/>
      <c r="P244" s="85"/>
      <c r="Q244" s="85"/>
      <c r="R244" s="85"/>
      <c r="S244" s="1"/>
      <c r="U244" s="1"/>
      <c r="V244" s="1"/>
      <c r="W244" s="1"/>
      <c r="X244" s="1"/>
      <c r="Y244" s="1"/>
      <c r="Z244" s="1"/>
      <c r="AA244" s="1"/>
      <c r="AB244" s="1"/>
      <c r="AD244" s="3"/>
      <c r="AM244" s="86"/>
      <c r="AN244" s="85"/>
      <c r="AO244" s="85"/>
      <c r="AP244" s="85"/>
      <c r="AQ244" s="85"/>
      <c r="AR244" s="85"/>
      <c r="AS244" s="85"/>
      <c r="AT244" s="21"/>
      <c r="AV244" s="3"/>
    </row>
    <row r="245" spans="3:48" x14ac:dyDescent="0.3">
      <c r="C245" s="85"/>
      <c r="D245" s="85"/>
      <c r="E245" s="85"/>
      <c r="F245" s="85"/>
      <c r="G245" s="85"/>
      <c r="H245" s="85"/>
      <c r="I245" s="85"/>
      <c r="J245" s="25"/>
      <c r="K245" s="3"/>
      <c r="L245" s="85"/>
      <c r="M245" s="85"/>
      <c r="N245" s="85"/>
      <c r="O245" s="85"/>
      <c r="P245" s="85"/>
      <c r="Q245" s="85"/>
      <c r="R245" s="85"/>
      <c r="S245" s="1"/>
      <c r="U245" s="1"/>
      <c r="V245" s="1"/>
      <c r="W245" s="1"/>
      <c r="X245" s="1"/>
      <c r="Y245" s="1"/>
      <c r="Z245" s="1"/>
      <c r="AA245" s="1"/>
      <c r="AB245" s="1"/>
      <c r="AD245" s="3"/>
      <c r="AM245" s="86"/>
      <c r="AN245" s="85"/>
      <c r="AO245" s="85"/>
      <c r="AP245" s="85"/>
      <c r="AQ245" s="85"/>
      <c r="AR245" s="85"/>
      <c r="AS245" s="85"/>
      <c r="AT245" s="21"/>
      <c r="AV245" s="3"/>
    </row>
    <row r="246" spans="3:48" x14ac:dyDescent="0.3">
      <c r="C246" s="85"/>
      <c r="D246" s="85"/>
      <c r="E246" s="85"/>
      <c r="F246" s="85"/>
      <c r="G246" s="85"/>
      <c r="H246" s="85"/>
      <c r="I246" s="85"/>
      <c r="J246" s="25"/>
      <c r="K246" s="3"/>
      <c r="L246" s="85"/>
      <c r="M246" s="85"/>
      <c r="N246" s="85"/>
      <c r="O246" s="85"/>
      <c r="P246" s="85"/>
      <c r="Q246" s="85"/>
      <c r="R246" s="85"/>
      <c r="S246" s="1"/>
      <c r="U246" s="1"/>
      <c r="V246" s="1"/>
      <c r="W246" s="1"/>
      <c r="X246" s="1"/>
      <c r="Y246" s="1"/>
      <c r="Z246" s="1"/>
      <c r="AA246" s="1"/>
      <c r="AB246" s="1"/>
      <c r="AD246" s="3"/>
      <c r="AM246" s="86"/>
      <c r="AN246" s="85"/>
      <c r="AO246" s="85"/>
      <c r="AP246" s="85"/>
      <c r="AQ246" s="85"/>
      <c r="AR246" s="85"/>
      <c r="AS246" s="85"/>
      <c r="AT246" s="21"/>
      <c r="AV246" s="3"/>
    </row>
    <row r="247" spans="3:48" x14ac:dyDescent="0.3">
      <c r="C247" s="85"/>
      <c r="D247" s="85"/>
      <c r="E247" s="85"/>
      <c r="F247" s="85"/>
      <c r="G247" s="85"/>
      <c r="H247" s="85"/>
      <c r="I247" s="85"/>
      <c r="J247" s="25"/>
      <c r="K247" s="3"/>
      <c r="L247" s="85"/>
      <c r="M247" s="85"/>
      <c r="N247" s="85"/>
      <c r="O247" s="85"/>
      <c r="P247" s="85"/>
      <c r="Q247" s="85"/>
      <c r="R247" s="85"/>
      <c r="S247" s="1"/>
      <c r="U247" s="1"/>
      <c r="V247" s="1"/>
      <c r="W247" s="1"/>
      <c r="X247" s="1"/>
      <c r="Y247" s="1"/>
      <c r="Z247" s="1"/>
      <c r="AA247" s="1"/>
      <c r="AB247" s="1"/>
      <c r="AD247" s="3"/>
      <c r="AM247" s="86"/>
      <c r="AN247" s="85"/>
      <c r="AO247" s="85"/>
      <c r="AP247" s="85"/>
      <c r="AQ247" s="85"/>
      <c r="AR247" s="85"/>
      <c r="AS247" s="85"/>
      <c r="AT247" s="21"/>
      <c r="AV247" s="3"/>
    </row>
    <row r="248" spans="3:48" x14ac:dyDescent="0.3">
      <c r="C248" s="85"/>
      <c r="D248" s="85"/>
      <c r="E248" s="85"/>
      <c r="F248" s="85"/>
      <c r="G248" s="85"/>
      <c r="H248" s="85"/>
      <c r="I248" s="85"/>
      <c r="J248" s="25"/>
      <c r="K248" s="3"/>
      <c r="L248" s="85"/>
      <c r="M248" s="85"/>
      <c r="N248" s="85"/>
      <c r="O248" s="85"/>
      <c r="P248" s="85"/>
      <c r="Q248" s="85"/>
      <c r="R248" s="85"/>
      <c r="S248" s="1"/>
      <c r="U248" s="1"/>
      <c r="V248" s="1"/>
      <c r="W248" s="1"/>
      <c r="X248" s="1"/>
      <c r="Y248" s="1"/>
      <c r="Z248" s="1"/>
      <c r="AA248" s="1"/>
      <c r="AB248" s="1"/>
      <c r="AD248" s="3"/>
      <c r="AM248" s="86"/>
      <c r="AN248" s="85"/>
      <c r="AO248" s="85"/>
      <c r="AP248" s="85"/>
      <c r="AQ248" s="85"/>
      <c r="AR248" s="85"/>
      <c r="AS248" s="85"/>
      <c r="AT248" s="21"/>
      <c r="AV248" s="3"/>
    </row>
    <row r="249" spans="3:48" x14ac:dyDescent="0.3">
      <c r="C249" s="85"/>
      <c r="D249" s="85"/>
      <c r="E249" s="85"/>
      <c r="F249" s="85"/>
      <c r="G249" s="85"/>
      <c r="H249" s="85"/>
      <c r="I249" s="85"/>
      <c r="J249" s="25"/>
      <c r="K249" s="3"/>
      <c r="L249" s="85"/>
      <c r="M249" s="85"/>
      <c r="N249" s="85"/>
      <c r="O249" s="85"/>
      <c r="P249" s="85"/>
      <c r="Q249" s="85"/>
      <c r="R249" s="85"/>
      <c r="S249" s="1"/>
      <c r="U249" s="1"/>
      <c r="V249" s="1"/>
      <c r="W249" s="1"/>
      <c r="X249" s="1"/>
      <c r="Y249" s="1"/>
      <c r="Z249" s="1"/>
      <c r="AA249" s="1"/>
      <c r="AB249" s="1"/>
      <c r="AD249" s="3"/>
      <c r="AM249" s="86"/>
      <c r="AN249" s="85"/>
      <c r="AO249" s="85"/>
      <c r="AP249" s="85"/>
      <c r="AQ249" s="85"/>
      <c r="AR249" s="85"/>
      <c r="AS249" s="85"/>
      <c r="AT249" s="21"/>
      <c r="AV249" s="3"/>
    </row>
    <row r="250" spans="3:48" x14ac:dyDescent="0.3">
      <c r="C250" s="85"/>
      <c r="D250" s="85"/>
      <c r="E250" s="85"/>
      <c r="F250" s="85"/>
      <c r="G250" s="85"/>
      <c r="H250" s="85"/>
      <c r="I250" s="85"/>
      <c r="J250" s="25"/>
      <c r="K250" s="3"/>
      <c r="L250" s="85"/>
      <c r="M250" s="85"/>
      <c r="N250" s="85"/>
      <c r="O250" s="85"/>
      <c r="P250" s="85"/>
      <c r="Q250" s="85"/>
      <c r="R250" s="85"/>
      <c r="S250" s="1"/>
      <c r="U250" s="1"/>
      <c r="V250" s="1"/>
      <c r="W250" s="1"/>
      <c r="X250" s="1"/>
      <c r="Y250" s="1"/>
      <c r="Z250" s="1"/>
      <c r="AA250" s="1"/>
      <c r="AB250" s="1"/>
      <c r="AD250" s="3"/>
      <c r="AM250" s="86"/>
      <c r="AN250" s="85"/>
      <c r="AO250" s="85"/>
      <c r="AP250" s="85"/>
      <c r="AQ250" s="85"/>
      <c r="AR250" s="85"/>
      <c r="AS250" s="85"/>
      <c r="AT250" s="21"/>
      <c r="AV250" s="3"/>
    </row>
    <row r="251" spans="3:48" x14ac:dyDescent="0.3">
      <c r="C251" s="85"/>
      <c r="D251" s="85"/>
      <c r="E251" s="85"/>
      <c r="F251" s="85"/>
      <c r="G251" s="85"/>
      <c r="H251" s="85"/>
      <c r="I251" s="85"/>
      <c r="J251" s="25"/>
      <c r="K251" s="3"/>
      <c r="L251" s="85"/>
      <c r="M251" s="85"/>
      <c r="N251" s="85"/>
      <c r="O251" s="85"/>
      <c r="P251" s="85"/>
      <c r="Q251" s="85"/>
      <c r="R251" s="85"/>
      <c r="S251" s="1"/>
      <c r="U251" s="1"/>
      <c r="V251" s="1"/>
      <c r="W251" s="1"/>
      <c r="X251" s="1"/>
      <c r="Y251" s="1"/>
      <c r="Z251" s="1"/>
      <c r="AA251" s="1"/>
      <c r="AB251" s="1"/>
      <c r="AD251" s="3"/>
      <c r="AM251" s="86"/>
      <c r="AN251" s="85"/>
      <c r="AO251" s="85"/>
      <c r="AP251" s="85"/>
      <c r="AQ251" s="85"/>
      <c r="AR251" s="85"/>
      <c r="AS251" s="85"/>
      <c r="AT251" s="21"/>
      <c r="AV251" s="3"/>
    </row>
    <row r="252" spans="3:48" x14ac:dyDescent="0.3">
      <c r="C252" s="85"/>
      <c r="D252" s="85"/>
      <c r="E252" s="85"/>
      <c r="F252" s="85"/>
      <c r="G252" s="85"/>
      <c r="H252" s="85"/>
      <c r="I252" s="85"/>
      <c r="J252" s="25"/>
      <c r="K252" s="3"/>
      <c r="L252" s="85"/>
      <c r="M252" s="85"/>
      <c r="N252" s="85"/>
      <c r="O252" s="85"/>
      <c r="P252" s="85"/>
      <c r="Q252" s="85"/>
      <c r="R252" s="85"/>
      <c r="S252" s="1"/>
      <c r="U252" s="1"/>
      <c r="V252" s="1"/>
      <c r="W252" s="1"/>
      <c r="X252" s="1"/>
      <c r="Y252" s="1"/>
      <c r="Z252" s="1"/>
      <c r="AA252" s="1"/>
      <c r="AB252" s="1"/>
      <c r="AD252" s="3"/>
      <c r="AM252" s="86"/>
      <c r="AN252" s="85"/>
      <c r="AO252" s="85"/>
      <c r="AP252" s="85"/>
      <c r="AQ252" s="85"/>
      <c r="AR252" s="85"/>
      <c r="AS252" s="85"/>
      <c r="AT252" s="21"/>
      <c r="AV252" s="3"/>
    </row>
    <row r="253" spans="3:48" x14ac:dyDescent="0.3">
      <c r="C253" s="85"/>
      <c r="D253" s="85"/>
      <c r="E253" s="85"/>
      <c r="F253" s="85"/>
      <c r="G253" s="85"/>
      <c r="H253" s="85"/>
      <c r="I253" s="85"/>
      <c r="J253" s="25"/>
      <c r="K253" s="3"/>
      <c r="L253" s="85"/>
      <c r="M253" s="85"/>
      <c r="N253" s="85"/>
      <c r="O253" s="85"/>
      <c r="P253" s="85"/>
      <c r="Q253" s="85"/>
      <c r="R253" s="85"/>
      <c r="S253" s="1"/>
      <c r="U253" s="1"/>
      <c r="V253" s="1"/>
      <c r="W253" s="1"/>
      <c r="X253" s="1"/>
      <c r="Y253" s="1"/>
      <c r="Z253" s="1"/>
      <c r="AA253" s="1"/>
      <c r="AB253" s="1"/>
      <c r="AD253" s="3"/>
      <c r="AM253" s="86"/>
      <c r="AN253" s="85"/>
      <c r="AO253" s="85"/>
      <c r="AP253" s="85"/>
      <c r="AQ253" s="85"/>
      <c r="AR253" s="85"/>
      <c r="AS253" s="85"/>
      <c r="AT253" s="21"/>
      <c r="AV253" s="3"/>
    </row>
    <row r="254" spans="3:48" x14ac:dyDescent="0.3">
      <c r="C254" s="85"/>
      <c r="D254" s="85"/>
      <c r="E254" s="85"/>
      <c r="F254" s="85"/>
      <c r="G254" s="85"/>
      <c r="H254" s="85"/>
      <c r="I254" s="85"/>
      <c r="J254" s="25"/>
      <c r="K254" s="3"/>
      <c r="L254" s="85"/>
      <c r="M254" s="85"/>
      <c r="N254" s="85"/>
      <c r="O254" s="85"/>
      <c r="P254" s="85"/>
      <c r="Q254" s="85"/>
      <c r="R254" s="85"/>
      <c r="S254" s="1"/>
      <c r="U254" s="1"/>
      <c r="V254" s="1"/>
      <c r="W254" s="1"/>
      <c r="X254" s="1"/>
      <c r="Y254" s="1"/>
      <c r="Z254" s="1"/>
      <c r="AA254" s="1"/>
      <c r="AB254" s="1"/>
      <c r="AD254" s="3"/>
      <c r="AM254" s="86"/>
      <c r="AN254" s="85"/>
      <c r="AO254" s="85"/>
      <c r="AP254" s="85"/>
      <c r="AQ254" s="85"/>
      <c r="AR254" s="85"/>
      <c r="AS254" s="85"/>
      <c r="AT254" s="21"/>
      <c r="AV254" s="3"/>
    </row>
    <row r="255" spans="3:48" x14ac:dyDescent="0.3">
      <c r="C255" s="85"/>
      <c r="D255" s="85"/>
      <c r="E255" s="85"/>
      <c r="F255" s="85"/>
      <c r="G255" s="85"/>
      <c r="H255" s="85"/>
      <c r="I255" s="85"/>
      <c r="J255" s="25"/>
      <c r="K255" s="3"/>
      <c r="L255" s="85"/>
      <c r="M255" s="85"/>
      <c r="N255" s="85"/>
      <c r="O255" s="85"/>
      <c r="P255" s="85"/>
      <c r="Q255" s="85"/>
      <c r="R255" s="85"/>
      <c r="S255" s="1"/>
      <c r="U255" s="1"/>
      <c r="V255" s="1"/>
      <c r="W255" s="1"/>
      <c r="X255" s="1"/>
      <c r="Y255" s="1"/>
      <c r="Z255" s="1"/>
      <c r="AA255" s="1"/>
      <c r="AB255" s="1"/>
      <c r="AD255" s="3"/>
      <c r="AM255" s="86"/>
      <c r="AN255" s="85"/>
      <c r="AO255" s="85"/>
      <c r="AP255" s="85"/>
      <c r="AQ255" s="85"/>
      <c r="AR255" s="85"/>
      <c r="AS255" s="85"/>
      <c r="AT255" s="21"/>
      <c r="AV255" s="3"/>
    </row>
    <row r="256" spans="3:48" x14ac:dyDescent="0.3">
      <c r="C256" s="85"/>
      <c r="D256" s="85"/>
      <c r="E256" s="85"/>
      <c r="F256" s="85"/>
      <c r="G256" s="85"/>
      <c r="H256" s="85"/>
      <c r="I256" s="85"/>
      <c r="J256" s="25"/>
      <c r="K256" s="3"/>
      <c r="L256" s="85"/>
      <c r="M256" s="85"/>
      <c r="N256" s="85"/>
      <c r="O256" s="85"/>
      <c r="P256" s="85"/>
      <c r="Q256" s="85"/>
      <c r="R256" s="85"/>
      <c r="S256" s="1"/>
      <c r="U256" s="1"/>
      <c r="V256" s="1"/>
      <c r="W256" s="1"/>
      <c r="X256" s="1"/>
      <c r="Y256" s="1"/>
      <c r="Z256" s="1"/>
      <c r="AA256" s="1"/>
      <c r="AB256" s="1"/>
      <c r="AD256" s="3"/>
      <c r="AM256" s="86"/>
      <c r="AN256" s="85"/>
      <c r="AO256" s="85"/>
      <c r="AP256" s="85"/>
      <c r="AQ256" s="85"/>
      <c r="AR256" s="85"/>
      <c r="AS256" s="85"/>
      <c r="AT256" s="21"/>
      <c r="AV256" s="3"/>
    </row>
    <row r="257" spans="3:48" x14ac:dyDescent="0.3">
      <c r="C257" s="85"/>
      <c r="D257" s="85"/>
      <c r="E257" s="85"/>
      <c r="F257" s="85"/>
      <c r="G257" s="85"/>
      <c r="H257" s="85"/>
      <c r="I257" s="85"/>
      <c r="J257" s="25"/>
      <c r="K257" s="3"/>
      <c r="L257" s="85"/>
      <c r="M257" s="85"/>
      <c r="N257" s="85"/>
      <c r="O257" s="85"/>
      <c r="P257" s="85"/>
      <c r="Q257" s="85"/>
      <c r="R257" s="85"/>
      <c r="S257" s="1"/>
      <c r="U257" s="1"/>
      <c r="V257" s="1"/>
      <c r="W257" s="1"/>
      <c r="X257" s="1"/>
      <c r="Y257" s="1"/>
      <c r="Z257" s="1"/>
      <c r="AA257" s="1"/>
      <c r="AB257" s="1"/>
      <c r="AD257" s="3"/>
      <c r="AM257" s="86"/>
      <c r="AN257" s="85"/>
      <c r="AO257" s="85"/>
      <c r="AP257" s="85"/>
      <c r="AQ257" s="85"/>
      <c r="AR257" s="85"/>
      <c r="AS257" s="85"/>
      <c r="AT257" s="21"/>
      <c r="AV257" s="3"/>
    </row>
    <row r="258" spans="3:48" x14ac:dyDescent="0.3">
      <c r="C258" s="85"/>
      <c r="D258" s="85"/>
      <c r="E258" s="85"/>
      <c r="F258" s="85"/>
      <c r="G258" s="85"/>
      <c r="H258" s="85"/>
      <c r="I258" s="85"/>
      <c r="J258" s="25"/>
      <c r="K258" s="3"/>
      <c r="L258" s="85"/>
      <c r="M258" s="85"/>
      <c r="N258" s="85"/>
      <c r="O258" s="85"/>
      <c r="P258" s="85"/>
      <c r="Q258" s="85"/>
      <c r="R258" s="85"/>
      <c r="S258" s="1"/>
      <c r="U258" s="1"/>
      <c r="V258" s="1"/>
      <c r="W258" s="1"/>
      <c r="X258" s="1"/>
      <c r="Y258" s="1"/>
      <c r="Z258" s="1"/>
      <c r="AA258" s="1"/>
      <c r="AB258" s="1"/>
      <c r="AD258" s="3"/>
      <c r="AM258" s="86"/>
      <c r="AN258" s="85"/>
      <c r="AO258" s="85"/>
      <c r="AP258" s="85"/>
      <c r="AQ258" s="85"/>
      <c r="AR258" s="85"/>
      <c r="AS258" s="85"/>
      <c r="AT258" s="21"/>
      <c r="AV258" s="3"/>
    </row>
    <row r="259" spans="3:48" x14ac:dyDescent="0.3">
      <c r="C259" s="85"/>
      <c r="D259" s="85"/>
      <c r="E259" s="85"/>
      <c r="F259" s="85"/>
      <c r="G259" s="85"/>
      <c r="H259" s="85"/>
      <c r="I259" s="85"/>
      <c r="J259" s="25"/>
      <c r="K259" s="3"/>
      <c r="L259" s="85"/>
      <c r="M259" s="85"/>
      <c r="N259" s="85"/>
      <c r="O259" s="85"/>
      <c r="P259" s="85"/>
      <c r="Q259" s="85"/>
      <c r="R259" s="85"/>
      <c r="S259" s="1"/>
      <c r="U259" s="1"/>
      <c r="V259" s="1"/>
      <c r="W259" s="1"/>
      <c r="X259" s="1"/>
      <c r="Y259" s="1"/>
      <c r="Z259" s="1"/>
      <c r="AA259" s="1"/>
      <c r="AB259" s="1"/>
      <c r="AD259" s="3"/>
      <c r="AM259" s="86"/>
      <c r="AN259" s="85"/>
      <c r="AO259" s="85"/>
      <c r="AP259" s="85"/>
      <c r="AQ259" s="85"/>
      <c r="AR259" s="85"/>
      <c r="AS259" s="85"/>
      <c r="AT259" s="21"/>
      <c r="AV259" s="3"/>
    </row>
    <row r="260" spans="3:48" x14ac:dyDescent="0.3">
      <c r="C260" s="85"/>
      <c r="D260" s="85"/>
      <c r="E260" s="85"/>
      <c r="F260" s="85"/>
      <c r="G260" s="85"/>
      <c r="H260" s="85"/>
      <c r="I260" s="85"/>
      <c r="J260" s="25"/>
      <c r="K260" s="3"/>
      <c r="L260" s="85"/>
      <c r="M260" s="85"/>
      <c r="N260" s="85"/>
      <c r="O260" s="85"/>
      <c r="P260" s="85"/>
      <c r="Q260" s="85"/>
      <c r="R260" s="85"/>
      <c r="S260" s="1"/>
      <c r="U260" s="1"/>
      <c r="V260" s="1"/>
      <c r="W260" s="1"/>
      <c r="X260" s="1"/>
      <c r="Y260" s="1"/>
      <c r="Z260" s="1"/>
      <c r="AA260" s="1"/>
      <c r="AB260" s="1"/>
      <c r="AD260" s="3"/>
      <c r="AM260" s="86"/>
      <c r="AN260" s="85"/>
      <c r="AO260" s="85"/>
      <c r="AP260" s="85"/>
      <c r="AQ260" s="85"/>
      <c r="AR260" s="85"/>
      <c r="AS260" s="85"/>
      <c r="AT260" s="21"/>
      <c r="AV260" s="3"/>
    </row>
    <row r="261" spans="3:48" x14ac:dyDescent="0.3">
      <c r="C261" s="85"/>
      <c r="D261" s="85"/>
      <c r="E261" s="85"/>
      <c r="F261" s="85"/>
      <c r="G261" s="85"/>
      <c r="H261" s="85"/>
      <c r="I261" s="85"/>
      <c r="J261" s="25"/>
      <c r="K261" s="3"/>
      <c r="L261" s="85"/>
      <c r="M261" s="85"/>
      <c r="N261" s="85"/>
      <c r="O261" s="85"/>
      <c r="P261" s="85"/>
      <c r="Q261" s="85"/>
      <c r="R261" s="85"/>
      <c r="S261" s="1"/>
      <c r="U261" s="1"/>
      <c r="V261" s="1"/>
      <c r="W261" s="1"/>
      <c r="X261" s="1"/>
      <c r="Y261" s="1"/>
      <c r="Z261" s="1"/>
      <c r="AA261" s="1"/>
      <c r="AB261" s="1"/>
      <c r="AD261" s="3"/>
      <c r="AM261" s="86"/>
      <c r="AN261" s="85"/>
      <c r="AO261" s="85"/>
      <c r="AP261" s="85"/>
      <c r="AQ261" s="85"/>
      <c r="AR261" s="85"/>
      <c r="AS261" s="85"/>
      <c r="AT261" s="21"/>
      <c r="AV261" s="3"/>
    </row>
    <row r="262" spans="3:48" x14ac:dyDescent="0.3">
      <c r="C262" s="85"/>
      <c r="D262" s="85"/>
      <c r="E262" s="85"/>
      <c r="F262" s="85"/>
      <c r="G262" s="85"/>
      <c r="H262" s="85"/>
      <c r="I262" s="85"/>
      <c r="J262" s="25"/>
      <c r="K262" s="3"/>
      <c r="L262" s="85"/>
      <c r="M262" s="85"/>
      <c r="N262" s="85"/>
      <c r="O262" s="85"/>
      <c r="P262" s="85"/>
      <c r="Q262" s="85"/>
      <c r="R262" s="85"/>
      <c r="S262" s="1"/>
      <c r="U262" s="1"/>
      <c r="V262" s="1"/>
      <c r="W262" s="1"/>
      <c r="X262" s="1"/>
      <c r="Y262" s="1"/>
      <c r="Z262" s="1"/>
      <c r="AA262" s="1"/>
      <c r="AB262" s="1"/>
      <c r="AD262" s="3"/>
      <c r="AM262" s="86"/>
      <c r="AN262" s="85"/>
      <c r="AO262" s="85"/>
      <c r="AP262" s="85"/>
      <c r="AQ262" s="85"/>
      <c r="AR262" s="85"/>
      <c r="AS262" s="85"/>
      <c r="AT262" s="21"/>
      <c r="AV262" s="3"/>
    </row>
    <row r="263" spans="3:48" x14ac:dyDescent="0.3">
      <c r="C263" s="85"/>
      <c r="D263" s="85"/>
      <c r="E263" s="85"/>
      <c r="F263" s="85"/>
      <c r="G263" s="85"/>
      <c r="H263" s="85"/>
      <c r="I263" s="85"/>
      <c r="J263" s="25"/>
      <c r="K263" s="3"/>
      <c r="L263" s="85"/>
      <c r="M263" s="85"/>
      <c r="N263" s="85"/>
      <c r="O263" s="85"/>
      <c r="P263" s="85"/>
      <c r="Q263" s="85"/>
      <c r="R263" s="85"/>
      <c r="S263" s="1"/>
      <c r="U263" s="1"/>
      <c r="V263" s="1"/>
      <c r="W263" s="1"/>
      <c r="X263" s="1"/>
      <c r="Y263" s="1"/>
      <c r="Z263" s="1"/>
      <c r="AA263" s="1"/>
      <c r="AB263" s="1"/>
      <c r="AD263" s="3"/>
      <c r="AM263" s="86"/>
      <c r="AN263" s="85"/>
      <c r="AO263" s="85"/>
      <c r="AP263" s="85"/>
      <c r="AQ263" s="85"/>
      <c r="AR263" s="85"/>
      <c r="AS263" s="85"/>
      <c r="AT263" s="21"/>
      <c r="AV263" s="3"/>
    </row>
    <row r="264" spans="3:48" x14ac:dyDescent="0.3">
      <c r="C264" s="85"/>
      <c r="D264" s="85"/>
      <c r="E264" s="85"/>
      <c r="F264" s="85"/>
      <c r="G264" s="85"/>
      <c r="H264" s="85"/>
      <c r="I264" s="85"/>
      <c r="J264" s="25"/>
      <c r="K264" s="3"/>
      <c r="L264" s="85"/>
      <c r="M264" s="85"/>
      <c r="N264" s="85"/>
      <c r="O264" s="85"/>
      <c r="P264" s="85"/>
      <c r="Q264" s="85"/>
      <c r="R264" s="85"/>
      <c r="S264" s="1"/>
      <c r="U264" s="1"/>
      <c r="V264" s="1"/>
      <c r="W264" s="1"/>
      <c r="X264" s="1"/>
      <c r="Y264" s="1"/>
      <c r="Z264" s="1"/>
      <c r="AA264" s="1"/>
      <c r="AB264" s="1"/>
      <c r="AD264" s="3"/>
      <c r="AM264" s="86"/>
      <c r="AN264" s="85"/>
      <c r="AO264" s="85"/>
      <c r="AP264" s="85"/>
      <c r="AQ264" s="85"/>
      <c r="AR264" s="85"/>
      <c r="AS264" s="85"/>
      <c r="AT264" s="21"/>
      <c r="AV264" s="3"/>
    </row>
    <row r="265" spans="3:48" x14ac:dyDescent="0.3">
      <c r="C265" s="85"/>
      <c r="D265" s="85"/>
      <c r="E265" s="85"/>
      <c r="F265" s="85"/>
      <c r="G265" s="85"/>
      <c r="H265" s="85"/>
      <c r="I265" s="85"/>
      <c r="J265" s="25"/>
      <c r="K265" s="3"/>
      <c r="L265" s="85"/>
      <c r="M265" s="85"/>
      <c r="N265" s="85"/>
      <c r="O265" s="85"/>
      <c r="P265" s="85"/>
      <c r="Q265" s="85"/>
      <c r="R265" s="85"/>
      <c r="S265" s="1"/>
      <c r="U265" s="1"/>
      <c r="V265" s="1"/>
      <c r="W265" s="1"/>
      <c r="X265" s="1"/>
      <c r="Y265" s="1"/>
      <c r="Z265" s="1"/>
      <c r="AA265" s="1"/>
      <c r="AB265" s="1"/>
      <c r="AD265" s="3"/>
      <c r="AM265" s="86"/>
      <c r="AN265" s="85"/>
      <c r="AO265" s="85"/>
      <c r="AP265" s="85"/>
      <c r="AQ265" s="85"/>
      <c r="AR265" s="85"/>
      <c r="AS265" s="85"/>
      <c r="AT265" s="21"/>
      <c r="AV265" s="3"/>
    </row>
    <row r="266" spans="3:48" x14ac:dyDescent="0.3">
      <c r="C266" s="85"/>
      <c r="D266" s="85"/>
      <c r="E266" s="85"/>
      <c r="F266" s="85"/>
      <c r="G266" s="85"/>
      <c r="H266" s="85"/>
      <c r="I266" s="85"/>
      <c r="J266" s="25"/>
      <c r="K266" s="3"/>
      <c r="L266" s="85"/>
      <c r="M266" s="85"/>
      <c r="N266" s="85"/>
      <c r="O266" s="85"/>
      <c r="P266" s="85"/>
      <c r="Q266" s="85"/>
      <c r="R266" s="85"/>
      <c r="S266" s="1"/>
      <c r="U266" s="1"/>
      <c r="V266" s="1"/>
      <c r="W266" s="1"/>
      <c r="X266" s="1"/>
      <c r="Y266" s="1"/>
      <c r="Z266" s="1"/>
      <c r="AA266" s="1"/>
      <c r="AB266" s="1"/>
      <c r="AD266" s="3"/>
      <c r="AM266" s="86"/>
      <c r="AN266" s="85"/>
      <c r="AO266" s="85"/>
      <c r="AP266" s="85"/>
      <c r="AQ266" s="85"/>
      <c r="AR266" s="85"/>
      <c r="AS266" s="85"/>
      <c r="AT266" s="21"/>
      <c r="AV266" s="3"/>
    </row>
    <row r="267" spans="3:48" x14ac:dyDescent="0.3">
      <c r="C267" s="85"/>
      <c r="D267" s="85"/>
      <c r="E267" s="85"/>
      <c r="F267" s="85"/>
      <c r="G267" s="85"/>
      <c r="H267" s="85"/>
      <c r="I267" s="85"/>
      <c r="J267" s="25"/>
      <c r="K267" s="3"/>
      <c r="L267" s="85"/>
      <c r="M267" s="85"/>
      <c r="N267" s="85"/>
      <c r="O267" s="85"/>
      <c r="P267" s="85"/>
      <c r="Q267" s="85"/>
      <c r="R267" s="85"/>
      <c r="S267" s="1"/>
      <c r="U267" s="1"/>
      <c r="V267" s="1"/>
      <c r="W267" s="1"/>
      <c r="X267" s="1"/>
      <c r="Y267" s="1"/>
      <c r="Z267" s="1"/>
      <c r="AA267" s="1"/>
      <c r="AB267" s="1"/>
      <c r="AD267" s="3"/>
      <c r="AM267" s="86"/>
      <c r="AN267" s="85"/>
      <c r="AO267" s="85"/>
      <c r="AP267" s="85"/>
      <c r="AQ267" s="85"/>
      <c r="AR267" s="85"/>
      <c r="AS267" s="85"/>
      <c r="AT267" s="21"/>
      <c r="AV267" s="3"/>
    </row>
    <row r="268" spans="3:48" x14ac:dyDescent="0.3">
      <c r="C268" s="85"/>
      <c r="D268" s="85"/>
      <c r="E268" s="85"/>
      <c r="F268" s="85"/>
      <c r="G268" s="85"/>
      <c r="H268" s="85"/>
      <c r="I268" s="85"/>
      <c r="J268" s="25"/>
      <c r="K268" s="3"/>
      <c r="L268" s="85"/>
      <c r="M268" s="85"/>
      <c r="N268" s="85"/>
      <c r="O268" s="85"/>
      <c r="P268" s="85"/>
      <c r="Q268" s="85"/>
      <c r="R268" s="85"/>
      <c r="S268" s="1"/>
      <c r="U268" s="1"/>
      <c r="V268" s="1"/>
      <c r="W268" s="1"/>
      <c r="X268" s="1"/>
      <c r="Y268" s="1"/>
      <c r="Z268" s="1"/>
      <c r="AA268" s="1"/>
      <c r="AB268" s="1"/>
      <c r="AD268" s="3"/>
      <c r="AM268" s="86"/>
      <c r="AN268" s="85"/>
      <c r="AO268" s="85"/>
      <c r="AP268" s="85"/>
      <c r="AQ268" s="85"/>
      <c r="AR268" s="85"/>
      <c r="AS268" s="85"/>
      <c r="AT268" s="21"/>
      <c r="AV268" s="3"/>
    </row>
    <row r="269" spans="3:48" x14ac:dyDescent="0.3">
      <c r="C269" s="85"/>
      <c r="D269" s="85"/>
      <c r="E269" s="85"/>
      <c r="F269" s="85"/>
      <c r="G269" s="85"/>
      <c r="H269" s="85"/>
      <c r="I269" s="85"/>
      <c r="J269" s="25"/>
      <c r="K269" s="3"/>
      <c r="L269" s="85"/>
      <c r="M269" s="85"/>
      <c r="N269" s="85"/>
      <c r="O269" s="85"/>
      <c r="P269" s="85"/>
      <c r="Q269" s="85"/>
      <c r="R269" s="85"/>
      <c r="S269" s="1"/>
      <c r="U269" s="1"/>
      <c r="V269" s="1"/>
      <c r="W269" s="1"/>
      <c r="X269" s="1"/>
      <c r="Y269" s="1"/>
      <c r="Z269" s="1"/>
      <c r="AA269" s="1"/>
      <c r="AB269" s="1"/>
      <c r="AD269" s="3"/>
      <c r="AM269" s="86"/>
      <c r="AN269" s="85"/>
      <c r="AO269" s="85"/>
      <c r="AP269" s="85"/>
      <c r="AQ269" s="85"/>
      <c r="AR269" s="85"/>
      <c r="AS269" s="85"/>
      <c r="AT269" s="21"/>
      <c r="AV269" s="3"/>
    </row>
    <row r="270" spans="3:48" x14ac:dyDescent="0.3">
      <c r="C270" s="85"/>
      <c r="D270" s="85"/>
      <c r="E270" s="85"/>
      <c r="F270" s="85"/>
      <c r="G270" s="85"/>
      <c r="H270" s="85"/>
      <c r="I270" s="85"/>
      <c r="J270" s="25"/>
      <c r="K270" s="3"/>
      <c r="L270" s="85"/>
      <c r="M270" s="85"/>
      <c r="N270" s="85"/>
      <c r="O270" s="85"/>
      <c r="P270" s="85"/>
      <c r="Q270" s="85"/>
      <c r="R270" s="85"/>
      <c r="S270" s="1"/>
      <c r="U270" s="1"/>
      <c r="V270" s="1"/>
      <c r="W270" s="1"/>
      <c r="X270" s="1"/>
      <c r="Y270" s="1"/>
      <c r="Z270" s="1"/>
      <c r="AA270" s="1"/>
      <c r="AB270" s="1"/>
      <c r="AD270" s="3"/>
      <c r="AM270" s="86"/>
      <c r="AN270" s="85"/>
      <c r="AO270" s="85"/>
      <c r="AP270" s="85"/>
      <c r="AQ270" s="85"/>
      <c r="AR270" s="85"/>
      <c r="AS270" s="85"/>
      <c r="AT270" s="21"/>
      <c r="AV270" s="3"/>
    </row>
    <row r="271" spans="3:48" x14ac:dyDescent="0.3">
      <c r="C271" s="85"/>
      <c r="D271" s="85"/>
      <c r="E271" s="85"/>
      <c r="F271" s="85"/>
      <c r="G271" s="85"/>
      <c r="H271" s="85"/>
      <c r="I271" s="85"/>
      <c r="J271" s="25"/>
      <c r="K271" s="3"/>
      <c r="L271" s="85"/>
      <c r="M271" s="85"/>
      <c r="N271" s="85"/>
      <c r="O271" s="85"/>
      <c r="P271" s="85"/>
      <c r="Q271" s="85"/>
      <c r="R271" s="85"/>
      <c r="S271" s="1"/>
      <c r="U271" s="1"/>
      <c r="V271" s="1"/>
      <c r="W271" s="1"/>
      <c r="X271" s="1"/>
      <c r="Y271" s="1"/>
      <c r="Z271" s="1"/>
      <c r="AA271" s="1"/>
      <c r="AB271" s="1"/>
      <c r="AD271" s="3"/>
      <c r="AM271" s="86"/>
      <c r="AN271" s="85"/>
      <c r="AO271" s="85"/>
      <c r="AP271" s="85"/>
      <c r="AQ271" s="85"/>
      <c r="AR271" s="85"/>
      <c r="AS271" s="85"/>
      <c r="AT271" s="21"/>
      <c r="AV271" s="3"/>
    </row>
    <row r="272" spans="3:48" x14ac:dyDescent="0.3">
      <c r="C272" s="85"/>
      <c r="D272" s="85"/>
      <c r="E272" s="85"/>
      <c r="F272" s="85"/>
      <c r="G272" s="85"/>
      <c r="H272" s="85"/>
      <c r="I272" s="85"/>
      <c r="J272" s="25"/>
      <c r="K272" s="3"/>
      <c r="L272" s="85"/>
      <c r="M272" s="85"/>
      <c r="N272" s="85"/>
      <c r="O272" s="85"/>
      <c r="P272" s="85"/>
      <c r="Q272" s="85"/>
      <c r="R272" s="85"/>
      <c r="S272" s="1"/>
      <c r="U272" s="1"/>
      <c r="V272" s="1"/>
      <c r="W272" s="1"/>
      <c r="X272" s="1"/>
      <c r="Y272" s="1"/>
      <c r="Z272" s="1"/>
      <c r="AA272" s="1"/>
      <c r="AB272" s="1"/>
      <c r="AD272" s="3"/>
      <c r="AM272" s="86"/>
      <c r="AN272" s="85"/>
      <c r="AO272" s="85"/>
      <c r="AP272" s="85"/>
      <c r="AQ272" s="85"/>
      <c r="AR272" s="85"/>
      <c r="AS272" s="85"/>
      <c r="AT272" s="21"/>
      <c r="AV272" s="3"/>
    </row>
    <row r="273" spans="3:48" x14ac:dyDescent="0.3">
      <c r="C273" s="85"/>
      <c r="D273" s="85"/>
      <c r="E273" s="85"/>
      <c r="F273" s="85"/>
      <c r="G273" s="85"/>
      <c r="H273" s="85"/>
      <c r="I273" s="85"/>
      <c r="J273" s="25"/>
      <c r="K273" s="3"/>
      <c r="L273" s="85"/>
      <c r="M273" s="85"/>
      <c r="N273" s="85"/>
      <c r="O273" s="85"/>
      <c r="P273" s="85"/>
      <c r="Q273" s="85"/>
      <c r="R273" s="85"/>
      <c r="S273" s="1"/>
      <c r="U273" s="1"/>
      <c r="V273" s="1"/>
      <c r="W273" s="1"/>
      <c r="X273" s="1"/>
      <c r="Y273" s="1"/>
      <c r="Z273" s="1"/>
      <c r="AA273" s="1"/>
      <c r="AB273" s="1"/>
      <c r="AD273" s="3"/>
      <c r="AM273" s="86"/>
      <c r="AN273" s="85"/>
      <c r="AO273" s="85"/>
      <c r="AP273" s="85"/>
      <c r="AQ273" s="85"/>
      <c r="AR273" s="85"/>
      <c r="AS273" s="85"/>
      <c r="AT273" s="21"/>
      <c r="AV273" s="3"/>
    </row>
    <row r="274" spans="3:48" x14ac:dyDescent="0.3">
      <c r="C274" s="85"/>
      <c r="D274" s="85"/>
      <c r="E274" s="85"/>
      <c r="F274" s="85"/>
      <c r="G274" s="85"/>
      <c r="H274" s="85"/>
      <c r="I274" s="85"/>
      <c r="J274" s="25"/>
      <c r="K274" s="3"/>
      <c r="L274" s="85"/>
      <c r="M274" s="85"/>
      <c r="N274" s="85"/>
      <c r="O274" s="85"/>
      <c r="P274" s="85"/>
      <c r="Q274" s="85"/>
      <c r="R274" s="85"/>
      <c r="S274" s="1"/>
      <c r="U274" s="1"/>
      <c r="V274" s="1"/>
      <c r="W274" s="1"/>
      <c r="X274" s="1"/>
      <c r="Y274" s="1"/>
      <c r="Z274" s="1"/>
      <c r="AA274" s="1"/>
      <c r="AB274" s="1"/>
      <c r="AD274" s="3"/>
      <c r="AM274" s="86"/>
      <c r="AN274" s="85"/>
      <c r="AO274" s="85"/>
      <c r="AP274" s="85"/>
      <c r="AQ274" s="85"/>
      <c r="AR274" s="85"/>
      <c r="AS274" s="85"/>
      <c r="AT274" s="21"/>
      <c r="AV274" s="3"/>
    </row>
    <row r="275" spans="3:48" x14ac:dyDescent="0.3">
      <c r="C275" s="85"/>
      <c r="D275" s="85"/>
      <c r="E275" s="85"/>
      <c r="F275" s="85"/>
      <c r="G275" s="85"/>
      <c r="H275" s="85"/>
      <c r="I275" s="85"/>
      <c r="J275" s="25"/>
      <c r="K275" s="3"/>
      <c r="L275" s="85"/>
      <c r="M275" s="85"/>
      <c r="N275" s="85"/>
      <c r="O275" s="85"/>
      <c r="P275" s="85"/>
      <c r="Q275" s="85"/>
      <c r="R275" s="85"/>
      <c r="S275" s="1"/>
      <c r="U275" s="1"/>
      <c r="V275" s="1"/>
      <c r="W275" s="1"/>
      <c r="X275" s="1"/>
      <c r="Y275" s="1"/>
      <c r="Z275" s="1"/>
      <c r="AA275" s="1"/>
      <c r="AB275" s="1"/>
      <c r="AD275" s="3"/>
      <c r="AM275" s="86"/>
      <c r="AN275" s="85"/>
      <c r="AO275" s="85"/>
      <c r="AP275" s="85"/>
      <c r="AQ275" s="85"/>
      <c r="AR275" s="85"/>
      <c r="AS275" s="85"/>
      <c r="AT275" s="21"/>
      <c r="AV275" s="3"/>
    </row>
    <row r="276" spans="3:48" x14ac:dyDescent="0.3">
      <c r="C276" s="85"/>
      <c r="D276" s="85"/>
      <c r="E276" s="85"/>
      <c r="F276" s="85"/>
      <c r="G276" s="85"/>
      <c r="H276" s="85"/>
      <c r="I276" s="85"/>
      <c r="J276" s="25"/>
      <c r="K276" s="3"/>
      <c r="L276" s="85"/>
      <c r="M276" s="85"/>
      <c r="N276" s="85"/>
      <c r="O276" s="85"/>
      <c r="P276" s="85"/>
      <c r="Q276" s="85"/>
      <c r="R276" s="85"/>
      <c r="S276" s="1"/>
      <c r="U276" s="1"/>
      <c r="V276" s="1"/>
      <c r="W276" s="1"/>
      <c r="X276" s="1"/>
      <c r="Y276" s="1"/>
      <c r="Z276" s="1"/>
      <c r="AA276" s="1"/>
      <c r="AB276" s="1"/>
      <c r="AD276" s="3"/>
      <c r="AM276" s="86"/>
      <c r="AN276" s="85"/>
      <c r="AO276" s="85"/>
      <c r="AP276" s="85"/>
      <c r="AQ276" s="85"/>
      <c r="AR276" s="85"/>
      <c r="AS276" s="85"/>
      <c r="AT276" s="21"/>
      <c r="AV276" s="3"/>
    </row>
    <row r="277" spans="3:48" x14ac:dyDescent="0.3">
      <c r="C277" s="85"/>
      <c r="D277" s="85"/>
      <c r="E277" s="85"/>
      <c r="F277" s="85"/>
      <c r="G277" s="85"/>
      <c r="H277" s="85"/>
      <c r="I277" s="85"/>
      <c r="J277" s="25"/>
      <c r="K277" s="3"/>
      <c r="L277" s="85"/>
      <c r="M277" s="85"/>
      <c r="N277" s="85"/>
      <c r="O277" s="85"/>
      <c r="P277" s="85"/>
      <c r="Q277" s="85"/>
      <c r="R277" s="85"/>
      <c r="S277" s="1"/>
      <c r="U277" s="1"/>
      <c r="V277" s="1"/>
      <c r="W277" s="1"/>
      <c r="X277" s="1"/>
      <c r="Y277" s="1"/>
      <c r="Z277" s="1"/>
      <c r="AA277" s="1"/>
      <c r="AB277" s="1"/>
      <c r="AD277" s="3"/>
      <c r="AM277" s="86"/>
      <c r="AN277" s="85"/>
      <c r="AO277" s="85"/>
      <c r="AP277" s="85"/>
      <c r="AQ277" s="85"/>
      <c r="AR277" s="85"/>
      <c r="AS277" s="85"/>
      <c r="AT277" s="21"/>
      <c r="AV277" s="3"/>
    </row>
    <row r="278" spans="3:48" x14ac:dyDescent="0.3">
      <c r="C278" s="85"/>
      <c r="D278" s="85"/>
      <c r="E278" s="85"/>
      <c r="F278" s="85"/>
      <c r="G278" s="85"/>
      <c r="H278" s="85"/>
      <c r="I278" s="85"/>
      <c r="J278" s="25"/>
      <c r="K278" s="3"/>
      <c r="L278" s="85"/>
      <c r="M278" s="85"/>
      <c r="N278" s="85"/>
      <c r="O278" s="85"/>
      <c r="P278" s="85"/>
      <c r="Q278" s="85"/>
      <c r="R278" s="85"/>
      <c r="S278" s="1"/>
      <c r="U278" s="1"/>
      <c r="V278" s="1"/>
      <c r="W278" s="1"/>
      <c r="X278" s="1"/>
      <c r="Y278" s="1"/>
      <c r="Z278" s="1"/>
      <c r="AA278" s="1"/>
      <c r="AB278" s="1"/>
      <c r="AD278" s="3"/>
      <c r="AM278" s="86"/>
      <c r="AN278" s="85"/>
      <c r="AO278" s="85"/>
      <c r="AP278" s="85"/>
      <c r="AQ278" s="85"/>
      <c r="AR278" s="85"/>
      <c r="AS278" s="85"/>
      <c r="AT278" s="21"/>
      <c r="AV278" s="3"/>
    </row>
    <row r="279" spans="3:48" x14ac:dyDescent="0.3">
      <c r="C279" s="85"/>
      <c r="D279" s="85"/>
      <c r="E279" s="85"/>
      <c r="F279" s="85"/>
      <c r="G279" s="85"/>
      <c r="H279" s="85"/>
      <c r="I279" s="85"/>
      <c r="J279" s="25"/>
      <c r="K279" s="3"/>
      <c r="L279" s="85"/>
      <c r="M279" s="85"/>
      <c r="N279" s="85"/>
      <c r="O279" s="85"/>
      <c r="P279" s="85"/>
      <c r="Q279" s="85"/>
      <c r="R279" s="85"/>
      <c r="S279" s="1"/>
      <c r="U279" s="1"/>
      <c r="V279" s="1"/>
      <c r="W279" s="1"/>
      <c r="X279" s="1"/>
      <c r="Y279" s="1"/>
      <c r="Z279" s="1"/>
      <c r="AA279" s="1"/>
      <c r="AB279" s="1"/>
      <c r="AD279" s="3"/>
      <c r="AM279" s="86"/>
      <c r="AN279" s="85"/>
      <c r="AO279" s="85"/>
      <c r="AP279" s="85"/>
      <c r="AQ279" s="85"/>
      <c r="AR279" s="85"/>
      <c r="AS279" s="85"/>
      <c r="AT279" s="21"/>
      <c r="AV279" s="3"/>
    </row>
    <row r="280" spans="3:48" x14ac:dyDescent="0.3">
      <c r="C280" s="85"/>
      <c r="D280" s="85"/>
      <c r="E280" s="85"/>
      <c r="F280" s="85"/>
      <c r="G280" s="85"/>
      <c r="H280" s="85"/>
      <c r="I280" s="85"/>
      <c r="J280" s="25"/>
      <c r="K280" s="3"/>
      <c r="L280" s="85"/>
      <c r="M280" s="85"/>
      <c r="N280" s="85"/>
      <c r="O280" s="85"/>
      <c r="P280" s="85"/>
      <c r="Q280" s="85"/>
      <c r="R280" s="85"/>
      <c r="S280" s="1"/>
      <c r="U280" s="1"/>
      <c r="V280" s="1"/>
      <c r="W280" s="1"/>
      <c r="X280" s="1"/>
      <c r="Y280" s="1"/>
      <c r="Z280" s="1"/>
      <c r="AA280" s="1"/>
      <c r="AB280" s="1"/>
      <c r="AD280" s="3"/>
      <c r="AM280" s="86"/>
      <c r="AN280" s="85"/>
      <c r="AO280" s="85"/>
      <c r="AP280" s="85"/>
      <c r="AQ280" s="85"/>
      <c r="AR280" s="85"/>
      <c r="AS280" s="85"/>
      <c r="AT280" s="21"/>
      <c r="AV280" s="3"/>
    </row>
    <row r="281" spans="3:48" x14ac:dyDescent="0.3">
      <c r="C281" s="85"/>
      <c r="D281" s="85"/>
      <c r="E281" s="85"/>
      <c r="F281" s="85"/>
      <c r="G281" s="85"/>
      <c r="H281" s="85"/>
      <c r="I281" s="85"/>
      <c r="J281" s="25"/>
      <c r="K281" s="3"/>
      <c r="L281" s="85"/>
      <c r="M281" s="85"/>
      <c r="N281" s="85"/>
      <c r="O281" s="85"/>
      <c r="P281" s="85"/>
      <c r="Q281" s="85"/>
      <c r="R281" s="85"/>
      <c r="S281" s="1"/>
      <c r="U281" s="1"/>
      <c r="V281" s="1"/>
      <c r="W281" s="1"/>
      <c r="X281" s="1"/>
      <c r="Y281" s="1"/>
      <c r="Z281" s="1"/>
      <c r="AA281" s="1"/>
      <c r="AB281" s="1"/>
      <c r="AD281" s="3"/>
      <c r="AM281" s="86"/>
      <c r="AN281" s="85"/>
      <c r="AO281" s="85"/>
      <c r="AP281" s="85"/>
      <c r="AQ281" s="85"/>
      <c r="AR281" s="85"/>
      <c r="AS281" s="85"/>
      <c r="AT281" s="21"/>
      <c r="AV281" s="3"/>
    </row>
    <row r="282" spans="3:48" x14ac:dyDescent="0.3">
      <c r="C282" s="85"/>
      <c r="D282" s="85"/>
      <c r="E282" s="85"/>
      <c r="F282" s="85"/>
      <c r="G282" s="85"/>
      <c r="H282" s="85"/>
      <c r="I282" s="85"/>
      <c r="J282" s="25"/>
      <c r="K282" s="3"/>
      <c r="L282" s="85"/>
      <c r="M282" s="85"/>
      <c r="N282" s="85"/>
      <c r="O282" s="85"/>
      <c r="P282" s="85"/>
      <c r="Q282" s="85"/>
      <c r="R282" s="85"/>
      <c r="S282" s="1"/>
      <c r="U282" s="1"/>
      <c r="V282" s="1"/>
      <c r="W282" s="1"/>
      <c r="X282" s="1"/>
      <c r="Y282" s="1"/>
      <c r="Z282" s="1"/>
      <c r="AA282" s="1"/>
      <c r="AB282" s="1"/>
      <c r="AD282" s="3"/>
      <c r="AM282" s="86"/>
      <c r="AN282" s="85"/>
      <c r="AO282" s="85"/>
      <c r="AP282" s="85"/>
      <c r="AQ282" s="85"/>
      <c r="AR282" s="85"/>
      <c r="AS282" s="85"/>
      <c r="AT282" s="21"/>
      <c r="AV282" s="3"/>
    </row>
    <row r="283" spans="3:48" x14ac:dyDescent="0.3">
      <c r="C283" s="85"/>
      <c r="D283" s="85"/>
      <c r="E283" s="85"/>
      <c r="F283" s="85"/>
      <c r="G283" s="85"/>
      <c r="H283" s="85"/>
      <c r="I283" s="85"/>
      <c r="J283" s="25"/>
      <c r="K283" s="3"/>
      <c r="L283" s="85"/>
      <c r="M283" s="85"/>
      <c r="N283" s="85"/>
      <c r="O283" s="85"/>
      <c r="P283" s="85"/>
      <c r="Q283" s="85"/>
      <c r="R283" s="85"/>
      <c r="S283" s="1"/>
      <c r="U283" s="1"/>
      <c r="V283" s="1"/>
      <c r="W283" s="1"/>
      <c r="X283" s="1"/>
      <c r="Y283" s="1"/>
      <c r="Z283" s="1"/>
      <c r="AA283" s="1"/>
      <c r="AB283" s="1"/>
      <c r="AD283" s="3"/>
      <c r="AM283" s="86"/>
      <c r="AN283" s="85"/>
      <c r="AO283" s="85"/>
      <c r="AP283" s="85"/>
      <c r="AQ283" s="85"/>
      <c r="AR283" s="85"/>
      <c r="AS283" s="85"/>
      <c r="AT283" s="21"/>
      <c r="AV283" s="3"/>
    </row>
    <row r="284" spans="3:48" x14ac:dyDescent="0.3">
      <c r="C284" s="85"/>
      <c r="D284" s="85"/>
      <c r="E284" s="85"/>
      <c r="F284" s="85"/>
      <c r="G284" s="85"/>
      <c r="H284" s="85"/>
      <c r="I284" s="85"/>
      <c r="J284" s="25"/>
      <c r="K284" s="3"/>
      <c r="L284" s="85"/>
      <c r="M284" s="85"/>
      <c r="N284" s="85"/>
      <c r="O284" s="85"/>
      <c r="P284" s="85"/>
      <c r="Q284" s="85"/>
      <c r="R284" s="85"/>
      <c r="S284" s="1"/>
      <c r="U284" s="1"/>
      <c r="V284" s="1"/>
      <c r="W284" s="1"/>
      <c r="X284" s="1"/>
      <c r="Y284" s="1"/>
      <c r="Z284" s="1"/>
      <c r="AA284" s="1"/>
      <c r="AB284" s="1"/>
      <c r="AD284" s="3"/>
      <c r="AM284" s="86"/>
      <c r="AN284" s="85"/>
      <c r="AO284" s="85"/>
      <c r="AP284" s="85"/>
      <c r="AQ284" s="85"/>
      <c r="AR284" s="85"/>
      <c r="AS284" s="85"/>
      <c r="AT284" s="21"/>
      <c r="AV284" s="3"/>
    </row>
    <row r="285" spans="3:48" x14ac:dyDescent="0.3">
      <c r="C285" s="85"/>
      <c r="D285" s="85"/>
      <c r="E285" s="85"/>
      <c r="F285" s="85"/>
      <c r="G285" s="85"/>
      <c r="H285" s="85"/>
      <c r="I285" s="85"/>
      <c r="J285" s="25"/>
      <c r="K285" s="3"/>
      <c r="L285" s="85"/>
      <c r="M285" s="85"/>
      <c r="N285" s="85"/>
      <c r="O285" s="85"/>
      <c r="P285" s="85"/>
      <c r="Q285" s="85"/>
      <c r="R285" s="85"/>
      <c r="S285" s="1"/>
      <c r="U285" s="1"/>
      <c r="V285" s="1"/>
      <c r="W285" s="1"/>
      <c r="X285" s="1"/>
      <c r="Y285" s="1"/>
      <c r="Z285" s="1"/>
      <c r="AA285" s="1"/>
      <c r="AB285" s="1"/>
      <c r="AD285" s="3"/>
      <c r="AM285" s="86"/>
      <c r="AN285" s="85"/>
      <c r="AO285" s="85"/>
      <c r="AP285" s="85"/>
      <c r="AQ285" s="85"/>
      <c r="AR285" s="85"/>
      <c r="AS285" s="85"/>
      <c r="AT285" s="21"/>
      <c r="AV285" s="3"/>
    </row>
    <row r="286" spans="3:48" x14ac:dyDescent="0.3">
      <c r="C286" s="85"/>
      <c r="D286" s="85"/>
      <c r="E286" s="85"/>
      <c r="F286" s="85"/>
      <c r="G286" s="85"/>
      <c r="H286" s="85"/>
      <c r="I286" s="85"/>
      <c r="J286" s="25"/>
      <c r="K286" s="3"/>
      <c r="L286" s="85"/>
      <c r="M286" s="85"/>
      <c r="N286" s="85"/>
      <c r="O286" s="85"/>
      <c r="P286" s="85"/>
      <c r="Q286" s="85"/>
      <c r="R286" s="85"/>
      <c r="S286" s="1"/>
      <c r="U286" s="1"/>
      <c r="V286" s="1"/>
      <c r="W286" s="1"/>
      <c r="X286" s="1"/>
      <c r="Y286" s="1"/>
      <c r="Z286" s="1"/>
      <c r="AA286" s="1"/>
      <c r="AB286" s="1"/>
      <c r="AD286" s="3"/>
      <c r="AM286" s="86"/>
      <c r="AN286" s="85"/>
      <c r="AO286" s="85"/>
      <c r="AP286" s="85"/>
      <c r="AQ286" s="85"/>
      <c r="AR286" s="85"/>
      <c r="AS286" s="85"/>
      <c r="AT286" s="21"/>
      <c r="AV286" s="3"/>
    </row>
    <row r="287" spans="3:48" x14ac:dyDescent="0.3">
      <c r="C287" s="85"/>
      <c r="D287" s="85"/>
      <c r="E287" s="85"/>
      <c r="F287" s="85"/>
      <c r="G287" s="85"/>
      <c r="H287" s="85"/>
      <c r="I287" s="85"/>
      <c r="J287" s="25"/>
      <c r="K287" s="3"/>
      <c r="L287" s="85"/>
      <c r="M287" s="85"/>
      <c r="N287" s="85"/>
      <c r="O287" s="85"/>
      <c r="P287" s="85"/>
      <c r="Q287" s="85"/>
      <c r="R287" s="85"/>
      <c r="S287" s="1"/>
      <c r="U287" s="1"/>
      <c r="V287" s="1"/>
      <c r="W287" s="1"/>
      <c r="X287" s="1"/>
      <c r="Y287" s="1"/>
      <c r="Z287" s="1"/>
      <c r="AA287" s="1"/>
      <c r="AB287" s="1"/>
      <c r="AD287" s="3"/>
      <c r="AM287" s="86"/>
      <c r="AN287" s="85"/>
      <c r="AO287" s="85"/>
      <c r="AP287" s="85"/>
      <c r="AQ287" s="85"/>
      <c r="AR287" s="85"/>
      <c r="AS287" s="85"/>
      <c r="AT287" s="21"/>
      <c r="AV287" s="3"/>
    </row>
    <row r="288" spans="3:48" x14ac:dyDescent="0.3">
      <c r="C288" s="85"/>
      <c r="D288" s="85"/>
      <c r="E288" s="85"/>
      <c r="F288" s="85"/>
      <c r="G288" s="85"/>
      <c r="H288" s="85"/>
      <c r="I288" s="85"/>
      <c r="J288" s="25"/>
      <c r="K288" s="3"/>
      <c r="L288" s="85"/>
      <c r="M288" s="85"/>
      <c r="N288" s="85"/>
      <c r="O288" s="85"/>
      <c r="P288" s="85"/>
      <c r="Q288" s="85"/>
      <c r="R288" s="85"/>
      <c r="S288" s="1"/>
      <c r="U288" s="1"/>
      <c r="V288" s="1"/>
      <c r="W288" s="1"/>
      <c r="X288" s="1"/>
      <c r="Y288" s="1"/>
      <c r="Z288" s="1"/>
      <c r="AA288" s="1"/>
      <c r="AB288" s="1"/>
      <c r="AD288" s="3"/>
      <c r="AM288" s="86"/>
      <c r="AN288" s="85"/>
      <c r="AO288" s="85"/>
      <c r="AP288" s="85"/>
      <c r="AQ288" s="85"/>
      <c r="AR288" s="85"/>
      <c r="AS288" s="85"/>
      <c r="AT288" s="21"/>
      <c r="AV288" s="3"/>
    </row>
    <row r="289" spans="3:48" x14ac:dyDescent="0.3">
      <c r="C289" s="85"/>
      <c r="D289" s="85"/>
      <c r="E289" s="85"/>
      <c r="F289" s="85"/>
      <c r="G289" s="85"/>
      <c r="H289" s="85"/>
      <c r="I289" s="85"/>
      <c r="J289" s="25"/>
      <c r="K289" s="3"/>
      <c r="L289" s="85"/>
      <c r="M289" s="85"/>
      <c r="N289" s="85"/>
      <c r="O289" s="85"/>
      <c r="P289" s="85"/>
      <c r="Q289" s="85"/>
      <c r="R289" s="85"/>
      <c r="S289" s="1"/>
      <c r="U289" s="1"/>
      <c r="V289" s="1"/>
      <c r="W289" s="1"/>
      <c r="X289" s="1"/>
      <c r="Y289" s="1"/>
      <c r="Z289" s="1"/>
      <c r="AA289" s="1"/>
      <c r="AB289" s="1"/>
      <c r="AD289" s="3"/>
      <c r="AM289" s="86"/>
      <c r="AN289" s="85"/>
      <c r="AO289" s="85"/>
      <c r="AP289" s="85"/>
      <c r="AQ289" s="85"/>
      <c r="AR289" s="85"/>
      <c r="AS289" s="85"/>
      <c r="AT289" s="21"/>
      <c r="AV289" s="3"/>
    </row>
    <row r="290" spans="3:48" x14ac:dyDescent="0.3">
      <c r="C290" s="85"/>
      <c r="D290" s="85"/>
      <c r="E290" s="85"/>
      <c r="F290" s="85"/>
      <c r="G290" s="85"/>
      <c r="H290" s="85"/>
      <c r="I290" s="85"/>
      <c r="J290" s="25"/>
      <c r="K290" s="3"/>
      <c r="L290" s="85"/>
      <c r="M290" s="85"/>
      <c r="N290" s="85"/>
      <c r="O290" s="85"/>
      <c r="P290" s="85"/>
      <c r="Q290" s="85"/>
      <c r="R290" s="85"/>
      <c r="S290" s="1"/>
      <c r="U290" s="1"/>
      <c r="V290" s="1"/>
      <c r="W290" s="1"/>
      <c r="X290" s="1"/>
      <c r="Y290" s="1"/>
      <c r="Z290" s="1"/>
      <c r="AA290" s="1"/>
      <c r="AB290" s="1"/>
      <c r="AD290" s="3"/>
      <c r="AM290" s="86"/>
      <c r="AN290" s="85"/>
      <c r="AO290" s="85"/>
      <c r="AP290" s="85"/>
      <c r="AQ290" s="85"/>
      <c r="AR290" s="85"/>
      <c r="AS290" s="85"/>
      <c r="AT290" s="21"/>
      <c r="AV290" s="3"/>
    </row>
    <row r="291" spans="3:48" x14ac:dyDescent="0.3">
      <c r="C291" s="85"/>
      <c r="D291" s="85"/>
      <c r="E291" s="85"/>
      <c r="F291" s="85"/>
      <c r="G291" s="85"/>
      <c r="H291" s="85"/>
      <c r="I291" s="85"/>
      <c r="J291" s="25"/>
      <c r="K291" s="3"/>
      <c r="L291" s="85"/>
      <c r="M291" s="85"/>
      <c r="N291" s="85"/>
      <c r="O291" s="85"/>
      <c r="P291" s="85"/>
      <c r="Q291" s="85"/>
      <c r="R291" s="85"/>
      <c r="S291" s="1"/>
      <c r="U291" s="1"/>
      <c r="V291" s="1"/>
      <c r="W291" s="1"/>
      <c r="X291" s="1"/>
      <c r="Y291" s="1"/>
      <c r="Z291" s="1"/>
      <c r="AA291" s="1"/>
      <c r="AB291" s="1"/>
      <c r="AD291" s="3"/>
      <c r="AM291" s="86"/>
      <c r="AN291" s="85"/>
      <c r="AO291" s="85"/>
      <c r="AP291" s="85"/>
      <c r="AQ291" s="85"/>
      <c r="AR291" s="85"/>
      <c r="AS291" s="85"/>
      <c r="AT291" s="21"/>
      <c r="AV291" s="3"/>
    </row>
    <row r="292" spans="3:48" x14ac:dyDescent="0.3">
      <c r="C292" s="85"/>
      <c r="D292" s="85"/>
      <c r="E292" s="85"/>
      <c r="F292" s="85"/>
      <c r="G292" s="85"/>
      <c r="H292" s="85"/>
      <c r="I292" s="85"/>
      <c r="J292" s="25"/>
      <c r="K292" s="3"/>
      <c r="L292" s="85"/>
      <c r="M292" s="85"/>
      <c r="N292" s="85"/>
      <c r="O292" s="85"/>
      <c r="P292" s="85"/>
      <c r="Q292" s="85"/>
      <c r="R292" s="85"/>
      <c r="S292" s="1"/>
      <c r="U292" s="1"/>
      <c r="V292" s="1"/>
      <c r="W292" s="1"/>
      <c r="X292" s="1"/>
      <c r="Y292" s="1"/>
      <c r="Z292" s="1"/>
      <c r="AA292" s="1"/>
      <c r="AB292" s="1"/>
      <c r="AD292" s="3"/>
      <c r="AM292" s="86"/>
      <c r="AN292" s="85"/>
      <c r="AO292" s="85"/>
      <c r="AP292" s="85"/>
      <c r="AQ292" s="85"/>
      <c r="AR292" s="85"/>
      <c r="AS292" s="85"/>
      <c r="AT292" s="21"/>
      <c r="AV292" s="3"/>
    </row>
    <row r="293" spans="3:48" x14ac:dyDescent="0.3">
      <c r="C293" s="85"/>
      <c r="D293" s="85"/>
      <c r="E293" s="85"/>
      <c r="F293" s="85"/>
      <c r="G293" s="85"/>
      <c r="H293" s="85"/>
      <c r="I293" s="85"/>
      <c r="J293" s="25"/>
      <c r="K293" s="3"/>
      <c r="L293" s="85"/>
      <c r="M293" s="85"/>
      <c r="N293" s="85"/>
      <c r="O293" s="85"/>
      <c r="P293" s="85"/>
      <c r="Q293" s="85"/>
      <c r="R293" s="85"/>
      <c r="S293" s="1"/>
      <c r="U293" s="1"/>
      <c r="V293" s="1"/>
      <c r="W293" s="1"/>
      <c r="X293" s="1"/>
      <c r="Y293" s="1"/>
      <c r="Z293" s="1"/>
      <c r="AA293" s="1"/>
      <c r="AB293" s="1"/>
      <c r="AD293" s="3"/>
      <c r="AM293" s="86"/>
      <c r="AN293" s="85"/>
      <c r="AO293" s="85"/>
      <c r="AP293" s="85"/>
      <c r="AQ293" s="85"/>
      <c r="AR293" s="85"/>
      <c r="AS293" s="85"/>
      <c r="AT293" s="21"/>
      <c r="AV293" s="3"/>
    </row>
    <row r="294" spans="3:48" x14ac:dyDescent="0.3">
      <c r="C294" s="85"/>
      <c r="D294" s="85"/>
      <c r="E294" s="85"/>
      <c r="F294" s="85"/>
      <c r="G294" s="85"/>
      <c r="H294" s="85"/>
      <c r="I294" s="85"/>
      <c r="J294" s="25"/>
      <c r="K294" s="3"/>
      <c r="L294" s="85"/>
      <c r="M294" s="85"/>
      <c r="N294" s="85"/>
      <c r="O294" s="85"/>
      <c r="P294" s="85"/>
      <c r="Q294" s="85"/>
      <c r="R294" s="85"/>
      <c r="S294" s="1"/>
      <c r="U294" s="1"/>
      <c r="V294" s="1"/>
      <c r="W294" s="1"/>
      <c r="X294" s="1"/>
      <c r="Y294" s="1"/>
      <c r="Z294" s="1"/>
      <c r="AA294" s="1"/>
      <c r="AB294" s="1"/>
      <c r="AD294" s="3"/>
      <c r="AM294" s="86"/>
      <c r="AN294" s="85"/>
      <c r="AO294" s="85"/>
      <c r="AP294" s="85"/>
      <c r="AQ294" s="85"/>
      <c r="AR294" s="85"/>
      <c r="AS294" s="85"/>
      <c r="AT294" s="21"/>
      <c r="AV294" s="3"/>
    </row>
    <row r="295" spans="3:48" x14ac:dyDescent="0.3">
      <c r="C295" s="85"/>
      <c r="D295" s="85"/>
      <c r="E295" s="85"/>
      <c r="F295" s="85"/>
      <c r="G295" s="85"/>
      <c r="H295" s="85"/>
      <c r="I295" s="85"/>
      <c r="J295" s="25"/>
      <c r="K295" s="3"/>
      <c r="L295" s="85"/>
      <c r="M295" s="85"/>
      <c r="N295" s="85"/>
      <c r="O295" s="85"/>
      <c r="P295" s="85"/>
      <c r="Q295" s="85"/>
      <c r="R295" s="85"/>
      <c r="S295" s="1"/>
      <c r="U295" s="1"/>
      <c r="V295" s="1"/>
      <c r="W295" s="1"/>
      <c r="X295" s="1"/>
      <c r="Y295" s="1"/>
      <c r="Z295" s="1"/>
      <c r="AA295" s="1"/>
      <c r="AB295" s="1"/>
      <c r="AD295" s="3"/>
      <c r="AM295" s="86"/>
      <c r="AN295" s="85"/>
      <c r="AO295" s="85"/>
      <c r="AP295" s="85"/>
      <c r="AQ295" s="85"/>
      <c r="AR295" s="85"/>
      <c r="AS295" s="85"/>
      <c r="AT295" s="21"/>
      <c r="AV295" s="3"/>
    </row>
    <row r="296" spans="3:48" x14ac:dyDescent="0.3">
      <c r="C296" s="85"/>
      <c r="D296" s="85"/>
      <c r="E296" s="85"/>
      <c r="F296" s="85"/>
      <c r="G296" s="85"/>
      <c r="H296" s="85"/>
      <c r="I296" s="85"/>
      <c r="J296" s="25"/>
      <c r="K296" s="3"/>
      <c r="L296" s="85"/>
      <c r="M296" s="85"/>
      <c r="N296" s="85"/>
      <c r="O296" s="85"/>
      <c r="P296" s="85"/>
      <c r="Q296" s="85"/>
      <c r="R296" s="85"/>
      <c r="S296" s="1"/>
      <c r="U296" s="1"/>
      <c r="V296" s="1"/>
      <c r="W296" s="1"/>
      <c r="X296" s="1"/>
      <c r="Y296" s="1"/>
      <c r="Z296" s="1"/>
      <c r="AA296" s="1"/>
      <c r="AB296" s="1"/>
      <c r="AD296" s="3"/>
      <c r="AM296" s="86"/>
      <c r="AN296" s="85"/>
      <c r="AO296" s="85"/>
      <c r="AP296" s="85"/>
      <c r="AQ296" s="85"/>
      <c r="AR296" s="85"/>
      <c r="AS296" s="85"/>
      <c r="AT296" s="21"/>
      <c r="AV296" s="3"/>
    </row>
    <row r="297" spans="3:48" x14ac:dyDescent="0.3">
      <c r="C297" s="85"/>
      <c r="D297" s="85"/>
      <c r="E297" s="85"/>
      <c r="F297" s="85"/>
      <c r="G297" s="85"/>
      <c r="H297" s="85"/>
      <c r="I297" s="85"/>
      <c r="J297" s="25"/>
      <c r="K297" s="3"/>
      <c r="L297" s="85"/>
      <c r="M297" s="85"/>
      <c r="N297" s="85"/>
      <c r="O297" s="85"/>
      <c r="P297" s="85"/>
      <c r="Q297" s="85"/>
      <c r="R297" s="85"/>
      <c r="S297" s="1"/>
      <c r="U297" s="1"/>
      <c r="V297" s="1"/>
      <c r="W297" s="1"/>
      <c r="X297" s="1"/>
      <c r="Y297" s="1"/>
      <c r="Z297" s="1"/>
      <c r="AA297" s="1"/>
      <c r="AB297" s="1"/>
      <c r="AD297" s="3"/>
      <c r="AM297" s="86"/>
      <c r="AN297" s="85"/>
      <c r="AO297" s="85"/>
      <c r="AP297" s="85"/>
      <c r="AQ297" s="85"/>
      <c r="AR297" s="85"/>
      <c r="AS297" s="85"/>
      <c r="AT297" s="21"/>
      <c r="AV297" s="3"/>
    </row>
    <row r="298" spans="3:48" x14ac:dyDescent="0.3">
      <c r="C298" s="85"/>
      <c r="D298" s="85"/>
      <c r="E298" s="85"/>
      <c r="F298" s="85"/>
      <c r="G298" s="85"/>
      <c r="H298" s="85"/>
      <c r="I298" s="85"/>
      <c r="J298" s="25"/>
      <c r="K298" s="3"/>
      <c r="L298" s="85"/>
      <c r="M298" s="85"/>
      <c r="N298" s="85"/>
      <c r="O298" s="85"/>
      <c r="P298" s="85"/>
      <c r="Q298" s="85"/>
      <c r="R298" s="85"/>
      <c r="S298" s="1"/>
      <c r="U298" s="1"/>
      <c r="V298" s="1"/>
      <c r="W298" s="1"/>
      <c r="X298" s="1"/>
      <c r="Y298" s="1"/>
      <c r="Z298" s="1"/>
      <c r="AA298" s="1"/>
      <c r="AB298" s="1"/>
      <c r="AD298" s="3"/>
      <c r="AM298" s="86"/>
      <c r="AN298" s="85"/>
      <c r="AO298" s="85"/>
      <c r="AP298" s="85"/>
      <c r="AQ298" s="85"/>
      <c r="AR298" s="85"/>
      <c r="AS298" s="85"/>
      <c r="AT298" s="21"/>
      <c r="AV298" s="3"/>
    </row>
    <row r="299" spans="3:48" x14ac:dyDescent="0.3">
      <c r="C299" s="85"/>
      <c r="D299" s="85"/>
      <c r="E299" s="85"/>
      <c r="F299" s="85"/>
      <c r="G299" s="85"/>
      <c r="H299" s="85"/>
      <c r="I299" s="85"/>
      <c r="J299" s="25"/>
      <c r="K299" s="3"/>
      <c r="L299" s="85"/>
      <c r="M299" s="85"/>
      <c r="N299" s="85"/>
      <c r="O299" s="85"/>
      <c r="P299" s="85"/>
      <c r="Q299" s="85"/>
      <c r="R299" s="85"/>
      <c r="S299" s="1"/>
      <c r="U299" s="1"/>
      <c r="V299" s="1"/>
      <c r="W299" s="1"/>
      <c r="X299" s="1"/>
      <c r="Y299" s="1"/>
      <c r="Z299" s="1"/>
      <c r="AA299" s="1"/>
      <c r="AB299" s="1"/>
      <c r="AD299" s="3"/>
      <c r="AM299" s="86"/>
      <c r="AN299" s="85"/>
      <c r="AO299" s="85"/>
      <c r="AP299" s="85"/>
      <c r="AQ299" s="85"/>
      <c r="AR299" s="85"/>
      <c r="AS299" s="85"/>
      <c r="AT299" s="21"/>
      <c r="AV299" s="3"/>
    </row>
    <row r="300" spans="3:48" x14ac:dyDescent="0.3">
      <c r="C300" s="85"/>
      <c r="D300" s="85"/>
      <c r="E300" s="85"/>
      <c r="F300" s="85"/>
      <c r="G300" s="85"/>
      <c r="H300" s="85"/>
      <c r="I300" s="85"/>
      <c r="J300" s="25"/>
      <c r="K300" s="3"/>
      <c r="L300" s="85"/>
      <c r="M300" s="85"/>
      <c r="N300" s="85"/>
      <c r="O300" s="85"/>
      <c r="P300" s="85"/>
      <c r="Q300" s="85"/>
      <c r="R300" s="85"/>
      <c r="S300" s="1"/>
      <c r="U300" s="1"/>
      <c r="V300" s="1"/>
      <c r="W300" s="1"/>
      <c r="X300" s="1"/>
      <c r="Y300" s="1"/>
      <c r="Z300" s="1"/>
      <c r="AA300" s="1"/>
      <c r="AB300" s="1"/>
      <c r="AD300" s="3"/>
      <c r="AM300" s="86"/>
      <c r="AN300" s="85"/>
      <c r="AO300" s="85"/>
      <c r="AP300" s="85"/>
      <c r="AQ300" s="85"/>
      <c r="AR300" s="85"/>
      <c r="AS300" s="85"/>
      <c r="AT300" s="21"/>
      <c r="AV300" s="3"/>
    </row>
    <row r="301" spans="3:48" x14ac:dyDescent="0.3">
      <c r="C301" s="85"/>
      <c r="D301" s="85"/>
      <c r="E301" s="85"/>
      <c r="F301" s="85"/>
      <c r="G301" s="85"/>
      <c r="H301" s="85"/>
      <c r="I301" s="85"/>
      <c r="J301" s="25"/>
      <c r="K301" s="3"/>
      <c r="L301" s="85"/>
      <c r="M301" s="85"/>
      <c r="N301" s="85"/>
      <c r="O301" s="85"/>
      <c r="P301" s="85"/>
      <c r="Q301" s="85"/>
      <c r="R301" s="85"/>
      <c r="S301" s="1"/>
      <c r="U301" s="1"/>
      <c r="V301" s="1"/>
      <c r="W301" s="1"/>
      <c r="X301" s="1"/>
      <c r="Y301" s="1"/>
      <c r="Z301" s="1"/>
      <c r="AA301" s="1"/>
      <c r="AB301" s="1"/>
      <c r="AD301" s="3"/>
      <c r="AM301" s="86"/>
      <c r="AN301" s="85"/>
      <c r="AO301" s="85"/>
      <c r="AP301" s="85"/>
      <c r="AQ301" s="85"/>
      <c r="AR301" s="85"/>
      <c r="AS301" s="85"/>
      <c r="AT301" s="21"/>
      <c r="AV301" s="3"/>
    </row>
    <row r="302" spans="3:48" x14ac:dyDescent="0.3">
      <c r="C302" s="85"/>
      <c r="D302" s="85"/>
      <c r="E302" s="85"/>
      <c r="F302" s="85"/>
      <c r="G302" s="85"/>
      <c r="H302" s="85"/>
      <c r="I302" s="85"/>
      <c r="J302" s="25"/>
      <c r="K302" s="3"/>
      <c r="L302" s="85"/>
      <c r="M302" s="85"/>
      <c r="N302" s="85"/>
      <c r="O302" s="85"/>
      <c r="P302" s="85"/>
      <c r="Q302" s="85"/>
      <c r="R302" s="85"/>
      <c r="S302" s="1"/>
      <c r="U302" s="1"/>
      <c r="V302" s="1"/>
      <c r="W302" s="1"/>
      <c r="X302" s="1"/>
      <c r="Y302" s="1"/>
      <c r="Z302" s="1"/>
      <c r="AA302" s="1"/>
      <c r="AB302" s="1"/>
      <c r="AD302" s="3"/>
      <c r="AM302" s="86"/>
      <c r="AN302" s="85"/>
      <c r="AO302" s="85"/>
      <c r="AP302" s="85"/>
      <c r="AQ302" s="85"/>
      <c r="AR302" s="85"/>
      <c r="AS302" s="85"/>
      <c r="AT302" s="21"/>
      <c r="AV302" s="3"/>
    </row>
    <row r="303" spans="3:48" x14ac:dyDescent="0.3">
      <c r="C303" s="85"/>
      <c r="D303" s="85"/>
      <c r="E303" s="85"/>
      <c r="F303" s="85"/>
      <c r="G303" s="85"/>
      <c r="H303" s="85"/>
      <c r="I303" s="85"/>
      <c r="J303" s="25"/>
      <c r="K303" s="3"/>
      <c r="L303" s="85"/>
      <c r="M303" s="85"/>
      <c r="N303" s="85"/>
      <c r="O303" s="85"/>
      <c r="P303" s="85"/>
      <c r="Q303" s="85"/>
      <c r="R303" s="85"/>
      <c r="S303" s="1"/>
      <c r="U303" s="1"/>
      <c r="V303" s="1"/>
      <c r="W303" s="1"/>
      <c r="X303" s="1"/>
      <c r="Y303" s="1"/>
      <c r="Z303" s="1"/>
      <c r="AA303" s="1"/>
      <c r="AB303" s="1"/>
      <c r="AD303" s="3"/>
      <c r="AM303" s="86"/>
      <c r="AN303" s="85"/>
      <c r="AO303" s="85"/>
      <c r="AP303" s="85"/>
      <c r="AQ303" s="85"/>
      <c r="AR303" s="85"/>
      <c r="AS303" s="85"/>
      <c r="AT303" s="21"/>
      <c r="AV303" s="3"/>
    </row>
    <row r="304" spans="3:48" x14ac:dyDescent="0.3">
      <c r="C304" s="85"/>
      <c r="D304" s="85"/>
      <c r="E304" s="85"/>
      <c r="F304" s="85"/>
      <c r="G304" s="85"/>
      <c r="H304" s="85"/>
      <c r="I304" s="85"/>
      <c r="J304" s="25"/>
      <c r="K304" s="3"/>
      <c r="L304" s="85"/>
      <c r="M304" s="85"/>
      <c r="N304" s="85"/>
      <c r="O304" s="85"/>
      <c r="P304" s="85"/>
      <c r="Q304" s="85"/>
      <c r="R304" s="85"/>
      <c r="S304" s="1"/>
      <c r="U304" s="1"/>
      <c r="V304" s="1"/>
      <c r="W304" s="1"/>
      <c r="X304" s="1"/>
      <c r="Y304" s="1"/>
      <c r="Z304" s="1"/>
      <c r="AA304" s="1"/>
      <c r="AB304" s="1"/>
      <c r="AD304" s="3"/>
      <c r="AM304" s="86"/>
      <c r="AN304" s="87"/>
      <c r="AO304" s="87"/>
      <c r="AP304" s="87"/>
      <c r="AQ304" s="87"/>
      <c r="AR304" s="87"/>
      <c r="AS304" s="85"/>
      <c r="AT304" s="21"/>
      <c r="AV304" s="3"/>
    </row>
    <row r="305" spans="3:48" x14ac:dyDescent="0.3">
      <c r="C305" s="85"/>
      <c r="D305" s="85"/>
      <c r="E305" s="85"/>
      <c r="F305" s="85"/>
      <c r="G305" s="85"/>
      <c r="H305" s="85"/>
      <c r="I305" s="85"/>
      <c r="J305" s="25"/>
      <c r="K305" s="3"/>
      <c r="L305" s="85"/>
      <c r="M305" s="85"/>
      <c r="N305" s="85"/>
      <c r="O305" s="85"/>
      <c r="P305" s="85"/>
      <c r="Q305" s="85"/>
      <c r="R305" s="85"/>
      <c r="S305" s="1"/>
      <c r="U305" s="1"/>
      <c r="V305" s="1"/>
      <c r="W305" s="1"/>
      <c r="X305" s="1"/>
      <c r="Y305" s="1"/>
      <c r="Z305" s="1"/>
      <c r="AA305" s="1"/>
      <c r="AB305" s="1"/>
      <c r="AD305" s="3"/>
      <c r="AM305" s="86"/>
      <c r="AN305" s="87"/>
      <c r="AO305" s="87"/>
      <c r="AP305" s="87"/>
      <c r="AQ305" s="87"/>
      <c r="AR305" s="87"/>
      <c r="AS305" s="85"/>
      <c r="AT305" s="21"/>
      <c r="AV305" s="3"/>
    </row>
    <row r="306" spans="3:48" x14ac:dyDescent="0.3">
      <c r="C306" s="85"/>
      <c r="D306" s="85"/>
      <c r="E306" s="85"/>
      <c r="F306" s="85"/>
      <c r="G306" s="85"/>
      <c r="H306" s="85"/>
      <c r="I306" s="85"/>
      <c r="J306" s="25"/>
      <c r="K306" s="3"/>
      <c r="L306" s="85"/>
      <c r="M306" s="85"/>
      <c r="N306" s="85"/>
      <c r="O306" s="85"/>
      <c r="P306" s="85"/>
      <c r="Q306" s="85"/>
      <c r="R306" s="85"/>
      <c r="S306" s="1"/>
      <c r="U306" s="1"/>
      <c r="V306" s="1"/>
      <c r="W306" s="1"/>
      <c r="X306" s="1"/>
      <c r="Y306" s="1"/>
      <c r="Z306" s="1"/>
      <c r="AA306" s="1"/>
      <c r="AB306" s="1"/>
      <c r="AD306" s="3"/>
      <c r="AM306" s="86"/>
      <c r="AN306" s="87"/>
      <c r="AO306" s="87"/>
      <c r="AP306" s="87"/>
      <c r="AQ306" s="87"/>
      <c r="AR306" s="87"/>
      <c r="AS306" s="85"/>
      <c r="AT306" s="21"/>
      <c r="AV306" s="3"/>
    </row>
    <row r="307" spans="3:48" x14ac:dyDescent="0.3">
      <c r="C307" s="85"/>
      <c r="D307" s="85"/>
      <c r="E307" s="85"/>
      <c r="F307" s="85"/>
      <c r="G307" s="85"/>
      <c r="H307" s="85"/>
      <c r="I307" s="85"/>
      <c r="J307" s="25"/>
      <c r="K307" s="3"/>
      <c r="L307" s="85"/>
      <c r="M307" s="85"/>
      <c r="N307" s="85"/>
      <c r="O307" s="85"/>
      <c r="P307" s="85"/>
      <c r="Q307" s="85"/>
      <c r="R307" s="85"/>
      <c r="S307" s="1"/>
      <c r="U307" s="1"/>
      <c r="V307" s="1"/>
      <c r="W307" s="1"/>
      <c r="X307" s="1"/>
      <c r="Y307" s="1"/>
      <c r="Z307" s="1"/>
      <c r="AA307" s="1"/>
      <c r="AB307" s="1"/>
      <c r="AD307" s="3"/>
      <c r="AM307" s="86"/>
      <c r="AN307" s="87"/>
      <c r="AO307" s="87"/>
      <c r="AP307" s="87"/>
      <c r="AQ307" s="87"/>
      <c r="AR307" s="87"/>
      <c r="AS307" s="85"/>
      <c r="AT307" s="21"/>
      <c r="AV307" s="3"/>
    </row>
    <row r="308" spans="3:48" x14ac:dyDescent="0.3">
      <c r="C308" s="85"/>
      <c r="D308" s="85"/>
      <c r="E308" s="85"/>
      <c r="F308" s="85"/>
      <c r="G308" s="85"/>
      <c r="H308" s="85"/>
      <c r="I308" s="85"/>
      <c r="J308" s="25"/>
      <c r="K308" s="3"/>
      <c r="L308" s="85"/>
      <c r="M308" s="85"/>
      <c r="N308" s="85"/>
      <c r="O308" s="85"/>
      <c r="P308" s="85"/>
      <c r="Q308" s="85"/>
      <c r="R308" s="85"/>
      <c r="S308" s="1"/>
      <c r="U308" s="1"/>
      <c r="V308" s="1"/>
      <c r="W308" s="1"/>
      <c r="X308" s="1"/>
      <c r="Y308" s="1"/>
      <c r="Z308" s="1"/>
      <c r="AA308" s="1"/>
      <c r="AB308" s="1"/>
      <c r="AD308" s="3"/>
      <c r="AM308" s="86"/>
      <c r="AN308" s="87"/>
      <c r="AO308" s="87"/>
      <c r="AP308" s="87"/>
      <c r="AQ308" s="87"/>
      <c r="AR308" s="87"/>
      <c r="AS308" s="85"/>
      <c r="AT308" s="21"/>
      <c r="AV308" s="3"/>
    </row>
    <row r="309" spans="3:48" x14ac:dyDescent="0.3">
      <c r="C309" s="85"/>
      <c r="D309" s="85"/>
      <c r="E309" s="85"/>
      <c r="F309" s="85"/>
      <c r="G309" s="85"/>
      <c r="H309" s="85"/>
      <c r="I309" s="85"/>
      <c r="J309" s="25"/>
      <c r="K309" s="3"/>
      <c r="L309" s="85"/>
      <c r="M309" s="85"/>
      <c r="N309" s="85"/>
      <c r="O309" s="85"/>
      <c r="P309" s="85"/>
      <c r="Q309" s="85"/>
      <c r="R309" s="85"/>
      <c r="S309" s="1"/>
      <c r="U309" s="1"/>
      <c r="V309" s="1"/>
      <c r="W309" s="1"/>
      <c r="X309" s="1"/>
      <c r="Y309" s="1"/>
      <c r="Z309" s="1"/>
      <c r="AA309" s="1"/>
      <c r="AB309" s="1"/>
      <c r="AD309" s="3"/>
      <c r="AM309" s="86"/>
      <c r="AN309" s="87"/>
      <c r="AO309" s="87"/>
      <c r="AP309" s="87"/>
      <c r="AQ309" s="87"/>
      <c r="AR309" s="87"/>
      <c r="AS309" s="85"/>
      <c r="AT309" s="21"/>
      <c r="AV309" s="3"/>
    </row>
    <row r="310" spans="3:48" x14ac:dyDescent="0.3">
      <c r="C310" s="85"/>
      <c r="D310" s="85"/>
      <c r="E310" s="85"/>
      <c r="F310" s="85"/>
      <c r="G310" s="85"/>
      <c r="H310" s="85"/>
      <c r="I310" s="85"/>
      <c r="J310" s="25"/>
      <c r="K310" s="3"/>
      <c r="L310" s="85"/>
      <c r="M310" s="85"/>
      <c r="N310" s="85"/>
      <c r="O310" s="85"/>
      <c r="P310" s="85"/>
      <c r="Q310" s="85"/>
      <c r="R310" s="85"/>
      <c r="S310" s="1"/>
      <c r="U310" s="1"/>
      <c r="V310" s="1"/>
      <c r="W310" s="1"/>
      <c r="X310" s="1"/>
      <c r="Y310" s="1"/>
      <c r="Z310" s="1"/>
      <c r="AA310" s="1"/>
      <c r="AB310" s="1"/>
      <c r="AD310" s="3"/>
      <c r="AM310" s="86"/>
      <c r="AN310" s="87"/>
      <c r="AO310" s="87"/>
      <c r="AP310" s="87"/>
      <c r="AQ310" s="87"/>
      <c r="AR310" s="87"/>
      <c r="AS310" s="85"/>
      <c r="AT310" s="21"/>
      <c r="AV310" s="3"/>
    </row>
    <row r="311" spans="3:48" x14ac:dyDescent="0.3">
      <c r="C311" s="85"/>
      <c r="D311" s="85"/>
      <c r="E311" s="85"/>
      <c r="F311" s="85"/>
      <c r="G311" s="85"/>
      <c r="H311" s="85"/>
      <c r="I311" s="85"/>
      <c r="J311" s="25"/>
      <c r="K311" s="3"/>
      <c r="L311" s="85"/>
      <c r="M311" s="85"/>
      <c r="N311" s="85"/>
      <c r="O311" s="85"/>
      <c r="P311" s="85"/>
      <c r="Q311" s="85"/>
      <c r="R311" s="85"/>
      <c r="S311" s="1"/>
      <c r="U311" s="1"/>
      <c r="V311" s="1"/>
      <c r="W311" s="1"/>
      <c r="X311" s="1"/>
      <c r="Y311" s="1"/>
      <c r="Z311" s="1"/>
      <c r="AA311" s="1"/>
      <c r="AB311" s="1"/>
      <c r="AD311" s="3"/>
      <c r="AM311" s="86"/>
      <c r="AN311" s="87"/>
      <c r="AO311" s="87"/>
      <c r="AP311" s="87"/>
      <c r="AQ311" s="87"/>
      <c r="AR311" s="87"/>
      <c r="AS311" s="85"/>
      <c r="AT311" s="21"/>
      <c r="AV311" s="3"/>
    </row>
    <row r="312" spans="3:48" x14ac:dyDescent="0.3">
      <c r="C312" s="85"/>
      <c r="D312" s="85"/>
      <c r="E312" s="85"/>
      <c r="F312" s="85"/>
      <c r="G312" s="85"/>
      <c r="H312" s="85"/>
      <c r="I312" s="85"/>
      <c r="J312" s="25"/>
      <c r="K312" s="3"/>
      <c r="L312" s="85"/>
      <c r="M312" s="85"/>
      <c r="N312" s="85"/>
      <c r="O312" s="85"/>
      <c r="P312" s="85"/>
      <c r="Q312" s="85"/>
      <c r="R312" s="85"/>
      <c r="S312" s="1"/>
      <c r="U312" s="1"/>
      <c r="V312" s="1"/>
      <c r="W312" s="1"/>
      <c r="X312" s="1"/>
      <c r="Y312" s="1"/>
      <c r="Z312" s="1"/>
      <c r="AA312" s="1"/>
      <c r="AB312" s="1"/>
      <c r="AD312" s="3"/>
      <c r="AM312" s="86"/>
      <c r="AN312" s="87"/>
      <c r="AO312" s="87"/>
      <c r="AP312" s="87"/>
      <c r="AQ312" s="87"/>
      <c r="AR312" s="87"/>
      <c r="AS312" s="85"/>
      <c r="AT312" s="21"/>
      <c r="AV312" s="3"/>
    </row>
    <row r="313" spans="3:48" x14ac:dyDescent="0.3">
      <c r="C313" s="85"/>
      <c r="D313" s="85"/>
      <c r="E313" s="85"/>
      <c r="F313" s="85"/>
      <c r="G313" s="85"/>
      <c r="H313" s="85"/>
      <c r="I313" s="85"/>
      <c r="J313" s="25"/>
      <c r="K313" s="3"/>
      <c r="L313" s="85"/>
      <c r="M313" s="85"/>
      <c r="N313" s="85"/>
      <c r="O313" s="85"/>
      <c r="P313" s="85"/>
      <c r="Q313" s="85"/>
      <c r="R313" s="85"/>
      <c r="S313" s="1"/>
      <c r="U313" s="1"/>
      <c r="V313" s="1"/>
      <c r="W313" s="1"/>
      <c r="X313" s="1"/>
      <c r="Y313" s="1"/>
      <c r="Z313" s="1"/>
      <c r="AA313" s="1"/>
      <c r="AB313" s="1"/>
      <c r="AD313" s="3"/>
      <c r="AM313" s="86"/>
      <c r="AN313" s="87"/>
      <c r="AO313" s="87"/>
      <c r="AP313" s="87"/>
      <c r="AQ313" s="87"/>
      <c r="AR313" s="87"/>
      <c r="AS313" s="85"/>
      <c r="AT313" s="21"/>
      <c r="AV313" s="3"/>
    </row>
    <row r="314" spans="3:48" x14ac:dyDescent="0.3">
      <c r="C314" s="85"/>
      <c r="D314" s="85"/>
      <c r="E314" s="85"/>
      <c r="F314" s="85"/>
      <c r="G314" s="85"/>
      <c r="H314" s="85"/>
      <c r="I314" s="85"/>
      <c r="J314" s="25"/>
      <c r="K314" s="3"/>
      <c r="L314" s="85"/>
      <c r="M314" s="85"/>
      <c r="N314" s="85"/>
      <c r="O314" s="85"/>
      <c r="P314" s="85"/>
      <c r="Q314" s="85"/>
      <c r="R314" s="85"/>
      <c r="S314" s="1"/>
      <c r="U314" s="1"/>
      <c r="V314" s="1"/>
      <c r="W314" s="1"/>
      <c r="X314" s="1"/>
      <c r="Y314" s="1"/>
      <c r="Z314" s="1"/>
      <c r="AA314" s="1"/>
      <c r="AB314" s="1"/>
      <c r="AD314" s="3"/>
      <c r="AM314" s="86"/>
      <c r="AN314" s="87"/>
      <c r="AO314" s="87"/>
      <c r="AP314" s="87"/>
      <c r="AQ314" s="87"/>
      <c r="AR314" s="87"/>
      <c r="AS314" s="85"/>
      <c r="AT314" s="21"/>
      <c r="AV314" s="3"/>
    </row>
    <row r="315" spans="3:48" x14ac:dyDescent="0.3">
      <c r="C315" s="85"/>
      <c r="D315" s="85"/>
      <c r="E315" s="85"/>
      <c r="F315" s="85"/>
      <c r="G315" s="85"/>
      <c r="H315" s="85"/>
      <c r="I315" s="85"/>
      <c r="J315" s="25"/>
      <c r="K315" s="3"/>
      <c r="L315" s="85"/>
      <c r="M315" s="85"/>
      <c r="N315" s="85"/>
      <c r="O315" s="85"/>
      <c r="P315" s="85"/>
      <c r="Q315" s="85"/>
      <c r="R315" s="85"/>
      <c r="S315" s="1"/>
      <c r="U315" s="1"/>
      <c r="V315" s="1"/>
      <c r="W315" s="1"/>
      <c r="X315" s="1"/>
      <c r="Y315" s="1"/>
      <c r="Z315" s="1"/>
      <c r="AA315" s="1"/>
      <c r="AB315" s="1"/>
      <c r="AD315" s="3"/>
      <c r="AM315" s="86"/>
      <c r="AN315" s="87"/>
      <c r="AO315" s="87"/>
      <c r="AP315" s="87"/>
      <c r="AQ315" s="87"/>
      <c r="AR315" s="87"/>
      <c r="AS315" s="85"/>
      <c r="AT315" s="21"/>
      <c r="AV315" s="3"/>
    </row>
    <row r="316" spans="3:48" x14ac:dyDescent="0.3">
      <c r="C316" s="85"/>
      <c r="D316" s="85"/>
      <c r="E316" s="85"/>
      <c r="F316" s="85"/>
      <c r="G316" s="85"/>
      <c r="H316" s="85"/>
      <c r="I316" s="85"/>
      <c r="J316" s="25"/>
      <c r="K316" s="3"/>
      <c r="L316" s="85"/>
      <c r="M316" s="85"/>
      <c r="N316" s="85"/>
      <c r="O316" s="85"/>
      <c r="P316" s="85"/>
      <c r="Q316" s="85"/>
      <c r="R316" s="85"/>
      <c r="S316" s="1"/>
      <c r="U316" s="1"/>
      <c r="V316" s="1"/>
      <c r="W316" s="1"/>
      <c r="X316" s="1"/>
      <c r="Y316" s="1"/>
      <c r="Z316" s="1"/>
      <c r="AA316" s="1"/>
      <c r="AB316" s="1"/>
      <c r="AD316" s="3"/>
      <c r="AM316" s="86"/>
      <c r="AN316" s="87"/>
      <c r="AO316" s="87"/>
      <c r="AP316" s="87"/>
      <c r="AQ316" s="87"/>
      <c r="AR316" s="87"/>
      <c r="AS316" s="85"/>
      <c r="AT316" s="21"/>
      <c r="AV316" s="3"/>
    </row>
    <row r="317" spans="3:48" x14ac:dyDescent="0.3">
      <c r="C317" s="85"/>
      <c r="D317" s="85"/>
      <c r="E317" s="85"/>
      <c r="F317" s="85"/>
      <c r="G317" s="85"/>
      <c r="H317" s="85"/>
      <c r="I317" s="85"/>
      <c r="J317" s="25"/>
      <c r="K317" s="3"/>
      <c r="L317" s="85"/>
      <c r="M317" s="85"/>
      <c r="N317" s="85"/>
      <c r="O317" s="85"/>
      <c r="P317" s="85"/>
      <c r="Q317" s="85"/>
      <c r="R317" s="85"/>
      <c r="S317" s="1"/>
      <c r="U317" s="1"/>
      <c r="V317" s="1"/>
      <c r="W317" s="1"/>
      <c r="X317" s="1"/>
      <c r="Y317" s="1"/>
      <c r="Z317" s="1"/>
      <c r="AA317" s="1"/>
      <c r="AB317" s="1"/>
      <c r="AD317" s="3"/>
      <c r="AM317" s="86"/>
      <c r="AN317" s="87"/>
      <c r="AO317" s="87"/>
      <c r="AP317" s="87"/>
      <c r="AQ317" s="87"/>
      <c r="AR317" s="87"/>
      <c r="AS317" s="85"/>
      <c r="AT317" s="21"/>
      <c r="AV317" s="3"/>
    </row>
    <row r="318" spans="3:48" x14ac:dyDescent="0.3">
      <c r="C318" s="85"/>
      <c r="D318" s="85"/>
      <c r="E318" s="85"/>
      <c r="F318" s="85"/>
      <c r="G318" s="85"/>
      <c r="H318" s="85"/>
      <c r="I318" s="85"/>
      <c r="J318" s="25"/>
      <c r="K318" s="3"/>
      <c r="L318" s="85"/>
      <c r="M318" s="85"/>
      <c r="N318" s="85"/>
      <c r="O318" s="85"/>
      <c r="P318" s="85"/>
      <c r="Q318" s="85"/>
      <c r="R318" s="85"/>
      <c r="S318" s="1"/>
      <c r="U318" s="1"/>
      <c r="V318" s="1"/>
      <c r="W318" s="1"/>
      <c r="X318" s="1"/>
      <c r="Y318" s="1"/>
      <c r="Z318" s="1"/>
      <c r="AA318" s="1"/>
      <c r="AB318" s="1"/>
      <c r="AD318" s="3"/>
      <c r="AM318" s="86"/>
      <c r="AN318" s="87"/>
      <c r="AO318" s="87"/>
      <c r="AP318" s="87"/>
      <c r="AQ318" s="87"/>
      <c r="AR318" s="87"/>
      <c r="AS318" s="85"/>
      <c r="AT318" s="21"/>
      <c r="AV318" s="3"/>
    </row>
    <row r="319" spans="3:48" x14ac:dyDescent="0.3">
      <c r="C319" s="85"/>
      <c r="D319" s="85"/>
      <c r="E319" s="85"/>
      <c r="F319" s="85"/>
      <c r="G319" s="85"/>
      <c r="H319" s="85"/>
      <c r="I319" s="85"/>
      <c r="J319" s="25"/>
      <c r="K319" s="3"/>
      <c r="L319" s="85"/>
      <c r="M319" s="85"/>
      <c r="N319" s="85"/>
      <c r="O319" s="85"/>
      <c r="P319" s="85"/>
      <c r="Q319" s="85"/>
      <c r="R319" s="85"/>
      <c r="S319" s="1"/>
      <c r="U319" s="1"/>
      <c r="V319" s="1"/>
      <c r="W319" s="1"/>
      <c r="X319" s="1"/>
      <c r="Y319" s="1"/>
      <c r="Z319" s="1"/>
      <c r="AA319" s="1"/>
      <c r="AB319" s="1"/>
      <c r="AD319" s="3"/>
      <c r="AM319" s="86"/>
      <c r="AN319" s="87"/>
      <c r="AO319" s="87"/>
      <c r="AP319" s="87"/>
      <c r="AQ319" s="87"/>
      <c r="AR319" s="87"/>
      <c r="AS319" s="85"/>
      <c r="AT319" s="21"/>
      <c r="AV319" s="3"/>
    </row>
    <row r="320" spans="3:48" x14ac:dyDescent="0.3">
      <c r="C320" s="85"/>
      <c r="D320" s="85"/>
      <c r="E320" s="85"/>
      <c r="F320" s="85"/>
      <c r="G320" s="85"/>
      <c r="H320" s="85"/>
      <c r="I320" s="85"/>
      <c r="J320" s="25"/>
      <c r="K320" s="3"/>
      <c r="L320" s="85"/>
      <c r="M320" s="85"/>
      <c r="N320" s="85"/>
      <c r="O320" s="85"/>
      <c r="P320" s="85"/>
      <c r="Q320" s="85"/>
      <c r="R320" s="85"/>
      <c r="S320" s="1"/>
      <c r="U320" s="1"/>
      <c r="V320" s="1"/>
      <c r="W320" s="1"/>
      <c r="X320" s="1"/>
      <c r="Y320" s="1"/>
      <c r="Z320" s="1"/>
      <c r="AA320" s="1"/>
      <c r="AB320" s="1"/>
      <c r="AD320" s="3"/>
      <c r="AM320" s="86"/>
      <c r="AN320" s="87"/>
      <c r="AO320" s="87"/>
      <c r="AP320" s="87"/>
      <c r="AQ320" s="87"/>
      <c r="AR320" s="87"/>
      <c r="AS320" s="85"/>
      <c r="AT320" s="21"/>
      <c r="AV320" s="3"/>
    </row>
    <row r="321" spans="3:48" x14ac:dyDescent="0.3">
      <c r="C321" s="85"/>
      <c r="D321" s="85"/>
      <c r="E321" s="85"/>
      <c r="F321" s="85"/>
      <c r="G321" s="85"/>
      <c r="H321" s="85"/>
      <c r="I321" s="85"/>
      <c r="J321" s="25"/>
      <c r="K321" s="3"/>
      <c r="L321" s="85"/>
      <c r="M321" s="85"/>
      <c r="N321" s="85"/>
      <c r="O321" s="85"/>
      <c r="P321" s="85"/>
      <c r="Q321" s="85"/>
      <c r="R321" s="85"/>
      <c r="S321" s="1"/>
      <c r="U321" s="1"/>
      <c r="V321" s="1"/>
      <c r="W321" s="1"/>
      <c r="X321" s="1"/>
      <c r="Y321" s="1"/>
      <c r="Z321" s="1"/>
      <c r="AA321" s="1"/>
      <c r="AB321" s="1"/>
      <c r="AD321" s="3"/>
      <c r="AM321" s="86"/>
      <c r="AN321" s="87"/>
      <c r="AO321" s="87"/>
      <c r="AP321" s="87"/>
      <c r="AQ321" s="87"/>
      <c r="AR321" s="87"/>
      <c r="AS321" s="85"/>
      <c r="AT321" s="21"/>
      <c r="AV321" s="3"/>
    </row>
    <row r="322" spans="3:48" x14ac:dyDescent="0.3">
      <c r="C322" s="85"/>
      <c r="D322" s="85"/>
      <c r="E322" s="85"/>
      <c r="F322" s="85"/>
      <c r="G322" s="85"/>
      <c r="H322" s="85"/>
      <c r="I322" s="85"/>
      <c r="J322" s="25"/>
      <c r="K322" s="3"/>
      <c r="L322" s="85"/>
      <c r="M322" s="85"/>
      <c r="N322" s="85"/>
      <c r="O322" s="85"/>
      <c r="P322" s="85"/>
      <c r="Q322" s="85"/>
      <c r="R322" s="85"/>
      <c r="S322" s="1"/>
      <c r="U322" s="1"/>
      <c r="V322" s="1"/>
      <c r="W322" s="1"/>
      <c r="X322" s="1"/>
      <c r="Y322" s="1"/>
      <c r="Z322" s="1"/>
      <c r="AA322" s="1"/>
      <c r="AB322" s="1"/>
      <c r="AD322" s="3"/>
      <c r="AM322" s="86"/>
      <c r="AN322" s="87"/>
      <c r="AO322" s="87"/>
      <c r="AP322" s="87"/>
      <c r="AQ322" s="87"/>
      <c r="AR322" s="87"/>
      <c r="AS322" s="85"/>
      <c r="AT322" s="21"/>
      <c r="AV322" s="3"/>
    </row>
    <row r="323" spans="3:48" x14ac:dyDescent="0.3">
      <c r="C323" s="85"/>
      <c r="D323" s="85"/>
      <c r="E323" s="85"/>
      <c r="F323" s="85"/>
      <c r="G323" s="85"/>
      <c r="H323" s="85"/>
      <c r="I323" s="85"/>
      <c r="J323" s="25"/>
      <c r="K323" s="3"/>
      <c r="L323" s="85"/>
      <c r="M323" s="85"/>
      <c r="N323" s="85"/>
      <c r="O323" s="85"/>
      <c r="P323" s="85"/>
      <c r="Q323" s="85"/>
      <c r="R323" s="85"/>
      <c r="S323" s="1"/>
      <c r="U323" s="1"/>
      <c r="V323" s="1"/>
      <c r="W323" s="1"/>
      <c r="X323" s="1"/>
      <c r="Y323" s="1"/>
      <c r="Z323" s="1"/>
      <c r="AA323" s="1"/>
      <c r="AB323" s="1"/>
      <c r="AD323" s="3"/>
      <c r="AM323" s="86"/>
      <c r="AN323" s="87"/>
      <c r="AO323" s="87"/>
      <c r="AP323" s="87"/>
      <c r="AQ323" s="87"/>
      <c r="AR323" s="87"/>
      <c r="AS323" s="85"/>
      <c r="AT323" s="21"/>
      <c r="AV323" s="3"/>
    </row>
    <row r="324" spans="3:48" x14ac:dyDescent="0.3">
      <c r="C324" s="85"/>
      <c r="D324" s="85"/>
      <c r="E324" s="85"/>
      <c r="F324" s="85"/>
      <c r="G324" s="85"/>
      <c r="H324" s="85"/>
      <c r="I324" s="85"/>
      <c r="J324" s="25"/>
      <c r="K324" s="3"/>
      <c r="L324" s="85"/>
      <c r="M324" s="85"/>
      <c r="N324" s="85"/>
      <c r="O324" s="85"/>
      <c r="P324" s="85"/>
      <c r="Q324" s="85"/>
      <c r="R324" s="85"/>
      <c r="S324" s="1"/>
      <c r="U324" s="1"/>
      <c r="V324" s="1"/>
      <c r="W324" s="1"/>
      <c r="X324" s="1"/>
      <c r="Y324" s="1"/>
      <c r="Z324" s="1"/>
      <c r="AA324" s="1"/>
      <c r="AB324" s="1"/>
      <c r="AD324" s="3"/>
      <c r="AM324" s="86"/>
      <c r="AN324" s="87"/>
      <c r="AO324" s="87"/>
      <c r="AP324" s="87"/>
      <c r="AQ324" s="87"/>
      <c r="AR324" s="87"/>
      <c r="AS324" s="85"/>
      <c r="AT324" s="21"/>
      <c r="AV324" s="3"/>
    </row>
    <row r="325" spans="3:48" x14ac:dyDescent="0.3">
      <c r="C325" s="85"/>
      <c r="D325" s="85"/>
      <c r="E325" s="85"/>
      <c r="F325" s="85"/>
      <c r="G325" s="85"/>
      <c r="H325" s="85"/>
      <c r="I325" s="85"/>
      <c r="J325" s="25"/>
      <c r="K325" s="3"/>
      <c r="L325" s="85"/>
      <c r="M325" s="85"/>
      <c r="N325" s="85"/>
      <c r="O325" s="85"/>
      <c r="P325" s="85"/>
      <c r="Q325" s="85"/>
      <c r="R325" s="85"/>
      <c r="S325" s="1"/>
      <c r="U325" s="1"/>
      <c r="V325" s="1"/>
      <c r="W325" s="1"/>
      <c r="X325" s="1"/>
      <c r="Y325" s="1"/>
      <c r="Z325" s="1"/>
      <c r="AA325" s="1"/>
      <c r="AB325" s="1"/>
      <c r="AD325" s="3"/>
      <c r="AM325" s="86"/>
      <c r="AN325" s="87"/>
      <c r="AO325" s="87"/>
      <c r="AP325" s="87"/>
      <c r="AQ325" s="87"/>
      <c r="AR325" s="87"/>
      <c r="AS325" s="85"/>
      <c r="AT325" s="21"/>
      <c r="AV325" s="3"/>
    </row>
    <row r="326" spans="3:48" x14ac:dyDescent="0.3">
      <c r="C326" s="85"/>
      <c r="D326" s="85"/>
      <c r="E326" s="85"/>
      <c r="F326" s="85"/>
      <c r="G326" s="85"/>
      <c r="H326" s="85"/>
      <c r="I326" s="85"/>
      <c r="J326" s="25"/>
      <c r="K326" s="3"/>
      <c r="L326" s="85"/>
      <c r="M326" s="85"/>
      <c r="N326" s="85"/>
      <c r="O326" s="85"/>
      <c r="P326" s="85"/>
      <c r="Q326" s="85"/>
      <c r="R326" s="85"/>
      <c r="S326" s="1"/>
      <c r="U326" s="1"/>
      <c r="V326" s="1"/>
      <c r="W326" s="1"/>
      <c r="X326" s="1"/>
      <c r="Y326" s="1"/>
      <c r="Z326" s="1"/>
      <c r="AA326" s="1"/>
      <c r="AB326" s="1"/>
      <c r="AD326" s="3"/>
      <c r="AM326" s="86"/>
      <c r="AN326" s="87"/>
      <c r="AO326" s="87"/>
      <c r="AP326" s="87"/>
      <c r="AQ326" s="87"/>
      <c r="AR326" s="87"/>
      <c r="AS326" s="85"/>
      <c r="AT326" s="21"/>
      <c r="AV326" s="3"/>
    </row>
    <row r="327" spans="3:48" x14ac:dyDescent="0.3">
      <c r="C327" s="85"/>
      <c r="D327" s="85"/>
      <c r="E327" s="85"/>
      <c r="F327" s="85"/>
      <c r="G327" s="85"/>
      <c r="H327" s="85"/>
      <c r="I327" s="85"/>
      <c r="J327" s="25"/>
      <c r="K327" s="3"/>
      <c r="L327" s="85"/>
      <c r="M327" s="85"/>
      <c r="N327" s="85"/>
      <c r="O327" s="85"/>
      <c r="P327" s="85"/>
      <c r="Q327" s="85"/>
      <c r="R327" s="85"/>
      <c r="S327" s="1"/>
      <c r="U327" s="1"/>
      <c r="V327" s="1"/>
      <c r="W327" s="1"/>
      <c r="X327" s="1"/>
      <c r="Y327" s="1"/>
      <c r="Z327" s="1"/>
      <c r="AA327" s="1"/>
      <c r="AB327" s="1"/>
      <c r="AD327" s="3"/>
      <c r="AM327" s="86"/>
      <c r="AN327" s="87"/>
      <c r="AO327" s="87"/>
      <c r="AP327" s="87"/>
      <c r="AQ327" s="87"/>
      <c r="AR327" s="87"/>
      <c r="AS327" s="85"/>
      <c r="AT327" s="21"/>
      <c r="AV327" s="3"/>
    </row>
    <row r="328" spans="3:48" x14ac:dyDescent="0.3">
      <c r="C328" s="85"/>
      <c r="D328" s="85"/>
      <c r="E328" s="85"/>
      <c r="F328" s="85"/>
      <c r="G328" s="85"/>
      <c r="H328" s="85"/>
      <c r="I328" s="85"/>
      <c r="J328" s="25"/>
      <c r="K328" s="3"/>
      <c r="L328" s="85"/>
      <c r="M328" s="85"/>
      <c r="N328" s="85"/>
      <c r="O328" s="85"/>
      <c r="P328" s="85"/>
      <c r="Q328" s="85"/>
      <c r="R328" s="85"/>
      <c r="S328" s="1"/>
      <c r="U328" s="1"/>
      <c r="V328" s="1"/>
      <c r="W328" s="1"/>
      <c r="X328" s="1"/>
      <c r="Y328" s="1"/>
      <c r="Z328" s="1"/>
      <c r="AA328" s="1"/>
      <c r="AB328" s="1"/>
      <c r="AD328" s="3"/>
      <c r="AM328" s="86"/>
      <c r="AN328" s="87"/>
      <c r="AO328" s="87"/>
      <c r="AP328" s="87"/>
      <c r="AQ328" s="87"/>
      <c r="AR328" s="87"/>
      <c r="AS328" s="85"/>
      <c r="AT328" s="21"/>
      <c r="AV328" s="3"/>
    </row>
    <row r="329" spans="3:48" x14ac:dyDescent="0.3">
      <c r="C329" s="85"/>
      <c r="D329" s="85"/>
      <c r="E329" s="85"/>
      <c r="F329" s="85"/>
      <c r="G329" s="85"/>
      <c r="H329" s="85"/>
      <c r="I329" s="85"/>
      <c r="J329" s="25"/>
      <c r="K329" s="3"/>
      <c r="L329" s="85"/>
      <c r="M329" s="85"/>
      <c r="N329" s="85"/>
      <c r="O329" s="85"/>
      <c r="P329" s="85"/>
      <c r="Q329" s="85"/>
      <c r="R329" s="85"/>
      <c r="S329" s="1"/>
      <c r="U329" s="1"/>
      <c r="V329" s="1"/>
      <c r="W329" s="1"/>
      <c r="X329" s="1"/>
      <c r="Y329" s="1"/>
      <c r="Z329" s="1"/>
      <c r="AA329" s="1"/>
      <c r="AB329" s="1"/>
      <c r="AD329" s="3"/>
      <c r="AM329" s="86"/>
      <c r="AN329" s="87"/>
      <c r="AO329" s="87"/>
      <c r="AP329" s="87"/>
      <c r="AQ329" s="87"/>
      <c r="AR329" s="87"/>
      <c r="AS329" s="85"/>
      <c r="AT329" s="21"/>
      <c r="AV329" s="3"/>
    </row>
    <row r="330" spans="3:48" x14ac:dyDescent="0.3">
      <c r="C330" s="85"/>
      <c r="D330" s="85"/>
      <c r="E330" s="85"/>
      <c r="F330" s="85"/>
      <c r="G330" s="85"/>
      <c r="H330" s="85"/>
      <c r="I330" s="85"/>
      <c r="J330" s="25"/>
      <c r="K330" s="3"/>
      <c r="L330" s="85"/>
      <c r="M330" s="85"/>
      <c r="N330" s="85"/>
      <c r="O330" s="85"/>
      <c r="P330" s="85"/>
      <c r="Q330" s="85"/>
      <c r="R330" s="85"/>
      <c r="S330" s="1"/>
      <c r="U330" s="1"/>
      <c r="V330" s="1"/>
      <c r="W330" s="1"/>
      <c r="X330" s="1"/>
      <c r="Y330" s="1"/>
      <c r="Z330" s="1"/>
      <c r="AA330" s="1"/>
      <c r="AB330" s="1"/>
      <c r="AD330" s="3"/>
      <c r="AM330" s="86"/>
      <c r="AN330" s="87"/>
      <c r="AO330" s="87"/>
      <c r="AP330" s="87"/>
      <c r="AQ330" s="87"/>
      <c r="AR330" s="87"/>
      <c r="AS330" s="85"/>
      <c r="AT330" s="21"/>
      <c r="AV330" s="3"/>
    </row>
    <row r="331" spans="3:48" x14ac:dyDescent="0.3">
      <c r="C331" s="85"/>
      <c r="D331" s="85"/>
      <c r="E331" s="85"/>
      <c r="F331" s="85"/>
      <c r="G331" s="85"/>
      <c r="H331" s="85"/>
      <c r="I331" s="85"/>
      <c r="J331" s="25"/>
      <c r="K331" s="3"/>
      <c r="L331" s="85"/>
      <c r="M331" s="85"/>
      <c r="N331" s="85"/>
      <c r="O331" s="85"/>
      <c r="P331" s="85"/>
      <c r="Q331" s="85"/>
      <c r="R331" s="85"/>
      <c r="S331" s="1"/>
      <c r="U331" s="1"/>
      <c r="V331" s="1"/>
      <c r="W331" s="1"/>
      <c r="X331" s="1"/>
      <c r="Y331" s="1"/>
      <c r="Z331" s="1"/>
      <c r="AA331" s="1"/>
      <c r="AB331" s="1"/>
      <c r="AD331" s="3"/>
      <c r="AM331" s="86"/>
      <c r="AN331" s="87"/>
      <c r="AO331" s="87"/>
      <c r="AP331" s="87"/>
      <c r="AQ331" s="87"/>
      <c r="AR331" s="87"/>
      <c r="AS331" s="85"/>
      <c r="AT331" s="21"/>
      <c r="AV331" s="3"/>
    </row>
    <row r="332" spans="3:48" x14ac:dyDescent="0.3">
      <c r="C332" s="85"/>
      <c r="D332" s="85"/>
      <c r="E332" s="85"/>
      <c r="F332" s="85"/>
      <c r="G332" s="85"/>
      <c r="H332" s="85"/>
      <c r="I332" s="85"/>
      <c r="J332" s="25"/>
      <c r="K332" s="3"/>
      <c r="L332" s="85"/>
      <c r="M332" s="85"/>
      <c r="N332" s="85"/>
      <c r="O332" s="85"/>
      <c r="P332" s="85"/>
      <c r="Q332" s="85"/>
      <c r="R332" s="85"/>
      <c r="S332" s="1"/>
      <c r="U332" s="1"/>
      <c r="V332" s="1"/>
      <c r="W332" s="1"/>
      <c r="X332" s="1"/>
      <c r="Y332" s="1"/>
      <c r="Z332" s="1"/>
      <c r="AA332" s="1"/>
      <c r="AB332" s="1"/>
      <c r="AD332" s="3"/>
      <c r="AM332" s="86"/>
      <c r="AN332" s="87"/>
      <c r="AO332" s="87"/>
      <c r="AP332" s="87"/>
      <c r="AQ332" s="87"/>
      <c r="AR332" s="87"/>
      <c r="AS332" s="85"/>
      <c r="AT332" s="21"/>
      <c r="AV332" s="3"/>
    </row>
    <row r="333" spans="3:48" x14ac:dyDescent="0.3">
      <c r="C333" s="85"/>
      <c r="D333" s="85"/>
      <c r="E333" s="85"/>
      <c r="F333" s="85"/>
      <c r="G333" s="85"/>
      <c r="H333" s="85"/>
      <c r="I333" s="85"/>
      <c r="J333" s="25"/>
      <c r="K333" s="3"/>
      <c r="L333" s="85"/>
      <c r="M333" s="85"/>
      <c r="N333" s="85"/>
      <c r="O333" s="85"/>
      <c r="P333" s="85"/>
      <c r="Q333" s="85"/>
      <c r="R333" s="85"/>
      <c r="S333" s="1"/>
      <c r="U333" s="1"/>
      <c r="V333" s="1"/>
      <c r="W333" s="1"/>
      <c r="X333" s="1"/>
      <c r="Y333" s="1"/>
      <c r="Z333" s="1"/>
      <c r="AA333" s="1"/>
      <c r="AB333" s="1"/>
      <c r="AD333" s="3"/>
      <c r="AM333" s="86"/>
      <c r="AN333" s="87"/>
      <c r="AO333" s="87"/>
      <c r="AP333" s="87"/>
      <c r="AQ333" s="87"/>
      <c r="AR333" s="87"/>
      <c r="AS333" s="85"/>
      <c r="AT333" s="21"/>
      <c r="AV333" s="3"/>
    </row>
    <row r="334" spans="3:48" x14ac:dyDescent="0.3">
      <c r="C334" s="85"/>
      <c r="D334" s="85"/>
      <c r="E334" s="85"/>
      <c r="F334" s="85"/>
      <c r="G334" s="85"/>
      <c r="H334" s="85"/>
      <c r="I334" s="85"/>
      <c r="J334" s="25"/>
      <c r="K334" s="3"/>
      <c r="L334" s="85"/>
      <c r="M334" s="85"/>
      <c r="N334" s="85"/>
      <c r="O334" s="85"/>
      <c r="P334" s="85"/>
      <c r="Q334" s="85"/>
      <c r="R334" s="85"/>
      <c r="S334" s="1"/>
      <c r="U334" s="1"/>
      <c r="V334" s="1"/>
      <c r="W334" s="1"/>
      <c r="X334" s="1"/>
      <c r="Y334" s="1"/>
      <c r="Z334" s="1"/>
      <c r="AA334" s="1"/>
      <c r="AB334" s="1"/>
      <c r="AD334" s="3"/>
      <c r="AM334" s="86"/>
      <c r="AN334" s="87"/>
      <c r="AO334" s="87"/>
      <c r="AP334" s="87"/>
      <c r="AQ334" s="87"/>
      <c r="AR334" s="87"/>
      <c r="AS334" s="85"/>
      <c r="AT334" s="21"/>
      <c r="AV334" s="3"/>
    </row>
    <row r="335" spans="3:48" x14ac:dyDescent="0.3">
      <c r="C335" s="85"/>
      <c r="D335" s="85"/>
      <c r="E335" s="85"/>
      <c r="F335" s="85"/>
      <c r="G335" s="85"/>
      <c r="H335" s="85"/>
      <c r="I335" s="85"/>
      <c r="J335" s="25"/>
      <c r="K335" s="3"/>
      <c r="L335" s="85"/>
      <c r="M335" s="85"/>
      <c r="N335" s="85"/>
      <c r="O335" s="85"/>
      <c r="P335" s="85"/>
      <c r="Q335" s="85"/>
      <c r="R335" s="85"/>
      <c r="S335" s="1"/>
      <c r="U335" s="1"/>
      <c r="V335" s="1"/>
      <c r="W335" s="1"/>
      <c r="X335" s="1"/>
      <c r="Y335" s="1"/>
      <c r="Z335" s="1"/>
      <c r="AA335" s="1"/>
      <c r="AB335" s="1"/>
      <c r="AD335" s="3"/>
      <c r="AM335" s="86"/>
      <c r="AN335" s="87"/>
      <c r="AO335" s="87"/>
      <c r="AP335" s="87"/>
      <c r="AQ335" s="87"/>
      <c r="AR335" s="87"/>
      <c r="AS335" s="85"/>
      <c r="AT335" s="21"/>
      <c r="AV335" s="3"/>
    </row>
    <row r="336" spans="3:48" x14ac:dyDescent="0.3">
      <c r="C336" s="85"/>
      <c r="D336" s="85"/>
      <c r="E336" s="85"/>
      <c r="F336" s="85"/>
      <c r="G336" s="85"/>
      <c r="H336" s="85"/>
      <c r="I336" s="85"/>
      <c r="J336" s="25"/>
      <c r="K336" s="3"/>
      <c r="L336" s="85"/>
      <c r="M336" s="85"/>
      <c r="N336" s="85"/>
      <c r="O336" s="85"/>
      <c r="P336" s="85"/>
      <c r="Q336" s="85"/>
      <c r="R336" s="85"/>
      <c r="S336" s="1"/>
      <c r="U336" s="1"/>
      <c r="V336" s="1"/>
      <c r="W336" s="1"/>
      <c r="X336" s="1"/>
      <c r="Y336" s="1"/>
      <c r="Z336" s="1"/>
      <c r="AA336" s="1"/>
      <c r="AB336" s="1"/>
      <c r="AD336" s="3"/>
      <c r="AM336" s="86"/>
      <c r="AN336" s="87"/>
      <c r="AO336" s="87"/>
      <c r="AP336" s="87"/>
      <c r="AQ336" s="87"/>
      <c r="AR336" s="87"/>
      <c r="AS336" s="85"/>
      <c r="AT336" s="21"/>
      <c r="AV336" s="3"/>
    </row>
    <row r="337" spans="3:48" x14ac:dyDescent="0.3">
      <c r="C337" s="85"/>
      <c r="D337" s="85"/>
      <c r="E337" s="85"/>
      <c r="F337" s="85"/>
      <c r="G337" s="85"/>
      <c r="H337" s="85"/>
      <c r="I337" s="85"/>
      <c r="J337" s="25"/>
      <c r="K337" s="3"/>
      <c r="L337" s="85"/>
      <c r="M337" s="85"/>
      <c r="N337" s="85"/>
      <c r="O337" s="85"/>
      <c r="P337" s="85"/>
      <c r="Q337" s="85"/>
      <c r="R337" s="85"/>
      <c r="S337" s="1"/>
      <c r="U337" s="1"/>
      <c r="V337" s="1"/>
      <c r="W337" s="1"/>
      <c r="X337" s="1"/>
      <c r="Y337" s="1"/>
      <c r="Z337" s="1"/>
      <c r="AA337" s="1"/>
      <c r="AB337" s="1"/>
      <c r="AD337" s="3"/>
      <c r="AM337" s="86"/>
      <c r="AN337" s="87"/>
      <c r="AO337" s="87"/>
      <c r="AP337" s="87"/>
      <c r="AQ337" s="87"/>
      <c r="AR337" s="87"/>
      <c r="AS337" s="85"/>
      <c r="AT337" s="21"/>
      <c r="AV337" s="3"/>
    </row>
    <row r="338" spans="3:48" x14ac:dyDescent="0.3">
      <c r="C338" s="85"/>
      <c r="D338" s="85"/>
      <c r="E338" s="85"/>
      <c r="F338" s="85"/>
      <c r="G338" s="85"/>
      <c r="H338" s="85"/>
      <c r="I338" s="85"/>
      <c r="J338" s="25"/>
      <c r="K338" s="3"/>
      <c r="L338" s="85"/>
      <c r="M338" s="85"/>
      <c r="N338" s="85"/>
      <c r="O338" s="85"/>
      <c r="P338" s="85"/>
      <c r="Q338" s="85"/>
      <c r="R338" s="85"/>
      <c r="S338" s="1"/>
      <c r="U338" s="1"/>
      <c r="V338" s="1"/>
      <c r="W338" s="1"/>
      <c r="X338" s="1"/>
      <c r="Y338" s="1"/>
      <c r="Z338" s="1"/>
      <c r="AA338" s="1"/>
      <c r="AB338" s="1"/>
      <c r="AD338" s="3"/>
      <c r="AM338" s="86"/>
      <c r="AN338" s="87"/>
      <c r="AO338" s="87"/>
      <c r="AP338" s="87"/>
      <c r="AQ338" s="87"/>
      <c r="AR338" s="87"/>
      <c r="AS338" s="85"/>
      <c r="AT338" s="21"/>
      <c r="AV338" s="3"/>
    </row>
    <row r="339" spans="3:48" x14ac:dyDescent="0.3">
      <c r="C339" s="85"/>
      <c r="D339" s="85"/>
      <c r="E339" s="85"/>
      <c r="F339" s="85"/>
      <c r="G339" s="85"/>
      <c r="H339" s="85"/>
      <c r="I339" s="85"/>
      <c r="J339" s="25"/>
      <c r="K339" s="3"/>
      <c r="L339" s="85"/>
      <c r="M339" s="85"/>
      <c r="N339" s="85"/>
      <c r="O339" s="85"/>
      <c r="P339" s="85"/>
      <c r="Q339" s="85"/>
      <c r="R339" s="85"/>
      <c r="S339" s="1"/>
      <c r="U339" s="1"/>
      <c r="V339" s="1"/>
      <c r="W339" s="1"/>
      <c r="X339" s="1"/>
      <c r="Y339" s="1"/>
      <c r="Z339" s="1"/>
      <c r="AA339" s="1"/>
      <c r="AB339" s="1"/>
      <c r="AD339" s="3"/>
      <c r="AM339" s="86"/>
      <c r="AN339" s="87"/>
      <c r="AO339" s="87"/>
      <c r="AP339" s="87"/>
      <c r="AQ339" s="87"/>
      <c r="AR339" s="87"/>
      <c r="AS339" s="85"/>
      <c r="AT339" s="21"/>
      <c r="AV339" s="3"/>
    </row>
    <row r="340" spans="3:48" x14ac:dyDescent="0.3">
      <c r="C340" s="85"/>
      <c r="D340" s="85"/>
      <c r="E340" s="85"/>
      <c r="F340" s="85"/>
      <c r="G340" s="85"/>
      <c r="H340" s="85"/>
      <c r="I340" s="85"/>
      <c r="J340" s="25"/>
      <c r="K340" s="3"/>
      <c r="L340" s="85"/>
      <c r="M340" s="85"/>
      <c r="N340" s="85"/>
      <c r="O340" s="85"/>
      <c r="P340" s="85"/>
      <c r="Q340" s="85"/>
      <c r="R340" s="85"/>
      <c r="S340" s="1"/>
      <c r="U340" s="1"/>
      <c r="V340" s="1"/>
      <c r="W340" s="1"/>
      <c r="X340" s="1"/>
      <c r="Y340" s="1"/>
      <c r="Z340" s="1"/>
      <c r="AA340" s="1"/>
      <c r="AB340" s="1"/>
      <c r="AD340" s="3"/>
      <c r="AM340" s="86"/>
      <c r="AN340" s="87"/>
      <c r="AO340" s="87"/>
      <c r="AP340" s="87"/>
      <c r="AQ340" s="87"/>
      <c r="AR340" s="87"/>
      <c r="AS340" s="85"/>
      <c r="AT340" s="21"/>
      <c r="AV340" s="3"/>
    </row>
    <row r="341" spans="3:48" x14ac:dyDescent="0.3">
      <c r="C341" s="85"/>
      <c r="D341" s="85"/>
      <c r="E341" s="85"/>
      <c r="F341" s="85"/>
      <c r="G341" s="85"/>
      <c r="H341" s="85"/>
      <c r="I341" s="85"/>
      <c r="J341" s="25"/>
      <c r="K341" s="3"/>
      <c r="L341" s="85"/>
      <c r="M341" s="85"/>
      <c r="N341" s="85"/>
      <c r="O341" s="85"/>
      <c r="P341" s="85"/>
      <c r="Q341" s="85"/>
      <c r="R341" s="85"/>
      <c r="S341" s="1"/>
      <c r="U341" s="1"/>
      <c r="V341" s="1"/>
      <c r="W341" s="1"/>
      <c r="X341" s="1"/>
      <c r="Y341" s="1"/>
      <c r="Z341" s="1"/>
      <c r="AA341" s="1"/>
      <c r="AB341" s="1"/>
      <c r="AD341" s="3"/>
      <c r="AM341" s="86"/>
      <c r="AN341" s="87"/>
      <c r="AO341" s="87"/>
      <c r="AP341" s="87"/>
      <c r="AQ341" s="87"/>
      <c r="AR341" s="87"/>
      <c r="AS341" s="85"/>
      <c r="AT341" s="21"/>
      <c r="AV341" s="3"/>
    </row>
    <row r="342" spans="3:48" x14ac:dyDescent="0.3">
      <c r="C342" s="85"/>
      <c r="D342" s="85"/>
      <c r="E342" s="85"/>
      <c r="F342" s="85"/>
      <c r="G342" s="85"/>
      <c r="H342" s="85"/>
      <c r="I342" s="85"/>
      <c r="J342" s="25"/>
      <c r="K342" s="3"/>
      <c r="L342" s="85"/>
      <c r="M342" s="85"/>
      <c r="N342" s="85"/>
      <c r="O342" s="85"/>
      <c r="P342" s="85"/>
      <c r="Q342" s="85"/>
      <c r="R342" s="85"/>
      <c r="S342" s="1"/>
      <c r="U342" s="1"/>
      <c r="V342" s="1"/>
      <c r="W342" s="1"/>
      <c r="X342" s="1"/>
      <c r="Y342" s="1"/>
      <c r="Z342" s="1"/>
      <c r="AA342" s="1"/>
      <c r="AB342" s="1"/>
      <c r="AD342" s="3"/>
      <c r="AM342" s="86"/>
      <c r="AN342" s="87"/>
      <c r="AO342" s="87"/>
      <c r="AP342" s="87"/>
      <c r="AQ342" s="87"/>
      <c r="AR342" s="87"/>
      <c r="AS342" s="85"/>
      <c r="AT342" s="21"/>
      <c r="AV342" s="3"/>
    </row>
    <row r="343" spans="3:48" x14ac:dyDescent="0.3">
      <c r="C343" s="85"/>
      <c r="D343" s="85"/>
      <c r="E343" s="85"/>
      <c r="F343" s="85"/>
      <c r="G343" s="85"/>
      <c r="H343" s="85"/>
      <c r="I343" s="85"/>
      <c r="J343" s="25"/>
      <c r="K343" s="3"/>
      <c r="L343" s="85"/>
      <c r="M343" s="85"/>
      <c r="N343" s="85"/>
      <c r="O343" s="85"/>
      <c r="P343" s="85"/>
      <c r="Q343" s="85"/>
      <c r="R343" s="85"/>
      <c r="S343" s="1"/>
      <c r="U343" s="1"/>
      <c r="V343" s="1"/>
      <c r="W343" s="1"/>
      <c r="X343" s="1"/>
      <c r="Y343" s="1"/>
      <c r="Z343" s="1"/>
      <c r="AA343" s="1"/>
      <c r="AB343" s="1"/>
      <c r="AD343" s="3"/>
      <c r="AM343" s="86"/>
      <c r="AN343" s="87"/>
      <c r="AO343" s="87"/>
      <c r="AP343" s="87"/>
      <c r="AQ343" s="87"/>
      <c r="AR343" s="87"/>
      <c r="AS343" s="85"/>
      <c r="AT343" s="21"/>
      <c r="AV343" s="3"/>
    </row>
    <row r="344" spans="3:48" x14ac:dyDescent="0.3">
      <c r="C344" s="85"/>
      <c r="D344" s="85"/>
      <c r="E344" s="85"/>
      <c r="F344" s="85"/>
      <c r="G344" s="85"/>
      <c r="H344" s="85"/>
      <c r="I344" s="85"/>
      <c r="J344" s="25"/>
      <c r="K344" s="3"/>
      <c r="L344" s="85"/>
      <c r="M344" s="85"/>
      <c r="N344" s="85"/>
      <c r="O344" s="85"/>
      <c r="P344" s="85"/>
      <c r="Q344" s="85"/>
      <c r="R344" s="85"/>
      <c r="S344" s="1"/>
      <c r="U344" s="1"/>
      <c r="V344" s="1"/>
      <c r="W344" s="1"/>
      <c r="X344" s="1"/>
      <c r="Y344" s="1"/>
      <c r="Z344" s="1"/>
      <c r="AA344" s="1"/>
      <c r="AB344" s="1"/>
      <c r="AD344" s="3"/>
      <c r="AM344" s="86"/>
      <c r="AN344" s="87"/>
      <c r="AO344" s="87"/>
      <c r="AP344" s="87"/>
      <c r="AQ344" s="87"/>
      <c r="AR344" s="87"/>
      <c r="AS344" s="85"/>
      <c r="AT344" s="21"/>
      <c r="AV344" s="3"/>
    </row>
    <row r="345" spans="3:48" x14ac:dyDescent="0.3">
      <c r="C345" s="85"/>
      <c r="D345" s="85"/>
      <c r="E345" s="85"/>
      <c r="F345" s="85"/>
      <c r="G345" s="85"/>
      <c r="H345" s="85"/>
      <c r="I345" s="85"/>
      <c r="J345" s="25"/>
      <c r="K345" s="3"/>
      <c r="L345" s="85"/>
      <c r="M345" s="85"/>
      <c r="N345" s="85"/>
      <c r="O345" s="85"/>
      <c r="P345" s="85"/>
      <c r="Q345" s="85"/>
      <c r="R345" s="85"/>
      <c r="S345" s="1"/>
      <c r="U345" s="1"/>
      <c r="V345" s="1"/>
      <c r="W345" s="1"/>
      <c r="X345" s="1"/>
      <c r="Y345" s="1"/>
      <c r="Z345" s="1"/>
      <c r="AA345" s="1"/>
      <c r="AB345" s="1"/>
      <c r="AD345" s="3"/>
      <c r="AM345" s="86"/>
      <c r="AN345" s="87"/>
      <c r="AO345" s="87"/>
      <c r="AP345" s="87"/>
      <c r="AQ345" s="87"/>
      <c r="AR345" s="87"/>
      <c r="AS345" s="85"/>
      <c r="AT345" s="21"/>
      <c r="AV345" s="3"/>
    </row>
    <row r="346" spans="3:48" x14ac:dyDescent="0.3">
      <c r="C346" s="85"/>
      <c r="D346" s="85"/>
      <c r="E346" s="85"/>
      <c r="F346" s="85"/>
      <c r="G346" s="85"/>
      <c r="H346" s="85"/>
      <c r="I346" s="85"/>
      <c r="J346" s="25"/>
      <c r="K346" s="3"/>
      <c r="L346" s="85"/>
      <c r="M346" s="85"/>
      <c r="N346" s="85"/>
      <c r="O346" s="85"/>
      <c r="P346" s="85"/>
      <c r="Q346" s="85"/>
      <c r="R346" s="85"/>
      <c r="S346" s="1"/>
      <c r="U346" s="1"/>
      <c r="V346" s="1"/>
      <c r="W346" s="1"/>
      <c r="X346" s="1"/>
      <c r="Y346" s="1"/>
      <c r="Z346" s="1"/>
      <c r="AA346" s="1"/>
      <c r="AB346" s="1"/>
      <c r="AD346" s="3"/>
      <c r="AM346" s="86"/>
      <c r="AN346" s="87"/>
      <c r="AO346" s="87"/>
      <c r="AP346" s="87"/>
      <c r="AQ346" s="87"/>
      <c r="AR346" s="87"/>
      <c r="AS346" s="85"/>
      <c r="AT346" s="21"/>
      <c r="AV346" s="3"/>
    </row>
    <row r="347" spans="3:48" x14ac:dyDescent="0.3">
      <c r="C347" s="85"/>
      <c r="D347" s="85"/>
      <c r="E347" s="85"/>
      <c r="F347" s="85"/>
      <c r="G347" s="85"/>
      <c r="H347" s="85"/>
      <c r="I347" s="85"/>
      <c r="J347" s="25"/>
      <c r="K347" s="3"/>
      <c r="L347" s="85"/>
      <c r="M347" s="85"/>
      <c r="N347" s="85"/>
      <c r="O347" s="85"/>
      <c r="P347" s="85"/>
      <c r="Q347" s="85"/>
      <c r="R347" s="85"/>
      <c r="S347" s="1"/>
      <c r="U347" s="1"/>
      <c r="V347" s="1"/>
      <c r="W347" s="1"/>
      <c r="X347" s="1"/>
      <c r="Y347" s="1"/>
      <c r="Z347" s="1"/>
      <c r="AA347" s="1"/>
      <c r="AB347" s="1"/>
      <c r="AD347" s="3"/>
      <c r="AM347" s="86"/>
      <c r="AN347" s="87"/>
      <c r="AO347" s="87"/>
      <c r="AP347" s="87"/>
      <c r="AQ347" s="87"/>
      <c r="AR347" s="87"/>
      <c r="AS347" s="85"/>
      <c r="AT347" s="21"/>
      <c r="AV347" s="3"/>
    </row>
    <row r="348" spans="3:48" x14ac:dyDescent="0.3">
      <c r="C348" s="85"/>
      <c r="D348" s="85"/>
      <c r="E348" s="85"/>
      <c r="F348" s="85"/>
      <c r="G348" s="85"/>
      <c r="H348" s="85"/>
      <c r="I348" s="85"/>
      <c r="J348" s="25"/>
      <c r="K348" s="3"/>
      <c r="L348" s="85"/>
      <c r="M348" s="85"/>
      <c r="N348" s="85"/>
      <c r="O348" s="85"/>
      <c r="P348" s="85"/>
      <c r="Q348" s="85"/>
      <c r="R348" s="85"/>
      <c r="S348" s="1"/>
      <c r="U348" s="1"/>
      <c r="V348" s="1"/>
      <c r="W348" s="1"/>
      <c r="X348" s="1"/>
      <c r="Y348" s="1"/>
      <c r="Z348" s="1"/>
      <c r="AA348" s="1"/>
      <c r="AB348" s="1"/>
      <c r="AD348" s="3"/>
      <c r="AM348" s="86"/>
      <c r="AN348" s="87"/>
      <c r="AO348" s="87"/>
      <c r="AP348" s="87"/>
      <c r="AQ348" s="87"/>
      <c r="AR348" s="87"/>
      <c r="AS348" s="85"/>
      <c r="AT348" s="21"/>
      <c r="AV348" s="3"/>
    </row>
    <row r="349" spans="3:48" x14ac:dyDescent="0.3">
      <c r="C349" s="85"/>
      <c r="D349" s="85"/>
      <c r="E349" s="85"/>
      <c r="F349" s="85"/>
      <c r="G349" s="85"/>
      <c r="H349" s="85"/>
      <c r="I349" s="85"/>
      <c r="J349" s="25"/>
      <c r="K349" s="3"/>
      <c r="L349" s="85"/>
      <c r="M349" s="85"/>
      <c r="N349" s="85"/>
      <c r="O349" s="85"/>
      <c r="P349" s="85"/>
      <c r="Q349" s="85"/>
      <c r="R349" s="85"/>
      <c r="S349" s="1"/>
      <c r="U349" s="1"/>
      <c r="V349" s="1"/>
      <c r="W349" s="1"/>
      <c r="X349" s="1"/>
      <c r="Y349" s="1"/>
      <c r="Z349" s="1"/>
      <c r="AA349" s="1"/>
      <c r="AB349" s="1"/>
      <c r="AD349" s="3"/>
      <c r="AM349" s="86"/>
      <c r="AN349" s="87"/>
      <c r="AO349" s="87"/>
      <c r="AP349" s="87"/>
      <c r="AQ349" s="87"/>
      <c r="AR349" s="87"/>
      <c r="AS349" s="85"/>
      <c r="AT349" s="21"/>
      <c r="AV349" s="3"/>
    </row>
    <row r="350" spans="3:48" x14ac:dyDescent="0.3">
      <c r="C350" s="85"/>
      <c r="D350" s="85"/>
      <c r="E350" s="85"/>
      <c r="F350" s="85"/>
      <c r="G350" s="85"/>
      <c r="H350" s="85"/>
      <c r="I350" s="85"/>
      <c r="J350" s="25"/>
      <c r="K350" s="3"/>
      <c r="L350" s="85"/>
      <c r="M350" s="85"/>
      <c r="N350" s="85"/>
      <c r="O350" s="85"/>
      <c r="P350" s="85"/>
      <c r="Q350" s="85"/>
      <c r="R350" s="85"/>
      <c r="S350" s="1"/>
      <c r="U350" s="1"/>
      <c r="V350" s="1"/>
      <c r="W350" s="1"/>
      <c r="X350" s="1"/>
      <c r="Y350" s="1"/>
      <c r="Z350" s="1"/>
      <c r="AA350" s="1"/>
      <c r="AB350" s="1"/>
      <c r="AD350" s="3"/>
      <c r="AM350" s="86"/>
      <c r="AN350" s="87"/>
      <c r="AO350" s="87"/>
      <c r="AP350" s="87"/>
      <c r="AQ350" s="87"/>
      <c r="AR350" s="87"/>
      <c r="AS350" s="85"/>
      <c r="AT350" s="21"/>
      <c r="AV350" s="3"/>
    </row>
    <row r="351" spans="3:48" x14ac:dyDescent="0.3">
      <c r="C351" s="85"/>
      <c r="D351" s="85"/>
      <c r="E351" s="85"/>
      <c r="F351" s="85"/>
      <c r="G351" s="85"/>
      <c r="H351" s="85"/>
      <c r="I351" s="85"/>
      <c r="J351" s="25"/>
      <c r="K351" s="3"/>
      <c r="L351" s="85"/>
      <c r="M351" s="85"/>
      <c r="N351" s="85"/>
      <c r="O351" s="85"/>
      <c r="P351" s="85"/>
      <c r="Q351" s="85"/>
      <c r="R351" s="85"/>
      <c r="S351" s="1"/>
      <c r="U351" s="1"/>
      <c r="V351" s="1"/>
      <c r="W351" s="1"/>
      <c r="X351" s="1"/>
      <c r="Y351" s="1"/>
      <c r="Z351" s="1"/>
      <c r="AA351" s="1"/>
      <c r="AB351" s="1"/>
      <c r="AD351" s="3"/>
      <c r="AM351" s="86"/>
      <c r="AN351" s="87"/>
      <c r="AO351" s="87"/>
      <c r="AP351" s="87"/>
      <c r="AQ351" s="87"/>
      <c r="AR351" s="87"/>
      <c r="AS351" s="85"/>
      <c r="AT351" s="21"/>
      <c r="AV351" s="3"/>
    </row>
    <row r="352" spans="3:48" x14ac:dyDescent="0.3">
      <c r="C352" s="85"/>
      <c r="D352" s="85"/>
      <c r="E352" s="85"/>
      <c r="F352" s="85"/>
      <c r="G352" s="85"/>
      <c r="H352" s="85"/>
      <c r="I352" s="85"/>
      <c r="J352" s="25"/>
      <c r="K352" s="3"/>
      <c r="L352" s="85"/>
      <c r="M352" s="85"/>
      <c r="N352" s="85"/>
      <c r="O352" s="85"/>
      <c r="P352" s="85"/>
      <c r="Q352" s="85"/>
      <c r="R352" s="85"/>
      <c r="S352" s="1"/>
      <c r="U352" s="1"/>
      <c r="V352" s="1"/>
      <c r="W352" s="1"/>
      <c r="X352" s="1"/>
      <c r="Y352" s="1"/>
      <c r="Z352" s="1"/>
      <c r="AA352" s="1"/>
      <c r="AB352" s="1"/>
      <c r="AD352" s="3"/>
      <c r="AM352" s="86"/>
      <c r="AN352" s="87"/>
      <c r="AO352" s="87"/>
      <c r="AP352" s="87"/>
      <c r="AQ352" s="87"/>
      <c r="AR352" s="87"/>
      <c r="AS352" s="85"/>
      <c r="AT352" s="21"/>
      <c r="AV352" s="3"/>
    </row>
    <row r="353" spans="3:48" x14ac:dyDescent="0.3">
      <c r="C353" s="85"/>
      <c r="D353" s="85"/>
      <c r="E353" s="85"/>
      <c r="F353" s="85"/>
      <c r="G353" s="85"/>
      <c r="H353" s="85"/>
      <c r="I353" s="85"/>
      <c r="J353" s="25"/>
      <c r="K353" s="3"/>
      <c r="L353" s="85"/>
      <c r="M353" s="85"/>
      <c r="N353" s="85"/>
      <c r="O353" s="85"/>
      <c r="P353" s="85"/>
      <c r="Q353" s="85"/>
      <c r="R353" s="85"/>
      <c r="S353" s="1"/>
      <c r="U353" s="1"/>
      <c r="V353" s="1"/>
      <c r="W353" s="1"/>
      <c r="X353" s="1"/>
      <c r="Y353" s="1"/>
      <c r="Z353" s="1"/>
      <c r="AA353" s="1"/>
      <c r="AB353" s="1"/>
      <c r="AD353" s="3"/>
      <c r="AM353" s="86"/>
      <c r="AN353" s="87"/>
      <c r="AO353" s="87"/>
      <c r="AP353" s="87"/>
      <c r="AQ353" s="87"/>
      <c r="AR353" s="87"/>
      <c r="AS353" s="85"/>
      <c r="AT353" s="21"/>
      <c r="AV353" s="3"/>
    </row>
    <row r="354" spans="3:48" x14ac:dyDescent="0.3">
      <c r="C354" s="85"/>
      <c r="D354" s="85"/>
      <c r="E354" s="85"/>
      <c r="F354" s="85"/>
      <c r="G354" s="85"/>
      <c r="H354" s="85"/>
      <c r="I354" s="85"/>
      <c r="J354" s="25"/>
      <c r="K354" s="3"/>
      <c r="L354" s="85"/>
      <c r="M354" s="85"/>
      <c r="N354" s="85"/>
      <c r="O354" s="85"/>
      <c r="P354" s="85"/>
      <c r="Q354" s="85"/>
      <c r="R354" s="85"/>
      <c r="S354" s="1"/>
      <c r="U354" s="1"/>
      <c r="V354" s="1"/>
      <c r="W354" s="1"/>
      <c r="X354" s="1"/>
      <c r="Y354" s="1"/>
      <c r="Z354" s="1"/>
      <c r="AA354" s="1"/>
      <c r="AB354" s="1"/>
      <c r="AD354" s="3"/>
      <c r="AM354" s="86"/>
      <c r="AN354" s="87"/>
      <c r="AO354" s="87"/>
      <c r="AP354" s="87"/>
      <c r="AQ354" s="87"/>
      <c r="AR354" s="87"/>
      <c r="AS354" s="85"/>
      <c r="AT354" s="21"/>
      <c r="AV354" s="3"/>
    </row>
    <row r="355" spans="3:48" x14ac:dyDescent="0.3">
      <c r="C355" s="85"/>
      <c r="D355" s="85"/>
      <c r="E355" s="85"/>
      <c r="F355" s="85"/>
      <c r="G355" s="85"/>
      <c r="H355" s="85"/>
      <c r="I355" s="85"/>
      <c r="J355" s="25"/>
      <c r="K355" s="3"/>
      <c r="L355" s="85"/>
      <c r="M355" s="85"/>
      <c r="N355" s="85"/>
      <c r="O355" s="85"/>
      <c r="P355" s="85"/>
      <c r="Q355" s="85"/>
      <c r="R355" s="85"/>
      <c r="S355" s="1"/>
      <c r="U355" s="1"/>
      <c r="V355" s="1"/>
      <c r="W355" s="1"/>
      <c r="X355" s="1"/>
      <c r="Y355" s="1"/>
      <c r="Z355" s="1"/>
      <c r="AA355" s="1"/>
      <c r="AB355" s="1"/>
      <c r="AD355" s="3"/>
      <c r="AM355" s="86"/>
      <c r="AN355" s="87"/>
      <c r="AO355" s="87"/>
      <c r="AP355" s="87"/>
      <c r="AQ355" s="87"/>
      <c r="AR355" s="87"/>
      <c r="AS355" s="85"/>
      <c r="AT355" s="21"/>
      <c r="AV355" s="3"/>
    </row>
    <row r="356" spans="3:48" x14ac:dyDescent="0.3">
      <c r="C356" s="85"/>
      <c r="D356" s="85"/>
      <c r="E356" s="85"/>
      <c r="F356" s="85"/>
      <c r="G356" s="85"/>
      <c r="H356" s="85"/>
      <c r="I356" s="85"/>
      <c r="J356" s="25"/>
      <c r="K356" s="3"/>
      <c r="L356" s="85"/>
      <c r="M356" s="85"/>
      <c r="N356" s="85"/>
      <c r="O356" s="85"/>
      <c r="P356" s="85"/>
      <c r="Q356" s="85"/>
      <c r="R356" s="85"/>
      <c r="S356" s="1"/>
      <c r="U356" s="1"/>
      <c r="V356" s="1"/>
      <c r="W356" s="1"/>
      <c r="X356" s="1"/>
      <c r="Y356" s="1"/>
      <c r="Z356" s="1"/>
      <c r="AA356" s="1"/>
      <c r="AB356" s="1"/>
      <c r="AD356" s="3"/>
      <c r="AM356" s="86"/>
      <c r="AN356" s="87"/>
      <c r="AO356" s="87"/>
      <c r="AP356" s="87"/>
      <c r="AQ356" s="87"/>
      <c r="AR356" s="87"/>
      <c r="AS356" s="85"/>
      <c r="AT356" s="21"/>
      <c r="AV356" s="3"/>
    </row>
    <row r="357" spans="3:48" x14ac:dyDescent="0.3">
      <c r="C357" s="85"/>
      <c r="D357" s="85"/>
      <c r="E357" s="85"/>
      <c r="F357" s="85"/>
      <c r="G357" s="85"/>
      <c r="H357" s="85"/>
      <c r="I357" s="85"/>
      <c r="J357" s="25"/>
      <c r="K357" s="3"/>
      <c r="L357" s="85"/>
      <c r="M357" s="85"/>
      <c r="N357" s="85"/>
      <c r="O357" s="85"/>
      <c r="P357" s="85"/>
      <c r="Q357" s="85"/>
      <c r="R357" s="85"/>
      <c r="S357" s="1"/>
      <c r="U357" s="1"/>
      <c r="V357" s="1"/>
      <c r="W357" s="1"/>
      <c r="X357" s="1"/>
      <c r="Y357" s="1"/>
      <c r="Z357" s="1"/>
      <c r="AA357" s="1"/>
      <c r="AB357" s="1"/>
      <c r="AD357" s="3"/>
      <c r="AM357" s="86"/>
      <c r="AN357" s="87"/>
      <c r="AO357" s="87"/>
      <c r="AP357" s="87"/>
      <c r="AQ357" s="87"/>
      <c r="AR357" s="87"/>
      <c r="AS357" s="85"/>
      <c r="AT357" s="21"/>
      <c r="AV357" s="3"/>
    </row>
    <row r="358" spans="3:48" x14ac:dyDescent="0.3">
      <c r="C358" s="85"/>
      <c r="D358" s="85"/>
      <c r="E358" s="85"/>
      <c r="F358" s="85"/>
      <c r="G358" s="85"/>
      <c r="H358" s="85"/>
      <c r="I358" s="85"/>
      <c r="J358" s="25"/>
      <c r="K358" s="3"/>
      <c r="L358" s="85"/>
      <c r="M358" s="85"/>
      <c r="N358" s="85"/>
      <c r="O358" s="85"/>
      <c r="P358" s="85"/>
      <c r="Q358" s="85"/>
      <c r="R358" s="85"/>
      <c r="S358" s="1"/>
      <c r="U358" s="1"/>
      <c r="V358" s="1"/>
      <c r="W358" s="1"/>
      <c r="X358" s="1"/>
      <c r="Y358" s="1"/>
      <c r="Z358" s="1"/>
      <c r="AA358" s="1"/>
      <c r="AB358" s="1"/>
      <c r="AD358" s="3"/>
      <c r="AM358" s="86"/>
      <c r="AN358" s="87"/>
      <c r="AO358" s="87"/>
      <c r="AP358" s="87"/>
      <c r="AQ358" s="87"/>
      <c r="AR358" s="87"/>
      <c r="AS358" s="85"/>
      <c r="AT358" s="21"/>
      <c r="AV358" s="3"/>
    </row>
    <row r="359" spans="3:48" x14ac:dyDescent="0.3">
      <c r="C359" s="85"/>
      <c r="D359" s="85"/>
      <c r="E359" s="85"/>
      <c r="F359" s="85"/>
      <c r="G359" s="85"/>
      <c r="H359" s="85"/>
      <c r="I359" s="85"/>
      <c r="J359" s="25"/>
      <c r="K359" s="3"/>
      <c r="L359" s="85"/>
      <c r="M359" s="85"/>
      <c r="N359" s="85"/>
      <c r="O359" s="85"/>
      <c r="P359" s="85"/>
      <c r="Q359" s="85"/>
      <c r="R359" s="85"/>
      <c r="S359" s="1"/>
      <c r="U359" s="1"/>
      <c r="V359" s="1"/>
      <c r="W359" s="1"/>
      <c r="X359" s="1"/>
      <c r="Y359" s="1"/>
      <c r="Z359" s="1"/>
      <c r="AA359" s="1"/>
      <c r="AB359" s="1"/>
      <c r="AD359" s="3"/>
      <c r="AM359" s="86"/>
      <c r="AN359" s="87"/>
      <c r="AO359" s="87"/>
      <c r="AP359" s="87"/>
      <c r="AQ359" s="87"/>
      <c r="AR359" s="87"/>
      <c r="AS359" s="85"/>
      <c r="AT359" s="21"/>
      <c r="AV359" s="3"/>
    </row>
    <row r="360" spans="3:48" x14ac:dyDescent="0.3">
      <c r="C360" s="85"/>
      <c r="D360" s="85"/>
      <c r="E360" s="85"/>
      <c r="F360" s="85"/>
      <c r="G360" s="85"/>
      <c r="H360" s="85"/>
      <c r="I360" s="85"/>
      <c r="J360" s="25"/>
      <c r="K360" s="3"/>
      <c r="L360" s="85"/>
      <c r="M360" s="85"/>
      <c r="N360" s="85"/>
      <c r="O360" s="85"/>
      <c r="P360" s="85"/>
      <c r="Q360" s="85"/>
      <c r="R360" s="85"/>
      <c r="S360" s="1"/>
      <c r="U360" s="1"/>
      <c r="V360" s="1"/>
      <c r="W360" s="1"/>
      <c r="X360" s="1"/>
      <c r="Y360" s="1"/>
      <c r="Z360" s="1"/>
      <c r="AA360" s="1"/>
      <c r="AB360" s="1"/>
      <c r="AD360" s="3"/>
      <c r="AM360" s="86"/>
      <c r="AN360" s="87"/>
      <c r="AO360" s="87"/>
      <c r="AP360" s="87"/>
      <c r="AQ360" s="87"/>
      <c r="AR360" s="87"/>
      <c r="AS360" s="85"/>
      <c r="AT360" s="21"/>
      <c r="AV360" s="3"/>
    </row>
    <row r="361" spans="3:48" x14ac:dyDescent="0.3">
      <c r="C361" s="85"/>
      <c r="D361" s="85"/>
      <c r="E361" s="85"/>
      <c r="F361" s="85"/>
      <c r="G361" s="85"/>
      <c r="H361" s="85"/>
      <c r="I361" s="85"/>
      <c r="J361" s="25"/>
      <c r="K361" s="3"/>
      <c r="L361" s="85"/>
      <c r="M361" s="85"/>
      <c r="N361" s="85"/>
      <c r="O361" s="85"/>
      <c r="P361" s="85"/>
      <c r="Q361" s="85"/>
      <c r="R361" s="85"/>
      <c r="S361" s="1"/>
      <c r="U361" s="1"/>
      <c r="V361" s="1"/>
      <c r="W361" s="1"/>
      <c r="X361" s="1"/>
      <c r="Y361" s="1"/>
      <c r="Z361" s="1"/>
      <c r="AA361" s="1"/>
      <c r="AB361" s="1"/>
      <c r="AD361" s="3"/>
      <c r="AM361" s="86"/>
      <c r="AN361" s="87"/>
      <c r="AO361" s="87"/>
      <c r="AP361" s="87"/>
      <c r="AQ361" s="87"/>
      <c r="AR361" s="87"/>
      <c r="AS361" s="85"/>
      <c r="AT361" s="21"/>
      <c r="AV361" s="3"/>
    </row>
    <row r="362" spans="3:48" x14ac:dyDescent="0.3">
      <c r="C362" s="85"/>
      <c r="D362" s="85"/>
      <c r="E362" s="85"/>
      <c r="F362" s="85"/>
      <c r="G362" s="85"/>
      <c r="H362" s="85"/>
      <c r="I362" s="85"/>
      <c r="J362" s="25"/>
      <c r="K362" s="3"/>
      <c r="L362" s="85"/>
      <c r="M362" s="85"/>
      <c r="N362" s="85"/>
      <c r="O362" s="85"/>
      <c r="P362" s="85"/>
      <c r="Q362" s="85"/>
      <c r="R362" s="85"/>
      <c r="S362" s="1"/>
      <c r="U362" s="1"/>
      <c r="V362" s="1"/>
      <c r="W362" s="1"/>
      <c r="X362" s="1"/>
      <c r="Y362" s="1"/>
      <c r="Z362" s="1"/>
      <c r="AA362" s="1"/>
      <c r="AB362" s="1"/>
      <c r="AD362" s="3"/>
      <c r="AM362" s="86"/>
      <c r="AN362" s="87"/>
      <c r="AO362" s="87"/>
      <c r="AP362" s="87"/>
      <c r="AQ362" s="87"/>
      <c r="AR362" s="87"/>
      <c r="AS362" s="85"/>
      <c r="AT362" s="21"/>
      <c r="AV362" s="3"/>
    </row>
    <row r="363" spans="3:48" x14ac:dyDescent="0.3">
      <c r="C363" s="85"/>
      <c r="D363" s="85"/>
      <c r="E363" s="85"/>
      <c r="F363" s="85"/>
      <c r="G363" s="85"/>
      <c r="H363" s="85"/>
      <c r="I363" s="85"/>
      <c r="J363" s="25"/>
      <c r="K363" s="3"/>
      <c r="L363" s="85"/>
      <c r="M363" s="85"/>
      <c r="N363" s="85"/>
      <c r="O363" s="85"/>
      <c r="P363" s="85"/>
      <c r="Q363" s="85"/>
      <c r="R363" s="85"/>
      <c r="S363" s="1"/>
      <c r="U363" s="1"/>
      <c r="V363" s="1"/>
      <c r="W363" s="1"/>
      <c r="X363" s="1"/>
      <c r="Y363" s="1"/>
      <c r="Z363" s="1"/>
      <c r="AA363" s="1"/>
      <c r="AB363" s="1"/>
      <c r="AD363" s="3"/>
      <c r="AM363" s="86"/>
      <c r="AN363" s="87"/>
      <c r="AO363" s="87"/>
      <c r="AP363" s="87"/>
      <c r="AQ363" s="87"/>
      <c r="AR363" s="87"/>
      <c r="AS363" s="85"/>
      <c r="AT363" s="21"/>
      <c r="AV363" s="3"/>
    </row>
    <row r="364" spans="3:48" x14ac:dyDescent="0.3">
      <c r="C364" s="85"/>
      <c r="D364" s="85"/>
      <c r="E364" s="85"/>
      <c r="F364" s="85"/>
      <c r="G364" s="85"/>
      <c r="H364" s="85"/>
      <c r="I364" s="85"/>
      <c r="J364" s="25"/>
      <c r="K364" s="3"/>
      <c r="L364" s="85"/>
      <c r="M364" s="85"/>
      <c r="N364" s="85"/>
      <c r="O364" s="85"/>
      <c r="P364" s="85"/>
      <c r="Q364" s="85"/>
      <c r="R364" s="85"/>
      <c r="S364" s="1"/>
      <c r="U364" s="1"/>
      <c r="V364" s="1"/>
      <c r="W364" s="1"/>
      <c r="X364" s="1"/>
      <c r="Y364" s="1"/>
      <c r="Z364" s="1"/>
      <c r="AA364" s="1"/>
      <c r="AB364" s="1"/>
      <c r="AD364" s="3"/>
      <c r="AM364" s="86"/>
      <c r="AN364" s="87"/>
      <c r="AO364" s="87"/>
      <c r="AP364" s="87"/>
      <c r="AQ364" s="87"/>
      <c r="AR364" s="87"/>
      <c r="AS364" s="85"/>
      <c r="AT364" s="21"/>
      <c r="AV364" s="3"/>
    </row>
    <row r="365" spans="3:48" x14ac:dyDescent="0.3">
      <c r="C365" s="85"/>
      <c r="D365" s="85"/>
      <c r="E365" s="85"/>
      <c r="F365" s="85"/>
      <c r="G365" s="85"/>
      <c r="H365" s="85"/>
      <c r="I365" s="85"/>
      <c r="J365" s="25"/>
      <c r="K365" s="3"/>
      <c r="L365" s="85"/>
      <c r="M365" s="85"/>
      <c r="N365" s="85"/>
      <c r="O365" s="85"/>
      <c r="P365" s="85"/>
      <c r="Q365" s="85"/>
      <c r="R365" s="85"/>
      <c r="S365" s="1"/>
      <c r="U365" s="1"/>
      <c r="V365" s="1"/>
      <c r="W365" s="1"/>
      <c r="X365" s="1"/>
      <c r="Y365" s="1"/>
      <c r="Z365" s="1"/>
      <c r="AA365" s="1"/>
      <c r="AB365" s="1"/>
      <c r="AD365" s="3"/>
      <c r="AM365" s="86"/>
      <c r="AN365" s="87"/>
      <c r="AO365" s="87"/>
      <c r="AP365" s="87"/>
      <c r="AQ365" s="87"/>
      <c r="AR365" s="87"/>
      <c r="AS365" s="85"/>
      <c r="AT365" s="21"/>
      <c r="AV365" s="3"/>
    </row>
    <row r="366" spans="3:48" x14ac:dyDescent="0.3">
      <c r="C366" s="85"/>
      <c r="D366" s="85"/>
      <c r="E366" s="85"/>
      <c r="F366" s="85"/>
      <c r="G366" s="85"/>
      <c r="H366" s="85"/>
      <c r="I366" s="85"/>
      <c r="J366" s="25"/>
      <c r="K366" s="3"/>
      <c r="L366" s="85"/>
      <c r="M366" s="85"/>
      <c r="N366" s="85"/>
      <c r="O366" s="85"/>
      <c r="P366" s="85"/>
      <c r="Q366" s="85"/>
      <c r="R366" s="85"/>
      <c r="S366" s="1"/>
      <c r="U366" s="1"/>
      <c r="V366" s="1"/>
      <c r="W366" s="1"/>
      <c r="X366" s="1"/>
      <c r="Y366" s="1"/>
      <c r="Z366" s="1"/>
      <c r="AA366" s="1"/>
      <c r="AB366" s="1"/>
      <c r="AD366" s="3"/>
      <c r="AM366" s="86"/>
      <c r="AN366" s="87"/>
      <c r="AO366" s="87"/>
      <c r="AP366" s="87"/>
      <c r="AQ366" s="87"/>
      <c r="AR366" s="87"/>
      <c r="AS366" s="85"/>
      <c r="AT366" s="21"/>
      <c r="AV366" s="3"/>
    </row>
    <row r="367" spans="3:48" x14ac:dyDescent="0.3">
      <c r="C367" s="85"/>
      <c r="D367" s="85"/>
      <c r="E367" s="85"/>
      <c r="F367" s="85"/>
      <c r="G367" s="85"/>
      <c r="H367" s="85"/>
      <c r="I367" s="85"/>
      <c r="J367" s="25"/>
      <c r="K367" s="3"/>
      <c r="L367" s="85"/>
      <c r="M367" s="85"/>
      <c r="N367" s="85"/>
      <c r="O367" s="85"/>
      <c r="P367" s="85"/>
      <c r="Q367" s="85"/>
      <c r="R367" s="85"/>
      <c r="S367" s="1"/>
      <c r="U367" s="1"/>
      <c r="V367" s="1"/>
      <c r="W367" s="1"/>
      <c r="X367" s="1"/>
      <c r="Y367" s="1"/>
      <c r="Z367" s="1"/>
      <c r="AA367" s="1"/>
      <c r="AB367" s="1"/>
      <c r="AD367" s="3"/>
      <c r="AM367" s="86"/>
      <c r="AN367" s="87"/>
      <c r="AO367" s="87"/>
      <c r="AP367" s="87"/>
      <c r="AQ367" s="87"/>
      <c r="AR367" s="87"/>
      <c r="AS367" s="85"/>
      <c r="AT367" s="21"/>
      <c r="AV367" s="3"/>
    </row>
    <row r="368" spans="3:48" x14ac:dyDescent="0.3">
      <c r="C368" s="85"/>
      <c r="D368" s="85"/>
      <c r="E368" s="85"/>
      <c r="F368" s="85"/>
      <c r="G368" s="85"/>
      <c r="H368" s="85"/>
      <c r="I368" s="85"/>
      <c r="J368" s="25"/>
      <c r="K368" s="3"/>
      <c r="L368" s="85"/>
      <c r="M368" s="85"/>
      <c r="N368" s="85"/>
      <c r="O368" s="85"/>
      <c r="P368" s="85"/>
      <c r="Q368" s="85"/>
      <c r="R368" s="85"/>
      <c r="S368" s="1"/>
      <c r="U368" s="1"/>
      <c r="V368" s="1"/>
      <c r="W368" s="1"/>
      <c r="X368" s="1"/>
      <c r="Y368" s="1"/>
      <c r="Z368" s="1"/>
      <c r="AA368" s="1"/>
      <c r="AB368" s="1"/>
      <c r="AD368" s="3"/>
      <c r="AM368" s="86"/>
      <c r="AN368" s="87"/>
      <c r="AO368" s="87"/>
      <c r="AP368" s="87"/>
      <c r="AQ368" s="87"/>
      <c r="AR368" s="87"/>
      <c r="AS368" s="85"/>
      <c r="AT368" s="21"/>
      <c r="AV368" s="3"/>
    </row>
    <row r="369" spans="3:48" x14ac:dyDescent="0.3">
      <c r="C369" s="85"/>
      <c r="D369" s="85"/>
      <c r="E369" s="85"/>
      <c r="F369" s="85"/>
      <c r="G369" s="85"/>
      <c r="H369" s="85"/>
      <c r="I369" s="85"/>
      <c r="J369" s="25"/>
      <c r="K369" s="3"/>
      <c r="L369" s="85"/>
      <c r="M369" s="85"/>
      <c r="N369" s="85"/>
      <c r="O369" s="85"/>
      <c r="P369" s="85"/>
      <c r="Q369" s="85"/>
      <c r="R369" s="85"/>
      <c r="S369" s="1"/>
      <c r="U369" s="1"/>
      <c r="V369" s="1"/>
      <c r="W369" s="1"/>
      <c r="X369" s="1"/>
      <c r="Y369" s="1"/>
      <c r="Z369" s="1"/>
      <c r="AA369" s="1"/>
      <c r="AB369" s="1"/>
      <c r="AD369" s="3"/>
      <c r="AM369" s="86"/>
      <c r="AN369" s="87"/>
      <c r="AO369" s="87"/>
      <c r="AP369" s="87"/>
      <c r="AQ369" s="87"/>
      <c r="AR369" s="87"/>
      <c r="AS369" s="85"/>
      <c r="AT369" s="21"/>
      <c r="AV369" s="3"/>
    </row>
    <row r="370" spans="3:48" x14ac:dyDescent="0.3">
      <c r="C370" s="85"/>
      <c r="D370" s="85"/>
      <c r="E370" s="85"/>
      <c r="F370" s="85"/>
      <c r="G370" s="85"/>
      <c r="H370" s="85"/>
      <c r="I370" s="85"/>
      <c r="J370" s="25"/>
      <c r="K370" s="3"/>
      <c r="L370" s="85"/>
      <c r="M370" s="85"/>
      <c r="N370" s="85"/>
      <c r="O370" s="85"/>
      <c r="P370" s="85"/>
      <c r="Q370" s="85"/>
      <c r="R370" s="85"/>
      <c r="S370" s="1"/>
      <c r="U370" s="1"/>
      <c r="V370" s="1"/>
      <c r="W370" s="1"/>
      <c r="X370" s="1"/>
      <c r="Y370" s="1"/>
      <c r="Z370" s="1"/>
      <c r="AA370" s="1"/>
      <c r="AB370" s="1"/>
      <c r="AD370" s="3"/>
      <c r="AM370" s="86"/>
      <c r="AN370" s="87"/>
      <c r="AO370" s="87"/>
      <c r="AP370" s="87"/>
      <c r="AQ370" s="87"/>
      <c r="AR370" s="87"/>
      <c r="AS370" s="85"/>
      <c r="AT370" s="21"/>
      <c r="AV370" s="3"/>
    </row>
    <row r="371" spans="3:48" x14ac:dyDescent="0.3">
      <c r="C371" s="85"/>
      <c r="D371" s="85"/>
      <c r="E371" s="85"/>
      <c r="F371" s="85"/>
      <c r="G371" s="85"/>
      <c r="H371" s="85"/>
      <c r="I371" s="85"/>
      <c r="J371" s="25"/>
      <c r="K371" s="3"/>
      <c r="L371" s="85"/>
      <c r="M371" s="85"/>
      <c r="N371" s="85"/>
      <c r="O371" s="85"/>
      <c r="P371" s="85"/>
      <c r="Q371" s="85"/>
      <c r="R371" s="85"/>
      <c r="S371" s="1"/>
      <c r="U371" s="1"/>
      <c r="V371" s="1"/>
      <c r="W371" s="1"/>
      <c r="X371" s="1"/>
      <c r="Y371" s="1"/>
      <c r="Z371" s="1"/>
      <c r="AA371" s="1"/>
      <c r="AB371" s="1"/>
      <c r="AD371" s="3"/>
      <c r="AM371" s="86"/>
      <c r="AN371" s="87"/>
      <c r="AO371" s="87"/>
      <c r="AP371" s="87"/>
      <c r="AQ371" s="87"/>
      <c r="AR371" s="87"/>
      <c r="AS371" s="85"/>
      <c r="AT371" s="21"/>
      <c r="AV371" s="3"/>
    </row>
    <row r="372" spans="3:48" x14ac:dyDescent="0.3">
      <c r="C372" s="85"/>
      <c r="D372" s="85"/>
      <c r="E372" s="85"/>
      <c r="F372" s="85"/>
      <c r="G372" s="85"/>
      <c r="H372" s="85"/>
      <c r="I372" s="85"/>
      <c r="J372" s="25"/>
      <c r="K372" s="3"/>
      <c r="L372" s="85"/>
      <c r="M372" s="85"/>
      <c r="N372" s="85"/>
      <c r="O372" s="85"/>
      <c r="P372" s="85"/>
      <c r="Q372" s="85"/>
      <c r="R372" s="85"/>
      <c r="S372" s="1"/>
      <c r="U372" s="1"/>
      <c r="V372" s="1"/>
      <c r="W372" s="1"/>
      <c r="X372" s="1"/>
      <c r="Y372" s="1"/>
      <c r="Z372" s="1"/>
      <c r="AA372" s="1"/>
      <c r="AB372" s="1"/>
      <c r="AD372" s="3"/>
      <c r="AM372" s="86"/>
      <c r="AN372" s="87"/>
      <c r="AO372" s="87"/>
      <c r="AP372" s="87"/>
      <c r="AQ372" s="87"/>
      <c r="AR372" s="87"/>
      <c r="AS372" s="85"/>
      <c r="AT372" s="21"/>
      <c r="AV372" s="3"/>
    </row>
    <row r="373" spans="3:48" x14ac:dyDescent="0.3">
      <c r="C373" s="85"/>
      <c r="D373" s="85"/>
      <c r="E373" s="85"/>
      <c r="F373" s="85"/>
      <c r="G373" s="85"/>
      <c r="H373" s="85"/>
      <c r="I373" s="85"/>
      <c r="J373" s="25"/>
      <c r="K373" s="3"/>
      <c r="L373" s="85"/>
      <c r="M373" s="85"/>
      <c r="N373" s="85"/>
      <c r="O373" s="85"/>
      <c r="P373" s="85"/>
      <c r="Q373" s="85"/>
      <c r="R373" s="85"/>
      <c r="S373" s="1"/>
      <c r="U373" s="1"/>
      <c r="V373" s="1"/>
      <c r="W373" s="1"/>
      <c r="X373" s="1"/>
      <c r="Y373" s="1"/>
      <c r="Z373" s="1"/>
      <c r="AA373" s="1"/>
      <c r="AB373" s="1"/>
      <c r="AD373" s="3"/>
      <c r="AM373" s="86"/>
      <c r="AN373" s="87"/>
      <c r="AO373" s="87"/>
      <c r="AP373" s="87"/>
      <c r="AQ373" s="87"/>
      <c r="AR373" s="87"/>
      <c r="AS373" s="85"/>
      <c r="AT373" s="21"/>
      <c r="AV373" s="3"/>
    </row>
    <row r="374" spans="3:48" x14ac:dyDescent="0.3">
      <c r="C374" s="85"/>
      <c r="D374" s="85"/>
      <c r="E374" s="85"/>
      <c r="F374" s="85"/>
      <c r="G374" s="85"/>
      <c r="H374" s="85"/>
      <c r="I374" s="85"/>
      <c r="J374" s="25"/>
      <c r="K374" s="3"/>
      <c r="L374" s="85"/>
      <c r="M374" s="85"/>
      <c r="N374" s="85"/>
      <c r="O374" s="85"/>
      <c r="P374" s="85"/>
      <c r="Q374" s="85"/>
      <c r="R374" s="85"/>
      <c r="S374" s="1"/>
      <c r="U374" s="1"/>
      <c r="V374" s="1"/>
      <c r="W374" s="1"/>
      <c r="X374" s="1"/>
      <c r="Y374" s="1"/>
      <c r="Z374" s="1"/>
      <c r="AA374" s="1"/>
      <c r="AB374" s="1"/>
      <c r="AD374" s="3"/>
      <c r="AM374" s="86"/>
      <c r="AN374" s="87"/>
      <c r="AO374" s="87"/>
      <c r="AP374" s="87"/>
      <c r="AQ374" s="87"/>
      <c r="AR374" s="87"/>
      <c r="AS374" s="85"/>
      <c r="AT374" s="21"/>
      <c r="AV374" s="3"/>
    </row>
    <row r="375" spans="3:48" x14ac:dyDescent="0.3">
      <c r="C375" s="85"/>
      <c r="D375" s="85"/>
      <c r="E375" s="85"/>
      <c r="F375" s="85"/>
      <c r="G375" s="85"/>
      <c r="H375" s="85"/>
      <c r="I375" s="85"/>
      <c r="J375" s="25"/>
      <c r="K375" s="3"/>
      <c r="L375" s="85"/>
      <c r="M375" s="85"/>
      <c r="N375" s="85"/>
      <c r="O375" s="85"/>
      <c r="P375" s="85"/>
      <c r="Q375" s="85"/>
      <c r="R375" s="85"/>
      <c r="S375" s="1"/>
      <c r="U375" s="1"/>
      <c r="V375" s="1"/>
      <c r="W375" s="1"/>
      <c r="X375" s="1"/>
      <c r="Y375" s="1"/>
      <c r="Z375" s="1"/>
      <c r="AA375" s="1"/>
      <c r="AB375" s="1"/>
      <c r="AD375" s="3"/>
      <c r="AM375" s="86"/>
      <c r="AN375" s="87"/>
      <c r="AO375" s="87"/>
      <c r="AP375" s="87"/>
      <c r="AQ375" s="87"/>
      <c r="AR375" s="87"/>
      <c r="AS375" s="85"/>
      <c r="AT375" s="21"/>
      <c r="AV375" s="3"/>
    </row>
    <row r="376" spans="3:48" x14ac:dyDescent="0.3">
      <c r="C376" s="85"/>
      <c r="D376" s="85"/>
      <c r="E376" s="85"/>
      <c r="F376" s="85"/>
      <c r="G376" s="85"/>
      <c r="H376" s="85"/>
      <c r="I376" s="85"/>
      <c r="J376" s="25"/>
      <c r="K376" s="3"/>
      <c r="L376" s="85"/>
      <c r="M376" s="85"/>
      <c r="N376" s="85"/>
      <c r="O376" s="85"/>
      <c r="P376" s="85"/>
      <c r="Q376" s="85"/>
      <c r="R376" s="85"/>
      <c r="S376" s="1"/>
      <c r="U376" s="1"/>
      <c r="V376" s="1"/>
      <c r="W376" s="1"/>
      <c r="X376" s="1"/>
      <c r="Y376" s="1"/>
      <c r="Z376" s="1"/>
      <c r="AA376" s="1"/>
      <c r="AB376" s="1"/>
      <c r="AD376" s="3"/>
      <c r="AM376" s="86"/>
      <c r="AN376" s="87"/>
      <c r="AO376" s="87"/>
      <c r="AP376" s="87"/>
      <c r="AQ376" s="87"/>
      <c r="AR376" s="87"/>
      <c r="AS376" s="85"/>
      <c r="AT376" s="21"/>
      <c r="AV376" s="3"/>
    </row>
    <row r="377" spans="3:48" x14ac:dyDescent="0.3">
      <c r="C377" s="85"/>
      <c r="D377" s="85"/>
      <c r="E377" s="85"/>
      <c r="F377" s="85"/>
      <c r="G377" s="85"/>
      <c r="H377" s="85"/>
      <c r="I377" s="85"/>
      <c r="J377" s="25"/>
      <c r="K377" s="3"/>
      <c r="L377" s="85"/>
      <c r="M377" s="85"/>
      <c r="N377" s="85"/>
      <c r="O377" s="85"/>
      <c r="P377" s="85"/>
      <c r="Q377" s="85"/>
      <c r="R377" s="85"/>
      <c r="S377" s="1"/>
      <c r="U377" s="1"/>
      <c r="V377" s="1"/>
      <c r="W377" s="1"/>
      <c r="X377" s="1"/>
      <c r="Y377" s="1"/>
      <c r="Z377" s="1"/>
      <c r="AA377" s="1"/>
      <c r="AB377" s="1"/>
      <c r="AD377" s="3"/>
      <c r="AM377" s="86"/>
      <c r="AN377" s="87"/>
      <c r="AO377" s="87"/>
      <c r="AP377" s="87"/>
      <c r="AQ377" s="87"/>
      <c r="AR377" s="87"/>
      <c r="AS377" s="85"/>
      <c r="AT377" s="21"/>
      <c r="AV377" s="3"/>
    </row>
    <row r="378" spans="3:48" x14ac:dyDescent="0.3">
      <c r="C378" s="85"/>
      <c r="D378" s="85"/>
      <c r="E378" s="85"/>
      <c r="F378" s="85"/>
      <c r="G378" s="85"/>
      <c r="H378" s="85"/>
      <c r="I378" s="85"/>
      <c r="J378" s="25"/>
      <c r="K378" s="3"/>
      <c r="L378" s="85"/>
      <c r="M378" s="85"/>
      <c r="N378" s="85"/>
      <c r="O378" s="85"/>
      <c r="P378" s="85"/>
      <c r="Q378" s="85"/>
      <c r="R378" s="85"/>
      <c r="S378" s="1"/>
      <c r="U378" s="1"/>
      <c r="V378" s="1"/>
      <c r="W378" s="1"/>
      <c r="X378" s="1"/>
      <c r="Y378" s="1"/>
      <c r="Z378" s="1"/>
      <c r="AA378" s="1"/>
      <c r="AB378" s="1"/>
      <c r="AD378" s="3"/>
      <c r="AM378" s="86"/>
      <c r="AN378" s="87"/>
      <c r="AO378" s="87"/>
      <c r="AP378" s="87"/>
      <c r="AQ378" s="87"/>
      <c r="AR378" s="87"/>
      <c r="AS378" s="85"/>
      <c r="AT378" s="21"/>
      <c r="AV378" s="3"/>
    </row>
    <row r="379" spans="3:48" x14ac:dyDescent="0.3">
      <c r="C379" s="85"/>
      <c r="D379" s="85"/>
      <c r="E379" s="85"/>
      <c r="F379" s="85"/>
      <c r="G379" s="85"/>
      <c r="H379" s="85"/>
      <c r="I379" s="85"/>
      <c r="J379" s="25"/>
      <c r="K379" s="3"/>
      <c r="L379" s="85"/>
      <c r="M379" s="85"/>
      <c r="N379" s="85"/>
      <c r="O379" s="85"/>
      <c r="P379" s="85"/>
      <c r="Q379" s="85"/>
      <c r="R379" s="85"/>
      <c r="S379" s="1"/>
      <c r="U379" s="1"/>
      <c r="V379" s="1"/>
      <c r="W379" s="1"/>
      <c r="X379" s="1"/>
      <c r="Y379" s="1"/>
      <c r="Z379" s="1"/>
      <c r="AA379" s="1"/>
      <c r="AB379" s="1"/>
      <c r="AD379" s="3"/>
      <c r="AM379" s="86"/>
      <c r="AN379" s="87"/>
      <c r="AO379" s="87"/>
      <c r="AP379" s="87"/>
      <c r="AQ379" s="87"/>
      <c r="AR379" s="87"/>
      <c r="AS379" s="85"/>
      <c r="AT379" s="21"/>
      <c r="AV379" s="3"/>
    </row>
    <row r="380" spans="3:48" x14ac:dyDescent="0.3">
      <c r="C380" s="85"/>
      <c r="D380" s="85"/>
      <c r="E380" s="85"/>
      <c r="F380" s="85"/>
      <c r="G380" s="85"/>
      <c r="H380" s="85"/>
      <c r="I380" s="85"/>
      <c r="J380" s="25"/>
      <c r="K380" s="3"/>
      <c r="L380" s="85"/>
      <c r="M380" s="85"/>
      <c r="N380" s="85"/>
      <c r="O380" s="85"/>
      <c r="P380" s="85"/>
      <c r="Q380" s="85"/>
      <c r="R380" s="85"/>
      <c r="S380" s="1"/>
      <c r="U380" s="1"/>
      <c r="V380" s="1"/>
      <c r="W380" s="1"/>
      <c r="X380" s="1"/>
      <c r="Y380" s="1"/>
      <c r="Z380" s="1"/>
      <c r="AA380" s="1"/>
      <c r="AB380" s="1"/>
      <c r="AD380" s="3"/>
      <c r="AM380" s="86"/>
      <c r="AN380" s="87"/>
      <c r="AO380" s="87"/>
      <c r="AP380" s="87"/>
      <c r="AQ380" s="87"/>
      <c r="AR380" s="87"/>
      <c r="AS380" s="85"/>
      <c r="AT380" s="21"/>
      <c r="AV380" s="3"/>
    </row>
    <row r="381" spans="3:48" x14ac:dyDescent="0.3">
      <c r="C381" s="85"/>
      <c r="D381" s="85"/>
      <c r="E381" s="85"/>
      <c r="F381" s="85"/>
      <c r="G381" s="85"/>
      <c r="H381" s="85"/>
      <c r="I381" s="85"/>
      <c r="J381" s="25"/>
      <c r="K381" s="3"/>
      <c r="L381" s="85"/>
      <c r="M381" s="85"/>
      <c r="N381" s="85"/>
      <c r="O381" s="85"/>
      <c r="P381" s="85"/>
      <c r="Q381" s="85"/>
      <c r="R381" s="85"/>
      <c r="S381" s="1"/>
      <c r="U381" s="1"/>
      <c r="V381" s="1"/>
      <c r="W381" s="1"/>
      <c r="X381" s="1"/>
      <c r="Y381" s="1"/>
      <c r="Z381" s="1"/>
      <c r="AA381" s="1"/>
      <c r="AB381" s="1"/>
      <c r="AD381" s="3"/>
      <c r="AM381" s="86"/>
      <c r="AN381" s="87"/>
      <c r="AO381" s="87"/>
      <c r="AP381" s="87"/>
      <c r="AQ381" s="87"/>
      <c r="AR381" s="87"/>
      <c r="AS381" s="85"/>
      <c r="AT381" s="21"/>
      <c r="AV381" s="3"/>
    </row>
    <row r="382" spans="3:48" x14ac:dyDescent="0.3">
      <c r="C382" s="85"/>
      <c r="D382" s="85"/>
      <c r="E382" s="85"/>
      <c r="F382" s="85"/>
      <c r="G382" s="85"/>
      <c r="H382" s="85"/>
      <c r="I382" s="85"/>
      <c r="J382" s="25"/>
      <c r="K382" s="3"/>
      <c r="L382" s="85"/>
      <c r="M382" s="85"/>
      <c r="N382" s="85"/>
      <c r="O382" s="85"/>
      <c r="P382" s="85"/>
      <c r="Q382" s="85"/>
      <c r="R382" s="85"/>
      <c r="S382" s="1"/>
      <c r="U382" s="1"/>
      <c r="V382" s="1"/>
      <c r="W382" s="1"/>
      <c r="X382" s="1"/>
      <c r="Y382" s="1"/>
      <c r="Z382" s="1"/>
      <c r="AA382" s="1"/>
      <c r="AB382" s="1"/>
      <c r="AD382" s="3"/>
      <c r="AM382" s="86"/>
      <c r="AN382" s="87"/>
      <c r="AO382" s="87"/>
      <c r="AP382" s="87"/>
      <c r="AQ382" s="87"/>
      <c r="AR382" s="87"/>
      <c r="AS382" s="85"/>
      <c r="AT382" s="21"/>
      <c r="AV382" s="3"/>
    </row>
    <row r="383" spans="3:48" x14ac:dyDescent="0.3">
      <c r="C383" s="85"/>
      <c r="D383" s="85"/>
      <c r="E383" s="85"/>
      <c r="F383" s="85"/>
      <c r="G383" s="85"/>
      <c r="H383" s="85"/>
      <c r="I383" s="85"/>
      <c r="J383" s="25"/>
      <c r="K383" s="3"/>
      <c r="L383" s="85"/>
      <c r="M383" s="85"/>
      <c r="N383" s="85"/>
      <c r="O383" s="85"/>
      <c r="P383" s="85"/>
      <c r="Q383" s="85"/>
      <c r="R383" s="85"/>
      <c r="S383" s="1"/>
      <c r="U383" s="1"/>
      <c r="V383" s="1"/>
      <c r="W383" s="1"/>
      <c r="X383" s="1"/>
      <c r="Y383" s="1"/>
      <c r="Z383" s="1"/>
      <c r="AA383" s="1"/>
      <c r="AB383" s="1"/>
      <c r="AD383" s="3"/>
      <c r="AM383" s="86"/>
      <c r="AN383" s="87"/>
      <c r="AO383" s="87"/>
      <c r="AP383" s="87"/>
      <c r="AQ383" s="87"/>
      <c r="AR383" s="87"/>
      <c r="AS383" s="85"/>
      <c r="AT383" s="21"/>
      <c r="AV383" s="3"/>
    </row>
    <row r="384" spans="3:48" x14ac:dyDescent="0.3">
      <c r="C384" s="85"/>
      <c r="D384" s="85"/>
      <c r="E384" s="85"/>
      <c r="F384" s="85"/>
      <c r="G384" s="85"/>
      <c r="H384" s="85"/>
      <c r="I384" s="85"/>
      <c r="J384" s="25"/>
      <c r="K384" s="3"/>
      <c r="L384" s="85"/>
      <c r="M384" s="85"/>
      <c r="N384" s="85"/>
      <c r="O384" s="85"/>
      <c r="P384" s="85"/>
      <c r="Q384" s="85"/>
      <c r="R384" s="85"/>
      <c r="S384" s="1"/>
      <c r="U384" s="1"/>
      <c r="V384" s="1"/>
      <c r="W384" s="1"/>
      <c r="X384" s="1"/>
      <c r="Y384" s="1"/>
      <c r="Z384" s="1"/>
      <c r="AA384" s="1"/>
      <c r="AB384" s="1"/>
      <c r="AD384" s="3"/>
      <c r="AM384" s="86"/>
      <c r="AN384" s="87"/>
      <c r="AO384" s="87"/>
      <c r="AP384" s="87"/>
      <c r="AQ384" s="87"/>
      <c r="AR384" s="87"/>
      <c r="AS384" s="85"/>
      <c r="AT384" s="21"/>
      <c r="AV384" s="3"/>
    </row>
    <row r="385" spans="3:48" x14ac:dyDescent="0.3">
      <c r="C385" s="85"/>
      <c r="D385" s="85"/>
      <c r="E385" s="85"/>
      <c r="F385" s="85"/>
      <c r="G385" s="85"/>
      <c r="H385" s="85"/>
      <c r="I385" s="85"/>
      <c r="J385" s="25"/>
      <c r="K385" s="3"/>
      <c r="L385" s="85"/>
      <c r="M385" s="85"/>
      <c r="N385" s="85"/>
      <c r="O385" s="85"/>
      <c r="P385" s="85"/>
      <c r="Q385" s="85"/>
      <c r="R385" s="85"/>
      <c r="S385" s="1"/>
      <c r="U385" s="1"/>
      <c r="V385" s="1"/>
      <c r="W385" s="1"/>
      <c r="X385" s="1"/>
      <c r="Y385" s="1"/>
      <c r="Z385" s="1"/>
      <c r="AA385" s="1"/>
      <c r="AB385" s="1"/>
      <c r="AD385" s="3"/>
      <c r="AM385" s="86"/>
      <c r="AN385" s="87"/>
      <c r="AO385" s="87"/>
      <c r="AP385" s="87"/>
      <c r="AQ385" s="87"/>
      <c r="AR385" s="87"/>
      <c r="AS385" s="85"/>
      <c r="AT385" s="21"/>
      <c r="AV385" s="3"/>
    </row>
    <row r="386" spans="3:48" x14ac:dyDescent="0.3">
      <c r="C386" s="85"/>
      <c r="D386" s="85"/>
      <c r="E386" s="85"/>
      <c r="F386" s="85"/>
      <c r="G386" s="85"/>
      <c r="H386" s="85"/>
      <c r="I386" s="85"/>
      <c r="J386" s="25"/>
      <c r="K386" s="3"/>
      <c r="L386" s="85"/>
      <c r="M386" s="85"/>
      <c r="N386" s="85"/>
      <c r="O386" s="85"/>
      <c r="P386" s="85"/>
      <c r="Q386" s="85"/>
      <c r="R386" s="85"/>
      <c r="S386" s="1"/>
      <c r="U386" s="1"/>
      <c r="V386" s="1"/>
      <c r="W386" s="1"/>
      <c r="X386" s="1"/>
      <c r="Y386" s="1"/>
      <c r="Z386" s="1"/>
      <c r="AA386" s="1"/>
      <c r="AB386" s="1"/>
      <c r="AD386" s="3"/>
      <c r="AM386" s="86"/>
      <c r="AN386" s="87"/>
      <c r="AO386" s="87"/>
      <c r="AP386" s="87"/>
      <c r="AQ386" s="87"/>
      <c r="AR386" s="87"/>
      <c r="AS386" s="85"/>
      <c r="AT386" s="21"/>
      <c r="AV386" s="3"/>
    </row>
    <row r="387" spans="3:48" x14ac:dyDescent="0.3">
      <c r="C387" s="85"/>
      <c r="D387" s="85"/>
      <c r="E387" s="85"/>
      <c r="F387" s="85"/>
      <c r="G387" s="85"/>
      <c r="H387" s="85"/>
      <c r="I387" s="85"/>
      <c r="J387" s="25"/>
      <c r="K387" s="3"/>
      <c r="L387" s="85"/>
      <c r="M387" s="85"/>
      <c r="N387" s="85"/>
      <c r="O387" s="85"/>
      <c r="P387" s="85"/>
      <c r="Q387" s="85"/>
      <c r="R387" s="85"/>
      <c r="S387" s="1"/>
      <c r="U387" s="1"/>
      <c r="V387" s="1"/>
      <c r="W387" s="1"/>
      <c r="X387" s="1"/>
      <c r="Y387" s="1"/>
      <c r="Z387" s="1"/>
      <c r="AA387" s="1"/>
      <c r="AB387" s="1"/>
      <c r="AD387" s="3"/>
      <c r="AM387" s="86"/>
      <c r="AN387" s="87"/>
      <c r="AO387" s="87"/>
      <c r="AP387" s="87"/>
      <c r="AQ387" s="87"/>
      <c r="AR387" s="87"/>
      <c r="AS387" s="85"/>
      <c r="AT387" s="21"/>
      <c r="AV387" s="3"/>
    </row>
    <row r="388" spans="3:48" x14ac:dyDescent="0.3">
      <c r="C388" s="85"/>
      <c r="D388" s="85"/>
      <c r="E388" s="85"/>
      <c r="F388" s="85"/>
      <c r="G388" s="85"/>
      <c r="H388" s="85"/>
      <c r="I388" s="85"/>
      <c r="J388" s="25"/>
      <c r="K388" s="3"/>
      <c r="L388" s="85"/>
      <c r="M388" s="85"/>
      <c r="N388" s="85"/>
      <c r="O388" s="85"/>
      <c r="P388" s="85"/>
      <c r="Q388" s="85"/>
      <c r="R388" s="85"/>
      <c r="S388" s="1"/>
      <c r="U388" s="1"/>
      <c r="V388" s="1"/>
      <c r="W388" s="1"/>
      <c r="X388" s="1"/>
      <c r="Y388" s="1"/>
      <c r="Z388" s="1"/>
      <c r="AA388" s="1"/>
      <c r="AB388" s="1"/>
      <c r="AD388" s="3"/>
      <c r="AM388" s="86"/>
      <c r="AN388" s="87"/>
      <c r="AO388" s="87"/>
      <c r="AP388" s="87"/>
      <c r="AQ388" s="87"/>
      <c r="AR388" s="87"/>
      <c r="AS388" s="85"/>
      <c r="AT388" s="21"/>
      <c r="AV388" s="3"/>
    </row>
    <row r="389" spans="3:48" x14ac:dyDescent="0.3">
      <c r="C389" s="85"/>
      <c r="D389" s="85"/>
      <c r="E389" s="85"/>
      <c r="F389" s="85"/>
      <c r="G389" s="85"/>
      <c r="H389" s="85"/>
      <c r="I389" s="85"/>
      <c r="J389" s="25"/>
      <c r="K389" s="3"/>
      <c r="L389" s="85"/>
      <c r="M389" s="85"/>
      <c r="N389" s="85"/>
      <c r="O389" s="85"/>
      <c r="P389" s="85"/>
      <c r="Q389" s="85"/>
      <c r="R389" s="85"/>
      <c r="S389" s="1"/>
      <c r="U389" s="1"/>
      <c r="V389" s="1"/>
      <c r="W389" s="1"/>
      <c r="X389" s="1"/>
      <c r="Y389" s="1"/>
      <c r="Z389" s="1"/>
      <c r="AA389" s="1"/>
      <c r="AB389" s="1"/>
      <c r="AD389" s="3"/>
      <c r="AM389" s="86"/>
      <c r="AN389" s="87"/>
      <c r="AO389" s="87"/>
      <c r="AP389" s="87"/>
      <c r="AQ389" s="87"/>
      <c r="AR389" s="87"/>
      <c r="AS389" s="85"/>
      <c r="AT389" s="21"/>
      <c r="AV389" s="3"/>
    </row>
    <row r="390" spans="3:48" x14ac:dyDescent="0.3">
      <c r="C390" s="85"/>
      <c r="D390" s="85"/>
      <c r="E390" s="85"/>
      <c r="F390" s="85"/>
      <c r="G390" s="85"/>
      <c r="H390" s="85"/>
      <c r="I390" s="85"/>
      <c r="J390" s="25"/>
      <c r="K390" s="3"/>
      <c r="L390" s="85"/>
      <c r="M390" s="85"/>
      <c r="N390" s="85"/>
      <c r="O390" s="85"/>
      <c r="P390" s="85"/>
      <c r="Q390" s="85"/>
      <c r="R390" s="85"/>
      <c r="S390" s="1"/>
      <c r="U390" s="1"/>
      <c r="V390" s="1"/>
      <c r="W390" s="1"/>
      <c r="X390" s="1"/>
      <c r="Y390" s="1"/>
      <c r="Z390" s="1"/>
      <c r="AA390" s="1"/>
      <c r="AB390" s="1"/>
      <c r="AD390" s="3"/>
      <c r="AM390" s="86"/>
      <c r="AN390" s="87"/>
      <c r="AO390" s="87"/>
      <c r="AP390" s="87"/>
      <c r="AQ390" s="87"/>
      <c r="AR390" s="87"/>
      <c r="AS390" s="85"/>
      <c r="AT390" s="21"/>
      <c r="AV390" s="3"/>
    </row>
    <row r="391" spans="3:48" x14ac:dyDescent="0.3">
      <c r="C391" s="85"/>
      <c r="D391" s="85"/>
      <c r="E391" s="85"/>
      <c r="F391" s="85"/>
      <c r="G391" s="85"/>
      <c r="H391" s="85"/>
      <c r="I391" s="85"/>
      <c r="J391" s="25"/>
      <c r="K391" s="3"/>
      <c r="L391" s="85"/>
      <c r="M391" s="85"/>
      <c r="N391" s="85"/>
      <c r="O391" s="85"/>
      <c r="P391" s="85"/>
      <c r="Q391" s="85"/>
      <c r="R391" s="85"/>
      <c r="S391" s="1"/>
      <c r="U391" s="1"/>
      <c r="V391" s="1"/>
      <c r="W391" s="1"/>
      <c r="X391" s="1"/>
      <c r="Y391" s="1"/>
      <c r="Z391" s="1"/>
      <c r="AA391" s="1"/>
      <c r="AB391" s="1"/>
      <c r="AD391" s="3"/>
      <c r="AM391" s="86"/>
      <c r="AN391" s="87"/>
      <c r="AO391" s="87"/>
      <c r="AP391" s="87"/>
      <c r="AQ391" s="87"/>
      <c r="AR391" s="87"/>
      <c r="AS391" s="85"/>
      <c r="AT391" s="21"/>
      <c r="AV391" s="3"/>
    </row>
    <row r="392" spans="3:48" x14ac:dyDescent="0.3">
      <c r="C392" s="85"/>
      <c r="D392" s="85"/>
      <c r="E392" s="85"/>
      <c r="F392" s="85"/>
      <c r="G392" s="85"/>
      <c r="H392" s="85"/>
      <c r="I392" s="85"/>
      <c r="J392" s="25"/>
      <c r="K392" s="3"/>
      <c r="L392" s="85"/>
      <c r="M392" s="85"/>
      <c r="N392" s="85"/>
      <c r="O392" s="85"/>
      <c r="P392" s="85"/>
      <c r="Q392" s="85"/>
      <c r="R392" s="85"/>
      <c r="S392" s="1"/>
      <c r="U392" s="1"/>
      <c r="V392" s="1"/>
      <c r="W392" s="1"/>
      <c r="X392" s="1"/>
      <c r="Y392" s="1"/>
      <c r="Z392" s="1"/>
      <c r="AA392" s="1"/>
      <c r="AB392" s="1"/>
      <c r="AD392" s="3"/>
      <c r="AM392" s="86"/>
      <c r="AN392" s="87"/>
      <c r="AO392" s="87"/>
      <c r="AP392" s="87"/>
      <c r="AQ392" s="87"/>
      <c r="AR392" s="87"/>
      <c r="AS392" s="85"/>
      <c r="AT392" s="21"/>
      <c r="AV392" s="3"/>
    </row>
    <row r="393" spans="3:48" x14ac:dyDescent="0.3">
      <c r="C393" s="85"/>
      <c r="D393" s="85"/>
      <c r="E393" s="85"/>
      <c r="F393" s="85"/>
      <c r="G393" s="85"/>
      <c r="H393" s="85"/>
      <c r="I393" s="85"/>
      <c r="J393" s="25"/>
      <c r="K393" s="3"/>
      <c r="L393" s="85"/>
      <c r="M393" s="85"/>
      <c r="N393" s="85"/>
      <c r="O393" s="85"/>
      <c r="P393" s="85"/>
      <c r="Q393" s="85"/>
      <c r="R393" s="85"/>
      <c r="S393" s="1"/>
      <c r="U393" s="1"/>
      <c r="V393" s="1"/>
      <c r="W393" s="1"/>
      <c r="X393" s="1"/>
      <c r="Y393" s="1"/>
      <c r="Z393" s="1"/>
      <c r="AA393" s="1"/>
      <c r="AB393" s="1"/>
      <c r="AD393" s="3"/>
      <c r="AM393" s="86"/>
      <c r="AN393" s="87"/>
      <c r="AO393" s="87"/>
      <c r="AP393" s="87"/>
      <c r="AQ393" s="87"/>
      <c r="AR393" s="87"/>
      <c r="AS393" s="85"/>
      <c r="AT393" s="21"/>
      <c r="AV393" s="3"/>
    </row>
    <row r="394" spans="3:48" x14ac:dyDescent="0.3">
      <c r="C394" s="85"/>
      <c r="D394" s="85"/>
      <c r="E394" s="85"/>
      <c r="F394" s="85"/>
      <c r="G394" s="85"/>
      <c r="H394" s="85"/>
      <c r="I394" s="85"/>
      <c r="J394" s="25"/>
      <c r="K394" s="3"/>
      <c r="L394" s="85"/>
      <c r="M394" s="85"/>
      <c r="N394" s="85"/>
      <c r="O394" s="85"/>
      <c r="P394" s="85"/>
      <c r="Q394" s="85"/>
      <c r="R394" s="85"/>
      <c r="S394" s="1"/>
      <c r="U394" s="1"/>
      <c r="V394" s="1"/>
      <c r="W394" s="1"/>
      <c r="X394" s="1"/>
      <c r="Y394" s="1"/>
      <c r="Z394" s="1"/>
      <c r="AA394" s="1"/>
      <c r="AB394" s="1"/>
      <c r="AD394" s="3"/>
      <c r="AM394" s="86"/>
      <c r="AN394" s="87"/>
      <c r="AO394" s="87"/>
      <c r="AP394" s="87"/>
      <c r="AQ394" s="87"/>
      <c r="AR394" s="87"/>
      <c r="AS394" s="85"/>
      <c r="AT394" s="21"/>
      <c r="AV394" s="3"/>
    </row>
    <row r="395" spans="3:48" x14ac:dyDescent="0.3">
      <c r="C395" s="85"/>
      <c r="D395" s="85"/>
      <c r="E395" s="85"/>
      <c r="F395" s="85"/>
      <c r="G395" s="85"/>
      <c r="H395" s="85"/>
      <c r="I395" s="85"/>
      <c r="J395" s="25"/>
      <c r="K395" s="3"/>
      <c r="L395" s="85"/>
      <c r="M395" s="85"/>
      <c r="N395" s="85"/>
      <c r="O395" s="85"/>
      <c r="P395" s="85"/>
      <c r="Q395" s="85"/>
      <c r="R395" s="85"/>
      <c r="S395" s="1"/>
      <c r="U395" s="1"/>
      <c r="V395" s="1"/>
      <c r="W395" s="1"/>
      <c r="X395" s="1"/>
      <c r="Y395" s="1"/>
      <c r="Z395" s="1"/>
      <c r="AA395" s="1"/>
      <c r="AB395" s="1"/>
      <c r="AD395" s="3"/>
      <c r="AM395" s="86"/>
      <c r="AN395" s="87"/>
      <c r="AO395" s="87"/>
      <c r="AP395" s="87"/>
      <c r="AQ395" s="87"/>
      <c r="AR395" s="87"/>
      <c r="AS395" s="85"/>
      <c r="AT395" s="21"/>
      <c r="AV395" s="3"/>
    </row>
    <row r="396" spans="3:48" x14ac:dyDescent="0.3">
      <c r="C396" s="85"/>
      <c r="D396" s="85"/>
      <c r="E396" s="85"/>
      <c r="F396" s="85"/>
      <c r="G396" s="85"/>
      <c r="H396" s="85"/>
      <c r="I396" s="85"/>
      <c r="J396" s="25"/>
      <c r="K396" s="3"/>
      <c r="L396" s="85"/>
      <c r="M396" s="85"/>
      <c r="N396" s="85"/>
      <c r="O396" s="85"/>
      <c r="P396" s="85"/>
      <c r="Q396" s="85"/>
      <c r="R396" s="85"/>
      <c r="S396" s="1"/>
      <c r="U396" s="1"/>
      <c r="V396" s="1"/>
      <c r="W396" s="1"/>
      <c r="X396" s="1"/>
      <c r="Y396" s="1"/>
      <c r="Z396" s="1"/>
      <c r="AA396" s="1"/>
      <c r="AB396" s="1"/>
      <c r="AD396" s="3"/>
      <c r="AM396" s="86"/>
      <c r="AN396" s="87"/>
      <c r="AO396" s="87"/>
      <c r="AP396" s="87"/>
      <c r="AQ396" s="87"/>
      <c r="AR396" s="87"/>
      <c r="AS396" s="85"/>
      <c r="AT396" s="21"/>
      <c r="AV396" s="3"/>
    </row>
    <row r="397" spans="3:48" x14ac:dyDescent="0.3">
      <c r="C397" s="85"/>
      <c r="D397" s="85"/>
      <c r="E397" s="85"/>
      <c r="F397" s="85"/>
      <c r="G397" s="85"/>
      <c r="H397" s="85"/>
      <c r="I397" s="85"/>
      <c r="J397" s="25"/>
      <c r="K397" s="3"/>
      <c r="L397" s="85"/>
      <c r="M397" s="85"/>
      <c r="N397" s="85"/>
      <c r="O397" s="85"/>
      <c r="P397" s="85"/>
      <c r="Q397" s="85"/>
      <c r="R397" s="85"/>
      <c r="S397" s="1"/>
      <c r="U397" s="1"/>
      <c r="V397" s="1"/>
      <c r="W397" s="1"/>
      <c r="X397" s="1"/>
      <c r="Y397" s="1"/>
      <c r="Z397" s="1"/>
      <c r="AA397" s="1"/>
      <c r="AB397" s="1"/>
      <c r="AD397" s="3"/>
      <c r="AM397" s="86"/>
      <c r="AN397" s="87"/>
      <c r="AO397" s="87"/>
      <c r="AP397" s="87"/>
      <c r="AQ397" s="87"/>
      <c r="AR397" s="87"/>
      <c r="AS397" s="85"/>
      <c r="AT397" s="21"/>
      <c r="AV397" s="3"/>
    </row>
    <row r="398" spans="3:48" x14ac:dyDescent="0.3">
      <c r="C398" s="85"/>
      <c r="D398" s="85"/>
      <c r="E398" s="85"/>
      <c r="F398" s="85"/>
      <c r="G398" s="85"/>
      <c r="H398" s="85"/>
      <c r="I398" s="85"/>
      <c r="J398" s="25"/>
      <c r="K398" s="3"/>
      <c r="L398" s="85"/>
      <c r="M398" s="85"/>
      <c r="N398" s="85"/>
      <c r="O398" s="85"/>
      <c r="P398" s="85"/>
      <c r="Q398" s="85"/>
      <c r="R398" s="85"/>
      <c r="S398" s="1"/>
      <c r="U398" s="1"/>
      <c r="V398" s="1"/>
      <c r="W398" s="1"/>
      <c r="X398" s="1"/>
      <c r="Y398" s="1"/>
      <c r="Z398" s="1"/>
      <c r="AA398" s="1"/>
      <c r="AB398" s="1"/>
      <c r="AD398" s="3"/>
      <c r="AM398" s="86"/>
      <c r="AN398" s="87"/>
      <c r="AO398" s="87"/>
      <c r="AP398" s="87"/>
      <c r="AQ398" s="87"/>
      <c r="AR398" s="87"/>
      <c r="AS398" s="85"/>
      <c r="AT398" s="21"/>
      <c r="AV398" s="3"/>
    </row>
    <row r="399" spans="3:48" x14ac:dyDescent="0.3">
      <c r="C399" s="85"/>
      <c r="D399" s="85"/>
      <c r="E399" s="85"/>
      <c r="F399" s="85"/>
      <c r="G399" s="85"/>
      <c r="H399" s="85"/>
      <c r="I399" s="85"/>
      <c r="J399" s="25"/>
      <c r="K399" s="3"/>
      <c r="L399" s="85"/>
      <c r="M399" s="85"/>
      <c r="N399" s="85"/>
      <c r="O399" s="85"/>
      <c r="P399" s="85"/>
      <c r="Q399" s="85"/>
      <c r="R399" s="85"/>
      <c r="S399" s="1"/>
      <c r="U399" s="1"/>
      <c r="V399" s="1"/>
      <c r="W399" s="1"/>
      <c r="X399" s="1"/>
      <c r="Y399" s="1"/>
      <c r="Z399" s="1"/>
      <c r="AA399" s="1"/>
      <c r="AB399" s="1"/>
      <c r="AD399" s="3"/>
      <c r="AM399" s="86"/>
      <c r="AN399" s="87"/>
      <c r="AO399" s="87"/>
      <c r="AP399" s="87"/>
      <c r="AQ399" s="87"/>
      <c r="AR399" s="87"/>
      <c r="AS399" s="85"/>
      <c r="AT399" s="21"/>
      <c r="AV399" s="3"/>
    </row>
    <row r="400" spans="3:48" x14ac:dyDescent="0.3">
      <c r="C400" s="85"/>
      <c r="D400" s="85"/>
      <c r="E400" s="85"/>
      <c r="F400" s="85"/>
      <c r="G400" s="85"/>
      <c r="H400" s="85"/>
      <c r="I400" s="85"/>
      <c r="J400" s="25"/>
      <c r="K400" s="3"/>
      <c r="L400" s="85"/>
      <c r="M400" s="85"/>
      <c r="N400" s="85"/>
      <c r="O400" s="85"/>
      <c r="P400" s="85"/>
      <c r="Q400" s="85"/>
      <c r="R400" s="85"/>
      <c r="S400" s="1"/>
      <c r="U400" s="1"/>
      <c r="V400" s="1"/>
      <c r="W400" s="1"/>
      <c r="X400" s="1"/>
      <c r="Y400" s="1"/>
      <c r="Z400" s="1"/>
      <c r="AA400" s="1"/>
      <c r="AB400" s="1"/>
      <c r="AD400" s="3"/>
      <c r="AM400" s="86"/>
      <c r="AN400" s="87"/>
      <c r="AO400" s="87"/>
      <c r="AP400" s="87"/>
      <c r="AQ400" s="87"/>
      <c r="AR400" s="87"/>
      <c r="AS400" s="85"/>
      <c r="AT400" s="21"/>
      <c r="AV400" s="3"/>
    </row>
    <row r="401" spans="3:48" x14ac:dyDescent="0.3">
      <c r="C401" s="85"/>
      <c r="D401" s="85"/>
      <c r="E401" s="85"/>
      <c r="F401" s="85"/>
      <c r="G401" s="85"/>
      <c r="H401" s="85"/>
      <c r="I401" s="85"/>
      <c r="J401" s="25"/>
      <c r="K401" s="3"/>
      <c r="L401" s="85"/>
      <c r="M401" s="85"/>
      <c r="N401" s="85"/>
      <c r="O401" s="85"/>
      <c r="P401" s="85"/>
      <c r="Q401" s="85"/>
      <c r="R401" s="85"/>
      <c r="S401" s="1"/>
      <c r="U401" s="1"/>
      <c r="V401" s="1"/>
      <c r="W401" s="1"/>
      <c r="X401" s="1"/>
      <c r="Y401" s="1"/>
      <c r="Z401" s="1"/>
      <c r="AA401" s="1"/>
      <c r="AB401" s="1"/>
      <c r="AD401" s="3"/>
      <c r="AM401" s="86"/>
      <c r="AN401" s="87"/>
      <c r="AO401" s="87"/>
      <c r="AP401" s="87"/>
      <c r="AQ401" s="87"/>
      <c r="AR401" s="87"/>
      <c r="AS401" s="85"/>
      <c r="AT401" s="21"/>
      <c r="AV401" s="3"/>
    </row>
    <row r="402" spans="3:48" x14ac:dyDescent="0.3">
      <c r="C402" s="85"/>
      <c r="D402" s="85"/>
      <c r="E402" s="85"/>
      <c r="F402" s="85"/>
      <c r="G402" s="85"/>
      <c r="H402" s="85"/>
      <c r="I402" s="85"/>
      <c r="J402" s="25"/>
      <c r="K402" s="3"/>
      <c r="L402" s="85"/>
      <c r="M402" s="85"/>
      <c r="N402" s="85"/>
      <c r="O402" s="85"/>
      <c r="P402" s="85"/>
      <c r="Q402" s="85"/>
      <c r="R402" s="85"/>
      <c r="S402" s="1"/>
      <c r="U402" s="1"/>
      <c r="V402" s="1"/>
      <c r="W402" s="1"/>
      <c r="X402" s="1"/>
      <c r="Y402" s="1"/>
      <c r="Z402" s="1"/>
      <c r="AA402" s="1"/>
      <c r="AB402" s="1"/>
      <c r="AD402" s="3"/>
      <c r="AM402" s="86"/>
      <c r="AN402" s="87"/>
      <c r="AO402" s="87"/>
      <c r="AP402" s="87"/>
      <c r="AQ402" s="87"/>
      <c r="AR402" s="87"/>
      <c r="AS402" s="85"/>
      <c r="AT402" s="21"/>
      <c r="AV402" s="3"/>
    </row>
    <row r="403" spans="3:48" x14ac:dyDescent="0.3">
      <c r="C403" s="85"/>
      <c r="D403" s="85"/>
      <c r="E403" s="85"/>
      <c r="F403" s="85"/>
      <c r="G403" s="85"/>
      <c r="H403" s="85"/>
      <c r="I403" s="85"/>
      <c r="J403" s="25"/>
      <c r="K403" s="3"/>
      <c r="L403" s="85"/>
      <c r="M403" s="85"/>
      <c r="N403" s="85"/>
      <c r="O403" s="85"/>
      <c r="P403" s="85"/>
      <c r="Q403" s="85"/>
      <c r="R403" s="85"/>
      <c r="S403" s="1"/>
      <c r="U403" s="1"/>
      <c r="V403" s="1"/>
      <c r="W403" s="1"/>
      <c r="X403" s="1"/>
      <c r="Y403" s="1"/>
      <c r="Z403" s="1"/>
      <c r="AA403" s="1"/>
      <c r="AB403" s="1"/>
      <c r="AD403" s="3"/>
      <c r="AM403" s="86"/>
      <c r="AN403" s="87"/>
      <c r="AO403" s="87"/>
      <c r="AP403" s="87"/>
      <c r="AQ403" s="87"/>
      <c r="AR403" s="87"/>
      <c r="AS403" s="85"/>
      <c r="AT403" s="21"/>
      <c r="AV403" s="3"/>
    </row>
    <row r="404" spans="3:48" x14ac:dyDescent="0.3">
      <c r="C404" s="85"/>
      <c r="D404" s="85"/>
      <c r="E404" s="85"/>
      <c r="F404" s="85"/>
      <c r="G404" s="85"/>
      <c r="H404" s="85"/>
      <c r="I404" s="85"/>
      <c r="J404" s="25"/>
      <c r="K404" s="3"/>
      <c r="L404" s="85"/>
      <c r="M404" s="85"/>
      <c r="N404" s="85"/>
      <c r="O404" s="85"/>
      <c r="P404" s="85"/>
      <c r="Q404" s="85"/>
      <c r="R404" s="85"/>
      <c r="S404" s="1"/>
      <c r="U404" s="1"/>
      <c r="V404" s="1"/>
      <c r="W404" s="1"/>
      <c r="X404" s="1"/>
      <c r="Y404" s="1"/>
      <c r="Z404" s="1"/>
      <c r="AA404" s="1"/>
      <c r="AB404" s="1"/>
      <c r="AD404" s="3"/>
      <c r="AM404" s="86"/>
      <c r="AN404" s="87"/>
      <c r="AO404" s="87"/>
      <c r="AP404" s="87"/>
      <c r="AQ404" s="87"/>
      <c r="AR404" s="87"/>
      <c r="AS404" s="85"/>
      <c r="AT404" s="21"/>
      <c r="AV404" s="3"/>
    </row>
    <row r="405" spans="3:48" x14ac:dyDescent="0.3">
      <c r="C405" s="85"/>
      <c r="D405" s="85"/>
      <c r="E405" s="85"/>
      <c r="F405" s="85"/>
      <c r="G405" s="85"/>
      <c r="H405" s="85"/>
      <c r="I405" s="85"/>
      <c r="J405" s="25"/>
      <c r="K405" s="3"/>
      <c r="L405" s="85"/>
      <c r="M405" s="85"/>
      <c r="N405" s="85"/>
      <c r="O405" s="85"/>
      <c r="P405" s="85"/>
      <c r="Q405" s="85"/>
      <c r="R405" s="85"/>
      <c r="S405" s="1"/>
      <c r="U405" s="1"/>
      <c r="V405" s="1"/>
      <c r="W405" s="1"/>
      <c r="X405" s="1"/>
      <c r="Y405" s="1"/>
      <c r="Z405" s="1"/>
      <c r="AA405" s="1"/>
      <c r="AB405" s="1"/>
      <c r="AD405" s="3"/>
      <c r="AM405" s="86"/>
      <c r="AN405" s="87"/>
      <c r="AO405" s="87"/>
      <c r="AP405" s="87"/>
      <c r="AQ405" s="87"/>
      <c r="AR405" s="87"/>
      <c r="AS405" s="85"/>
      <c r="AT405" s="21"/>
      <c r="AV405" s="3"/>
    </row>
    <row r="406" spans="3:48" x14ac:dyDescent="0.3">
      <c r="C406" s="85"/>
      <c r="D406" s="85"/>
      <c r="E406" s="85"/>
      <c r="F406" s="85"/>
      <c r="G406" s="85"/>
      <c r="H406" s="85"/>
      <c r="I406" s="85"/>
      <c r="J406" s="25"/>
      <c r="K406" s="3"/>
      <c r="L406" s="85"/>
      <c r="M406" s="85"/>
      <c r="N406" s="85"/>
      <c r="O406" s="85"/>
      <c r="P406" s="85"/>
      <c r="Q406" s="85"/>
      <c r="R406" s="85"/>
      <c r="S406" s="1"/>
      <c r="U406" s="1"/>
      <c r="V406" s="1"/>
      <c r="W406" s="1"/>
      <c r="X406" s="1"/>
      <c r="Y406" s="1"/>
      <c r="Z406" s="1"/>
      <c r="AA406" s="1"/>
      <c r="AB406" s="1"/>
      <c r="AD406" s="3"/>
      <c r="AM406" s="86"/>
      <c r="AN406" s="87"/>
      <c r="AO406" s="87"/>
      <c r="AP406" s="87"/>
      <c r="AQ406" s="87"/>
      <c r="AR406" s="87"/>
      <c r="AS406" s="85"/>
      <c r="AT406" s="21"/>
      <c r="AV406" s="3"/>
    </row>
    <row r="407" spans="3:48" x14ac:dyDescent="0.3">
      <c r="C407" s="85"/>
      <c r="D407" s="85"/>
      <c r="E407" s="85"/>
      <c r="F407" s="85"/>
      <c r="G407" s="85"/>
      <c r="H407" s="85"/>
      <c r="I407" s="85"/>
      <c r="J407" s="25"/>
      <c r="K407" s="3"/>
      <c r="L407" s="85"/>
      <c r="M407" s="85"/>
      <c r="N407" s="85"/>
      <c r="O407" s="85"/>
      <c r="P407" s="85"/>
      <c r="Q407" s="85"/>
      <c r="R407" s="85"/>
      <c r="S407" s="1"/>
      <c r="U407" s="1"/>
      <c r="V407" s="1"/>
      <c r="W407" s="1"/>
      <c r="X407" s="1"/>
      <c r="Y407" s="1"/>
      <c r="Z407" s="1"/>
      <c r="AA407" s="1"/>
      <c r="AB407" s="1"/>
      <c r="AD407" s="3"/>
      <c r="AM407" s="86"/>
      <c r="AN407" s="87"/>
      <c r="AO407" s="87"/>
      <c r="AP407" s="87"/>
      <c r="AQ407" s="87"/>
      <c r="AR407" s="87"/>
      <c r="AS407" s="85"/>
      <c r="AT407" s="21"/>
      <c r="AV407" s="3"/>
    </row>
    <row r="408" spans="3:48" x14ac:dyDescent="0.3">
      <c r="C408" s="85"/>
      <c r="D408" s="85"/>
      <c r="E408" s="85"/>
      <c r="F408" s="85"/>
      <c r="G408" s="85"/>
      <c r="H408" s="85"/>
      <c r="I408" s="85"/>
      <c r="J408" s="25"/>
      <c r="K408" s="3"/>
      <c r="L408" s="85"/>
      <c r="M408" s="85"/>
      <c r="N408" s="85"/>
      <c r="O408" s="85"/>
      <c r="P408" s="85"/>
      <c r="Q408" s="85"/>
      <c r="R408" s="85"/>
      <c r="S408" s="1"/>
      <c r="U408" s="1"/>
      <c r="V408" s="1"/>
      <c r="W408" s="1"/>
      <c r="X408" s="1"/>
      <c r="Y408" s="1"/>
      <c r="Z408" s="1"/>
      <c r="AA408" s="1"/>
      <c r="AB408" s="1"/>
      <c r="AD408" s="3"/>
      <c r="AM408" s="86"/>
      <c r="AN408" s="87"/>
      <c r="AO408" s="87"/>
      <c r="AP408" s="87"/>
      <c r="AQ408" s="87"/>
      <c r="AR408" s="87"/>
      <c r="AS408" s="85"/>
      <c r="AT408" s="21"/>
      <c r="AV408" s="3"/>
    </row>
    <row r="409" spans="3:48" x14ac:dyDescent="0.3">
      <c r="C409" s="85"/>
      <c r="D409" s="85"/>
      <c r="E409" s="85"/>
      <c r="F409" s="85"/>
      <c r="G409" s="85"/>
      <c r="H409" s="85"/>
      <c r="I409" s="85"/>
      <c r="J409" s="25"/>
      <c r="K409" s="3"/>
      <c r="L409" s="85"/>
      <c r="M409" s="85"/>
      <c r="N409" s="85"/>
      <c r="O409" s="85"/>
      <c r="P409" s="85"/>
      <c r="Q409" s="85"/>
      <c r="R409" s="85"/>
      <c r="S409" s="1"/>
      <c r="U409" s="1"/>
      <c r="V409" s="1"/>
      <c r="W409" s="1"/>
      <c r="X409" s="1"/>
      <c r="Y409" s="1"/>
      <c r="Z409" s="1"/>
      <c r="AA409" s="1"/>
      <c r="AB409" s="1"/>
      <c r="AD409" s="3"/>
      <c r="AM409" s="86"/>
      <c r="AN409" s="87"/>
      <c r="AO409" s="87"/>
      <c r="AP409" s="87"/>
      <c r="AQ409" s="87"/>
      <c r="AR409" s="87"/>
      <c r="AS409" s="85"/>
      <c r="AT409" s="21"/>
      <c r="AV409" s="3"/>
    </row>
    <row r="410" spans="3:48" x14ac:dyDescent="0.3">
      <c r="C410" s="85"/>
      <c r="D410" s="85"/>
      <c r="E410" s="85"/>
      <c r="F410" s="85"/>
      <c r="G410" s="85"/>
      <c r="H410" s="85"/>
      <c r="I410" s="85"/>
      <c r="J410" s="25"/>
      <c r="K410" s="3"/>
      <c r="L410" s="85"/>
      <c r="M410" s="85"/>
      <c r="N410" s="85"/>
      <c r="O410" s="85"/>
      <c r="P410" s="85"/>
      <c r="Q410" s="85"/>
      <c r="R410" s="85"/>
      <c r="S410" s="1"/>
      <c r="U410" s="1"/>
      <c r="V410" s="1"/>
      <c r="W410" s="1"/>
      <c r="X410" s="1"/>
      <c r="Y410" s="1"/>
      <c r="Z410" s="1"/>
      <c r="AA410" s="1"/>
      <c r="AB410" s="1"/>
      <c r="AD410" s="3"/>
      <c r="AM410" s="86"/>
      <c r="AN410" s="87"/>
      <c r="AO410" s="87"/>
      <c r="AP410" s="87"/>
      <c r="AQ410" s="87"/>
      <c r="AR410" s="87"/>
      <c r="AS410" s="85"/>
      <c r="AT410" s="21"/>
      <c r="AV410" s="3"/>
    </row>
    <row r="411" spans="3:48" x14ac:dyDescent="0.3">
      <c r="C411" s="85"/>
      <c r="D411" s="85"/>
      <c r="E411" s="85"/>
      <c r="F411" s="85"/>
      <c r="G411" s="85"/>
      <c r="H411" s="85"/>
      <c r="I411" s="85"/>
      <c r="J411" s="25"/>
      <c r="K411" s="3"/>
      <c r="L411" s="85"/>
      <c r="M411" s="85"/>
      <c r="N411" s="85"/>
      <c r="O411" s="85"/>
      <c r="P411" s="85"/>
      <c r="Q411" s="85"/>
      <c r="R411" s="85"/>
      <c r="S411" s="1"/>
      <c r="U411" s="1"/>
      <c r="V411" s="1"/>
      <c r="W411" s="1"/>
      <c r="X411" s="1"/>
      <c r="Y411" s="1"/>
      <c r="Z411" s="1"/>
      <c r="AA411" s="1"/>
      <c r="AB411" s="1"/>
      <c r="AD411" s="3"/>
      <c r="AM411" s="86"/>
      <c r="AN411" s="87"/>
      <c r="AO411" s="87"/>
      <c r="AP411" s="87"/>
      <c r="AQ411" s="87"/>
      <c r="AR411" s="87"/>
      <c r="AS411" s="85"/>
      <c r="AT411" s="21"/>
      <c r="AV411" s="3"/>
    </row>
    <row r="412" spans="3:48" x14ac:dyDescent="0.3">
      <c r="C412" s="85"/>
      <c r="D412" s="85"/>
      <c r="E412" s="85"/>
      <c r="F412" s="85"/>
      <c r="G412" s="85"/>
      <c r="H412" s="85"/>
      <c r="I412" s="85"/>
      <c r="J412" s="25"/>
      <c r="K412" s="3"/>
      <c r="L412" s="85"/>
      <c r="M412" s="85"/>
      <c r="N412" s="85"/>
      <c r="O412" s="85"/>
      <c r="P412" s="85"/>
      <c r="Q412" s="85"/>
      <c r="R412" s="85"/>
      <c r="S412" s="1"/>
      <c r="U412" s="1"/>
      <c r="V412" s="1"/>
      <c r="W412" s="1"/>
      <c r="X412" s="1"/>
      <c r="Y412" s="1"/>
      <c r="Z412" s="1"/>
      <c r="AA412" s="1"/>
      <c r="AB412" s="1"/>
      <c r="AD412" s="3"/>
      <c r="AM412" s="86"/>
      <c r="AN412" s="87"/>
      <c r="AO412" s="87"/>
      <c r="AP412" s="87"/>
      <c r="AQ412" s="87"/>
      <c r="AR412" s="87"/>
      <c r="AS412" s="85"/>
      <c r="AT412" s="21"/>
      <c r="AV412" s="3"/>
    </row>
    <row r="413" spans="3:48" x14ac:dyDescent="0.3">
      <c r="C413" s="85"/>
      <c r="D413" s="85"/>
      <c r="E413" s="85"/>
      <c r="F413" s="85"/>
      <c r="G413" s="85"/>
      <c r="H413" s="85"/>
      <c r="I413" s="85"/>
      <c r="J413" s="25"/>
      <c r="K413" s="3"/>
      <c r="L413" s="85"/>
      <c r="M413" s="85"/>
      <c r="N413" s="85"/>
      <c r="O413" s="85"/>
      <c r="P413" s="85"/>
      <c r="Q413" s="85"/>
      <c r="R413" s="85"/>
      <c r="S413" s="1"/>
      <c r="U413" s="1"/>
      <c r="V413" s="1"/>
      <c r="W413" s="1"/>
      <c r="X413" s="1"/>
      <c r="Y413" s="1"/>
      <c r="Z413" s="1"/>
      <c r="AA413" s="1"/>
      <c r="AB413" s="1"/>
      <c r="AD413" s="3"/>
      <c r="AM413" s="86"/>
      <c r="AN413" s="87"/>
      <c r="AO413" s="87"/>
      <c r="AP413" s="87"/>
      <c r="AQ413" s="87"/>
      <c r="AR413" s="87"/>
      <c r="AS413" s="85"/>
      <c r="AT413" s="21"/>
      <c r="AV413" s="3"/>
    </row>
    <row r="414" spans="3:48" x14ac:dyDescent="0.3">
      <c r="C414" s="85"/>
      <c r="D414" s="85"/>
      <c r="E414" s="85"/>
      <c r="F414" s="85"/>
      <c r="G414" s="85"/>
      <c r="H414" s="85"/>
      <c r="I414" s="85"/>
      <c r="J414" s="25"/>
      <c r="K414" s="3"/>
      <c r="L414" s="85"/>
      <c r="M414" s="85"/>
      <c r="N414" s="85"/>
      <c r="O414" s="85"/>
      <c r="P414" s="85"/>
      <c r="Q414" s="85"/>
      <c r="R414" s="85"/>
      <c r="S414" s="1"/>
      <c r="U414" s="1"/>
      <c r="V414" s="1"/>
      <c r="W414" s="1"/>
      <c r="X414" s="1"/>
      <c r="Y414" s="1"/>
      <c r="Z414" s="1"/>
      <c r="AA414" s="1"/>
      <c r="AB414" s="1"/>
      <c r="AD414" s="3"/>
      <c r="AM414" s="86"/>
      <c r="AN414" s="87"/>
      <c r="AO414" s="87"/>
      <c r="AP414" s="87"/>
      <c r="AQ414" s="87"/>
      <c r="AR414" s="87"/>
      <c r="AS414" s="85"/>
      <c r="AT414" s="21"/>
      <c r="AV414" s="3"/>
    </row>
    <row r="415" spans="3:48" x14ac:dyDescent="0.3">
      <c r="C415" s="85"/>
      <c r="D415" s="85"/>
      <c r="E415" s="85"/>
      <c r="F415" s="85"/>
      <c r="G415" s="85"/>
      <c r="H415" s="85"/>
      <c r="I415" s="85"/>
      <c r="J415" s="25"/>
      <c r="K415" s="3"/>
      <c r="L415" s="85"/>
      <c r="M415" s="85"/>
      <c r="N415" s="85"/>
      <c r="O415" s="85"/>
      <c r="P415" s="85"/>
      <c r="Q415" s="85"/>
      <c r="R415" s="85"/>
      <c r="S415" s="1"/>
      <c r="U415" s="1"/>
      <c r="V415" s="1"/>
      <c r="W415" s="1"/>
      <c r="X415" s="1"/>
      <c r="Y415" s="1"/>
      <c r="Z415" s="1"/>
      <c r="AA415" s="1"/>
      <c r="AB415" s="1"/>
      <c r="AD415" s="3"/>
      <c r="AM415" s="86"/>
      <c r="AN415" s="87"/>
      <c r="AO415" s="87"/>
      <c r="AP415" s="87"/>
      <c r="AQ415" s="87"/>
      <c r="AR415" s="87"/>
      <c r="AS415" s="85"/>
      <c r="AT415" s="21"/>
      <c r="AV415" s="3"/>
    </row>
    <row r="416" spans="3:48" x14ac:dyDescent="0.3">
      <c r="C416" s="85"/>
      <c r="D416" s="85"/>
      <c r="E416" s="85"/>
      <c r="F416" s="85"/>
      <c r="G416" s="85"/>
      <c r="H416" s="85"/>
      <c r="I416" s="85"/>
      <c r="J416" s="25"/>
      <c r="K416" s="3"/>
      <c r="L416" s="85"/>
      <c r="M416" s="85"/>
      <c r="N416" s="85"/>
      <c r="O416" s="85"/>
      <c r="P416" s="85"/>
      <c r="Q416" s="85"/>
      <c r="R416" s="85"/>
      <c r="S416" s="1"/>
      <c r="U416" s="1"/>
      <c r="V416" s="1"/>
      <c r="W416" s="1"/>
      <c r="X416" s="1"/>
      <c r="Y416" s="1"/>
      <c r="Z416" s="1"/>
      <c r="AA416" s="1"/>
      <c r="AB416" s="1"/>
      <c r="AD416" s="3"/>
      <c r="AM416" s="86"/>
      <c r="AN416" s="87"/>
      <c r="AO416" s="87"/>
      <c r="AP416" s="87"/>
      <c r="AQ416" s="87"/>
      <c r="AR416" s="87"/>
      <c r="AS416" s="85"/>
      <c r="AT416" s="21"/>
      <c r="AV416" s="3"/>
    </row>
    <row r="417" spans="3:48" x14ac:dyDescent="0.3">
      <c r="C417" s="85"/>
      <c r="D417" s="85"/>
      <c r="E417" s="85"/>
      <c r="F417" s="85"/>
      <c r="G417" s="85"/>
      <c r="H417" s="85"/>
      <c r="I417" s="85"/>
      <c r="J417" s="25"/>
      <c r="K417" s="3"/>
      <c r="L417" s="85"/>
      <c r="M417" s="85"/>
      <c r="N417" s="85"/>
      <c r="O417" s="85"/>
      <c r="P417" s="85"/>
      <c r="Q417" s="85"/>
      <c r="R417" s="85"/>
      <c r="S417" s="1"/>
      <c r="U417" s="1"/>
      <c r="V417" s="1"/>
      <c r="W417" s="1"/>
      <c r="X417" s="1"/>
      <c r="Y417" s="1"/>
      <c r="Z417" s="1"/>
      <c r="AA417" s="1"/>
      <c r="AB417" s="1"/>
      <c r="AD417" s="3"/>
      <c r="AM417" s="86"/>
      <c r="AN417" s="87"/>
      <c r="AO417" s="87"/>
      <c r="AP417" s="87"/>
      <c r="AQ417" s="87"/>
      <c r="AR417" s="87"/>
      <c r="AS417" s="85"/>
      <c r="AT417" s="21"/>
      <c r="AV417" s="3"/>
    </row>
    <row r="418" spans="3:48" x14ac:dyDescent="0.3">
      <c r="C418" s="85"/>
      <c r="D418" s="85"/>
      <c r="E418" s="85"/>
      <c r="F418" s="85"/>
      <c r="G418" s="85"/>
      <c r="H418" s="85"/>
      <c r="I418" s="85"/>
      <c r="J418" s="25"/>
      <c r="K418" s="3"/>
      <c r="L418" s="85"/>
      <c r="M418" s="85"/>
      <c r="N418" s="85"/>
      <c r="O418" s="85"/>
      <c r="P418" s="85"/>
      <c r="Q418" s="85"/>
      <c r="R418" s="85"/>
      <c r="S418" s="1"/>
      <c r="U418" s="1"/>
      <c r="V418" s="1"/>
      <c r="W418" s="1"/>
      <c r="X418" s="1"/>
      <c r="Y418" s="1"/>
      <c r="Z418" s="1"/>
      <c r="AA418" s="1"/>
      <c r="AB418" s="1"/>
      <c r="AD418" s="3"/>
      <c r="AM418" s="86"/>
      <c r="AN418" s="87"/>
      <c r="AO418" s="87"/>
      <c r="AP418" s="87"/>
      <c r="AQ418" s="87"/>
      <c r="AR418" s="87"/>
      <c r="AS418" s="85"/>
      <c r="AT418" s="21"/>
      <c r="AV418" s="3"/>
    </row>
    <row r="419" spans="3:48" x14ac:dyDescent="0.3">
      <c r="C419" s="85"/>
      <c r="D419" s="85"/>
      <c r="E419" s="85"/>
      <c r="F419" s="85"/>
      <c r="G419" s="85"/>
      <c r="H419" s="85"/>
      <c r="I419" s="85"/>
      <c r="J419" s="25"/>
      <c r="K419" s="3"/>
      <c r="L419" s="85"/>
      <c r="M419" s="85"/>
      <c r="N419" s="85"/>
      <c r="O419" s="85"/>
      <c r="P419" s="85"/>
      <c r="Q419" s="85"/>
      <c r="R419" s="85"/>
      <c r="S419" s="1"/>
      <c r="U419" s="1"/>
      <c r="V419" s="1"/>
      <c r="W419" s="1"/>
      <c r="X419" s="1"/>
      <c r="Y419" s="1"/>
      <c r="Z419" s="1"/>
      <c r="AA419" s="1"/>
      <c r="AB419" s="1"/>
      <c r="AD419" s="3"/>
      <c r="AM419" s="86"/>
      <c r="AN419" s="87"/>
      <c r="AO419" s="87"/>
      <c r="AP419" s="87"/>
      <c r="AQ419" s="87"/>
      <c r="AR419" s="87"/>
      <c r="AS419" s="85"/>
      <c r="AT419" s="21"/>
      <c r="AV419" s="3"/>
    </row>
    <row r="420" spans="3:48" x14ac:dyDescent="0.3">
      <c r="C420" s="85"/>
      <c r="D420" s="85"/>
      <c r="E420" s="85"/>
      <c r="F420" s="85"/>
      <c r="G420" s="85"/>
      <c r="H420" s="85"/>
      <c r="I420" s="85"/>
      <c r="J420" s="25"/>
      <c r="K420" s="3"/>
      <c r="L420" s="85"/>
      <c r="M420" s="85"/>
      <c r="N420" s="85"/>
      <c r="O420" s="85"/>
      <c r="P420" s="85"/>
      <c r="Q420" s="85"/>
      <c r="R420" s="85"/>
      <c r="S420" s="1"/>
      <c r="U420" s="1"/>
      <c r="V420" s="1"/>
      <c r="W420" s="1"/>
      <c r="X420" s="1"/>
      <c r="Y420" s="1"/>
      <c r="Z420" s="1"/>
      <c r="AA420" s="1"/>
      <c r="AB420" s="1"/>
      <c r="AD420" s="3"/>
      <c r="AM420" s="86"/>
      <c r="AN420" s="87"/>
      <c r="AO420" s="87"/>
      <c r="AP420" s="87"/>
      <c r="AQ420" s="87"/>
      <c r="AR420" s="87"/>
      <c r="AS420" s="85"/>
      <c r="AT420" s="21"/>
      <c r="AV420" s="3"/>
    </row>
    <row r="421" spans="3:48" x14ac:dyDescent="0.3">
      <c r="C421" s="85"/>
      <c r="D421" s="85"/>
      <c r="E421" s="85"/>
      <c r="F421" s="85"/>
      <c r="G421" s="85"/>
      <c r="H421" s="85"/>
      <c r="I421" s="85"/>
      <c r="J421" s="25"/>
      <c r="K421" s="3"/>
      <c r="L421" s="85"/>
      <c r="M421" s="85"/>
      <c r="N421" s="85"/>
      <c r="O421" s="85"/>
      <c r="P421" s="85"/>
      <c r="Q421" s="85"/>
      <c r="R421" s="85"/>
      <c r="S421" s="1"/>
      <c r="U421" s="1"/>
      <c r="V421" s="1"/>
      <c r="W421" s="1"/>
      <c r="X421" s="1"/>
      <c r="Y421" s="1"/>
      <c r="Z421" s="1"/>
      <c r="AA421" s="1"/>
      <c r="AB421" s="1"/>
      <c r="AD421" s="3"/>
      <c r="AM421" s="86"/>
      <c r="AN421" s="87"/>
      <c r="AO421" s="87"/>
      <c r="AP421" s="87"/>
      <c r="AQ421" s="87"/>
      <c r="AR421" s="87"/>
      <c r="AS421" s="85"/>
      <c r="AT421" s="21"/>
      <c r="AV421" s="3"/>
    </row>
    <row r="422" spans="3:48" x14ac:dyDescent="0.3">
      <c r="C422" s="85"/>
      <c r="D422" s="85"/>
      <c r="E422" s="85"/>
      <c r="F422" s="85"/>
      <c r="G422" s="85"/>
      <c r="H422" s="85"/>
      <c r="I422" s="85"/>
      <c r="J422" s="25"/>
      <c r="K422" s="3"/>
      <c r="L422" s="85"/>
      <c r="M422" s="85"/>
      <c r="N422" s="85"/>
      <c r="O422" s="85"/>
      <c r="P422" s="85"/>
      <c r="Q422" s="85"/>
      <c r="R422" s="85"/>
      <c r="S422" s="1"/>
      <c r="U422" s="1"/>
      <c r="V422" s="1"/>
      <c r="W422" s="1"/>
      <c r="X422" s="1"/>
      <c r="Y422" s="1"/>
      <c r="Z422" s="1"/>
      <c r="AA422" s="1"/>
      <c r="AB422" s="1"/>
      <c r="AD422" s="3"/>
      <c r="AM422" s="86"/>
      <c r="AN422" s="87"/>
      <c r="AO422" s="87"/>
      <c r="AP422" s="87"/>
      <c r="AQ422" s="87"/>
      <c r="AR422" s="87"/>
      <c r="AS422" s="85"/>
      <c r="AT422" s="21"/>
      <c r="AV422" s="3"/>
    </row>
    <row r="423" spans="3:48" x14ac:dyDescent="0.3">
      <c r="C423" s="85"/>
      <c r="D423" s="85"/>
      <c r="E423" s="85"/>
      <c r="F423" s="85"/>
      <c r="G423" s="85"/>
      <c r="H423" s="85"/>
      <c r="I423" s="85"/>
      <c r="J423" s="25"/>
      <c r="K423" s="3"/>
      <c r="L423" s="85"/>
      <c r="M423" s="85"/>
      <c r="N423" s="85"/>
      <c r="O423" s="85"/>
      <c r="P423" s="85"/>
      <c r="Q423" s="85"/>
      <c r="R423" s="85"/>
      <c r="S423" s="1"/>
      <c r="U423" s="1"/>
      <c r="V423" s="1"/>
      <c r="W423" s="1"/>
      <c r="X423" s="1"/>
      <c r="Y423" s="1"/>
      <c r="Z423" s="1"/>
      <c r="AA423" s="1"/>
      <c r="AB423" s="1"/>
      <c r="AD423" s="3"/>
      <c r="AM423" s="86"/>
      <c r="AN423" s="87"/>
      <c r="AO423" s="87"/>
      <c r="AP423" s="87"/>
      <c r="AQ423" s="87"/>
      <c r="AR423" s="87"/>
      <c r="AS423" s="85"/>
      <c r="AT423" s="21"/>
      <c r="AV423" s="3"/>
    </row>
    <row r="424" spans="3:48" x14ac:dyDescent="0.3">
      <c r="C424" s="85"/>
      <c r="D424" s="85"/>
      <c r="E424" s="85"/>
      <c r="F424" s="85"/>
      <c r="G424" s="85"/>
      <c r="H424" s="85"/>
      <c r="I424" s="85"/>
      <c r="J424" s="25"/>
      <c r="K424" s="3"/>
      <c r="L424" s="85"/>
      <c r="M424" s="85"/>
      <c r="N424" s="85"/>
      <c r="O424" s="85"/>
      <c r="P424" s="85"/>
      <c r="Q424" s="85"/>
      <c r="R424" s="85"/>
      <c r="S424" s="1"/>
      <c r="U424" s="1"/>
      <c r="V424" s="1"/>
      <c r="W424" s="1"/>
      <c r="X424" s="1"/>
      <c r="Y424" s="1"/>
      <c r="Z424" s="1"/>
      <c r="AA424" s="1"/>
      <c r="AB424" s="1"/>
      <c r="AD424" s="3"/>
      <c r="AM424" s="86"/>
      <c r="AN424" s="87"/>
      <c r="AO424" s="87"/>
      <c r="AP424" s="87"/>
      <c r="AQ424" s="87"/>
      <c r="AR424" s="87"/>
      <c r="AS424" s="85"/>
      <c r="AT424" s="21"/>
      <c r="AV424" s="3"/>
    </row>
    <row r="425" spans="3:48" x14ac:dyDescent="0.3">
      <c r="C425" s="85"/>
      <c r="D425" s="85"/>
      <c r="E425" s="85"/>
      <c r="F425" s="85"/>
      <c r="G425" s="85"/>
      <c r="H425" s="85"/>
      <c r="I425" s="85"/>
      <c r="J425" s="25"/>
      <c r="K425" s="3"/>
      <c r="L425" s="85"/>
      <c r="M425" s="85"/>
      <c r="N425" s="85"/>
      <c r="O425" s="85"/>
      <c r="P425" s="85"/>
      <c r="Q425" s="85"/>
      <c r="R425" s="85"/>
      <c r="S425" s="1"/>
      <c r="U425" s="1"/>
      <c r="V425" s="1"/>
      <c r="W425" s="1"/>
      <c r="X425" s="1"/>
      <c r="Y425" s="1"/>
      <c r="Z425" s="1"/>
      <c r="AA425" s="1"/>
      <c r="AB425" s="1"/>
      <c r="AD425" s="3"/>
      <c r="AM425" s="86"/>
      <c r="AN425" s="87"/>
      <c r="AO425" s="87"/>
      <c r="AP425" s="87"/>
      <c r="AQ425" s="87"/>
      <c r="AR425" s="87"/>
      <c r="AS425" s="85"/>
      <c r="AT425" s="21"/>
      <c r="AV425" s="3"/>
    </row>
    <row r="426" spans="3:48" x14ac:dyDescent="0.3">
      <c r="C426" s="85"/>
      <c r="D426" s="85"/>
      <c r="E426" s="85"/>
      <c r="F426" s="85"/>
      <c r="G426" s="85"/>
      <c r="H426" s="85"/>
      <c r="I426" s="85"/>
      <c r="J426" s="25"/>
      <c r="K426" s="3"/>
      <c r="L426" s="85"/>
      <c r="M426" s="85"/>
      <c r="N426" s="85"/>
      <c r="O426" s="85"/>
      <c r="P426" s="85"/>
      <c r="Q426" s="85"/>
      <c r="R426" s="85"/>
      <c r="S426" s="1"/>
      <c r="U426" s="1"/>
      <c r="V426" s="1"/>
      <c r="W426" s="1"/>
      <c r="X426" s="1"/>
      <c r="Y426" s="1"/>
      <c r="Z426" s="1"/>
      <c r="AA426" s="1"/>
      <c r="AB426" s="1"/>
      <c r="AD426" s="3"/>
      <c r="AM426" s="86"/>
      <c r="AN426" s="87"/>
      <c r="AO426" s="87"/>
      <c r="AP426" s="87"/>
      <c r="AQ426" s="87"/>
      <c r="AR426" s="87"/>
      <c r="AS426" s="85"/>
      <c r="AT426" s="21"/>
      <c r="AV426" s="3"/>
    </row>
    <row r="427" spans="3:48" x14ac:dyDescent="0.3">
      <c r="C427" s="85"/>
      <c r="D427" s="85"/>
      <c r="E427" s="85"/>
      <c r="F427" s="85"/>
      <c r="G427" s="85"/>
      <c r="H427" s="85"/>
      <c r="I427" s="85"/>
      <c r="J427" s="25"/>
      <c r="K427" s="3"/>
      <c r="L427" s="85"/>
      <c r="M427" s="85"/>
      <c r="N427" s="85"/>
      <c r="O427" s="85"/>
      <c r="P427" s="85"/>
      <c r="Q427" s="85"/>
      <c r="R427" s="85"/>
      <c r="S427" s="1"/>
      <c r="U427" s="1"/>
      <c r="V427" s="1"/>
      <c r="W427" s="1"/>
      <c r="X427" s="1"/>
      <c r="Y427" s="1"/>
      <c r="Z427" s="1"/>
      <c r="AA427" s="1"/>
      <c r="AB427" s="1"/>
      <c r="AD427" s="3"/>
      <c r="AM427" s="86"/>
      <c r="AN427" s="87"/>
      <c r="AO427" s="87"/>
      <c r="AP427" s="87"/>
      <c r="AQ427" s="87"/>
      <c r="AR427" s="87"/>
      <c r="AS427" s="85"/>
      <c r="AT427" s="21"/>
      <c r="AV427" s="3"/>
    </row>
    <row r="428" spans="3:48" x14ac:dyDescent="0.3">
      <c r="C428" s="85"/>
      <c r="D428" s="85"/>
      <c r="E428" s="85"/>
      <c r="F428" s="85"/>
      <c r="G428" s="85"/>
      <c r="H428" s="85"/>
      <c r="I428" s="85"/>
      <c r="J428" s="25"/>
      <c r="K428" s="3"/>
      <c r="L428" s="85"/>
      <c r="M428" s="85"/>
      <c r="N428" s="85"/>
      <c r="O428" s="85"/>
      <c r="P428" s="85"/>
      <c r="Q428" s="85"/>
      <c r="R428" s="85"/>
      <c r="S428" s="1"/>
      <c r="U428" s="1"/>
      <c r="V428" s="1"/>
      <c r="W428" s="1"/>
      <c r="X428" s="1"/>
      <c r="Y428" s="1"/>
      <c r="Z428" s="1"/>
      <c r="AA428" s="1"/>
      <c r="AB428" s="1"/>
      <c r="AD428" s="3"/>
      <c r="AM428" s="86"/>
      <c r="AN428" s="87"/>
      <c r="AO428" s="87"/>
      <c r="AP428" s="87"/>
      <c r="AQ428" s="87"/>
      <c r="AR428" s="87"/>
      <c r="AS428" s="85"/>
      <c r="AT428" s="21"/>
      <c r="AV428" s="3"/>
    </row>
    <row r="429" spans="3:48" x14ac:dyDescent="0.3">
      <c r="C429" s="85"/>
      <c r="D429" s="85"/>
      <c r="E429" s="85"/>
      <c r="F429" s="85"/>
      <c r="G429" s="85"/>
      <c r="H429" s="85"/>
      <c r="I429" s="85"/>
      <c r="J429" s="25"/>
      <c r="K429" s="3"/>
      <c r="L429" s="85"/>
      <c r="M429" s="85"/>
      <c r="N429" s="85"/>
      <c r="O429" s="85"/>
      <c r="P429" s="85"/>
      <c r="Q429" s="85"/>
      <c r="R429" s="85"/>
      <c r="S429" s="1"/>
      <c r="U429" s="1"/>
      <c r="V429" s="1"/>
      <c r="W429" s="1"/>
      <c r="X429" s="1"/>
      <c r="Y429" s="1"/>
      <c r="Z429" s="1"/>
      <c r="AA429" s="1"/>
      <c r="AB429" s="1"/>
      <c r="AD429" s="3"/>
      <c r="AM429" s="86"/>
      <c r="AN429" s="87"/>
      <c r="AO429" s="87"/>
      <c r="AP429" s="87"/>
      <c r="AQ429" s="87"/>
      <c r="AR429" s="87"/>
      <c r="AS429" s="85"/>
      <c r="AT429" s="21"/>
      <c r="AV429" s="3"/>
    </row>
    <row r="430" spans="3:48" x14ac:dyDescent="0.3">
      <c r="C430" s="85"/>
      <c r="D430" s="85"/>
      <c r="E430" s="85"/>
      <c r="F430" s="85"/>
      <c r="G430" s="85"/>
      <c r="H430" s="85"/>
      <c r="I430" s="85"/>
      <c r="J430" s="25"/>
      <c r="K430" s="3"/>
      <c r="L430" s="85"/>
      <c r="M430" s="85"/>
      <c r="N430" s="85"/>
      <c r="O430" s="85"/>
      <c r="P430" s="85"/>
      <c r="Q430" s="85"/>
      <c r="R430" s="85"/>
      <c r="S430" s="1"/>
      <c r="U430" s="1"/>
      <c r="V430" s="1"/>
      <c r="W430" s="1"/>
      <c r="X430" s="1"/>
      <c r="Y430" s="1"/>
      <c r="Z430" s="1"/>
      <c r="AA430" s="1"/>
      <c r="AB430" s="1"/>
      <c r="AD430" s="3"/>
      <c r="AM430" s="86"/>
      <c r="AN430" s="87"/>
      <c r="AO430" s="87"/>
      <c r="AP430" s="87"/>
      <c r="AQ430" s="87"/>
      <c r="AR430" s="87"/>
      <c r="AS430" s="85"/>
      <c r="AT430" s="21"/>
      <c r="AV430" s="3"/>
    </row>
    <row r="431" spans="3:48" x14ac:dyDescent="0.3">
      <c r="C431" s="85"/>
      <c r="D431" s="85"/>
      <c r="E431" s="85"/>
      <c r="F431" s="85"/>
      <c r="G431" s="85"/>
      <c r="H431" s="85"/>
      <c r="I431" s="85"/>
      <c r="J431" s="25"/>
      <c r="K431" s="3"/>
      <c r="L431" s="85"/>
      <c r="M431" s="85"/>
      <c r="N431" s="85"/>
      <c r="O431" s="85"/>
      <c r="P431" s="85"/>
      <c r="Q431" s="85"/>
      <c r="R431" s="85"/>
      <c r="S431" s="1"/>
      <c r="U431" s="1"/>
      <c r="V431" s="1"/>
      <c r="W431" s="1"/>
      <c r="X431" s="1"/>
      <c r="Y431" s="1"/>
      <c r="Z431" s="1"/>
      <c r="AA431" s="1"/>
      <c r="AB431" s="1"/>
      <c r="AD431" s="3"/>
      <c r="AM431" s="86"/>
      <c r="AN431" s="87"/>
      <c r="AO431" s="87"/>
      <c r="AP431" s="87"/>
      <c r="AQ431" s="87"/>
      <c r="AR431" s="87"/>
      <c r="AS431" s="85"/>
      <c r="AT431" s="21"/>
      <c r="AV431" s="3"/>
    </row>
    <row r="432" spans="3:48" x14ac:dyDescent="0.3">
      <c r="C432" s="85"/>
      <c r="D432" s="85"/>
      <c r="E432" s="85"/>
      <c r="F432" s="85"/>
      <c r="G432" s="85"/>
      <c r="H432" s="85"/>
      <c r="I432" s="85"/>
      <c r="J432" s="25"/>
      <c r="K432" s="3"/>
      <c r="L432" s="85"/>
      <c r="M432" s="85"/>
      <c r="N432" s="85"/>
      <c r="O432" s="85"/>
      <c r="P432" s="85"/>
      <c r="Q432" s="85"/>
      <c r="R432" s="85"/>
      <c r="S432" s="1"/>
      <c r="U432" s="1"/>
      <c r="V432" s="1"/>
      <c r="W432" s="1"/>
      <c r="X432" s="1"/>
      <c r="Y432" s="1"/>
      <c r="Z432" s="1"/>
      <c r="AA432" s="1"/>
      <c r="AB432" s="1"/>
      <c r="AD432" s="3"/>
      <c r="AM432" s="86"/>
      <c r="AN432" s="87"/>
      <c r="AO432" s="87"/>
      <c r="AP432" s="87"/>
      <c r="AQ432" s="87"/>
      <c r="AR432" s="87"/>
      <c r="AS432" s="85"/>
      <c r="AT432" s="21"/>
      <c r="AV432" s="3"/>
    </row>
    <row r="433" spans="3:48" x14ac:dyDescent="0.3">
      <c r="C433" s="85"/>
      <c r="D433" s="85"/>
      <c r="E433" s="85"/>
      <c r="F433" s="85"/>
      <c r="G433" s="85"/>
      <c r="H433" s="85"/>
      <c r="I433" s="85"/>
      <c r="J433" s="25"/>
      <c r="K433" s="3"/>
      <c r="L433" s="85"/>
      <c r="M433" s="85"/>
      <c r="N433" s="85"/>
      <c r="O433" s="85"/>
      <c r="P433" s="85"/>
      <c r="Q433" s="85"/>
      <c r="R433" s="85"/>
      <c r="S433" s="1"/>
      <c r="U433" s="1"/>
      <c r="V433" s="1"/>
      <c r="W433" s="1"/>
      <c r="X433" s="1"/>
      <c r="Y433" s="1"/>
      <c r="Z433" s="1"/>
      <c r="AA433" s="1"/>
      <c r="AB433" s="1"/>
      <c r="AD433" s="3"/>
      <c r="AM433" s="86"/>
      <c r="AN433" s="87"/>
      <c r="AO433" s="87"/>
      <c r="AP433" s="87"/>
      <c r="AQ433" s="87"/>
      <c r="AR433" s="87"/>
      <c r="AS433" s="85"/>
      <c r="AT433" s="21"/>
      <c r="AV433" s="3"/>
    </row>
    <row r="434" spans="3:48" x14ac:dyDescent="0.3">
      <c r="C434" s="85"/>
      <c r="D434" s="85"/>
      <c r="E434" s="85"/>
      <c r="F434" s="85"/>
      <c r="G434" s="85"/>
      <c r="H434" s="85"/>
      <c r="I434" s="85"/>
      <c r="J434" s="25"/>
      <c r="K434" s="3"/>
      <c r="L434" s="85"/>
      <c r="M434" s="85"/>
      <c r="N434" s="85"/>
      <c r="O434" s="85"/>
      <c r="P434" s="85"/>
      <c r="Q434" s="85"/>
      <c r="R434" s="85"/>
      <c r="S434" s="1"/>
      <c r="U434" s="1"/>
      <c r="V434" s="1"/>
      <c r="W434" s="1"/>
      <c r="X434" s="1"/>
      <c r="Y434" s="1"/>
      <c r="Z434" s="1"/>
      <c r="AA434" s="1"/>
      <c r="AB434" s="1"/>
      <c r="AD434" s="3"/>
      <c r="AM434" s="86"/>
      <c r="AN434" s="87"/>
      <c r="AO434" s="87"/>
      <c r="AP434" s="87"/>
      <c r="AQ434" s="87"/>
      <c r="AR434" s="87"/>
      <c r="AS434" s="85"/>
      <c r="AT434" s="21"/>
      <c r="AV434" s="3"/>
    </row>
    <row r="435" spans="3:48" x14ac:dyDescent="0.3">
      <c r="C435" s="85"/>
      <c r="D435" s="85"/>
      <c r="E435" s="85"/>
      <c r="F435" s="85"/>
      <c r="G435" s="85"/>
      <c r="H435" s="85"/>
      <c r="I435" s="85"/>
      <c r="J435" s="25"/>
      <c r="K435" s="3"/>
      <c r="L435" s="85"/>
      <c r="M435" s="85"/>
      <c r="N435" s="85"/>
      <c r="O435" s="85"/>
      <c r="P435" s="85"/>
      <c r="Q435" s="85"/>
      <c r="R435" s="85"/>
      <c r="S435" s="1"/>
      <c r="U435" s="1"/>
      <c r="V435" s="1"/>
      <c r="W435" s="1"/>
      <c r="X435" s="1"/>
      <c r="Y435" s="1"/>
      <c r="Z435" s="1"/>
      <c r="AA435" s="1"/>
      <c r="AB435" s="1"/>
      <c r="AD435" s="3"/>
      <c r="AM435" s="86"/>
      <c r="AN435" s="87"/>
      <c r="AO435" s="87"/>
      <c r="AP435" s="87"/>
      <c r="AQ435" s="87"/>
      <c r="AR435" s="87"/>
      <c r="AS435" s="85"/>
      <c r="AT435" s="21"/>
      <c r="AV435" s="3"/>
    </row>
    <row r="436" spans="3:48" x14ac:dyDescent="0.3">
      <c r="C436" s="85"/>
      <c r="D436" s="85"/>
      <c r="E436" s="85"/>
      <c r="F436" s="85"/>
      <c r="G436" s="85"/>
      <c r="H436" s="85"/>
      <c r="I436" s="85"/>
      <c r="J436" s="25"/>
      <c r="K436" s="3"/>
      <c r="L436" s="85"/>
      <c r="M436" s="85"/>
      <c r="N436" s="85"/>
      <c r="O436" s="85"/>
      <c r="P436" s="85"/>
      <c r="Q436" s="85"/>
      <c r="R436" s="85"/>
      <c r="S436" s="1"/>
      <c r="U436" s="1"/>
      <c r="V436" s="1"/>
      <c r="W436" s="1"/>
      <c r="X436" s="1"/>
      <c r="Y436" s="1"/>
      <c r="Z436" s="1"/>
      <c r="AA436" s="1"/>
      <c r="AB436" s="1"/>
      <c r="AD436" s="3"/>
      <c r="AM436" s="86"/>
      <c r="AN436" s="87"/>
      <c r="AO436" s="87"/>
      <c r="AP436" s="87"/>
      <c r="AQ436" s="87"/>
      <c r="AR436" s="87"/>
      <c r="AS436" s="85"/>
      <c r="AT436" s="21"/>
      <c r="AV436" s="3"/>
    </row>
    <row r="437" spans="3:48" x14ac:dyDescent="0.3">
      <c r="C437" s="85"/>
      <c r="D437" s="85"/>
      <c r="E437" s="85"/>
      <c r="F437" s="85"/>
      <c r="G437" s="85"/>
      <c r="H437" s="85"/>
      <c r="I437" s="85"/>
      <c r="J437" s="25"/>
      <c r="K437" s="3"/>
      <c r="L437" s="85"/>
      <c r="M437" s="85"/>
      <c r="N437" s="85"/>
      <c r="O437" s="85"/>
      <c r="P437" s="85"/>
      <c r="Q437" s="85"/>
      <c r="R437" s="85"/>
      <c r="S437" s="1"/>
      <c r="U437" s="1"/>
      <c r="V437" s="1"/>
      <c r="W437" s="1"/>
      <c r="X437" s="1"/>
      <c r="Y437" s="1"/>
      <c r="Z437" s="1"/>
      <c r="AA437" s="1"/>
      <c r="AB437" s="1"/>
      <c r="AD437" s="3"/>
      <c r="AM437" s="86"/>
      <c r="AN437" s="87"/>
      <c r="AO437" s="87"/>
      <c r="AP437" s="87"/>
      <c r="AQ437" s="87"/>
      <c r="AR437" s="87"/>
      <c r="AS437" s="85"/>
      <c r="AT437" s="21"/>
      <c r="AV437" s="3"/>
    </row>
    <row r="438" spans="3:48" x14ac:dyDescent="0.3">
      <c r="C438" s="85"/>
      <c r="D438" s="85"/>
      <c r="E438" s="85"/>
      <c r="F438" s="85"/>
      <c r="G438" s="85"/>
      <c r="H438" s="85"/>
      <c r="I438" s="85"/>
      <c r="J438" s="25"/>
      <c r="K438" s="3"/>
      <c r="L438" s="85"/>
      <c r="M438" s="85"/>
      <c r="N438" s="85"/>
      <c r="O438" s="85"/>
      <c r="P438" s="85"/>
      <c r="Q438" s="85"/>
      <c r="R438" s="85"/>
      <c r="S438" s="1"/>
      <c r="U438" s="1"/>
      <c r="V438" s="1"/>
      <c r="W438" s="1"/>
      <c r="X438" s="1"/>
      <c r="Y438" s="1"/>
      <c r="Z438" s="1"/>
      <c r="AA438" s="1"/>
      <c r="AB438" s="1"/>
      <c r="AD438" s="3"/>
      <c r="AM438" s="86"/>
      <c r="AN438" s="87"/>
      <c r="AO438" s="87"/>
      <c r="AP438" s="87"/>
      <c r="AQ438" s="87"/>
      <c r="AR438" s="87"/>
      <c r="AS438" s="85"/>
      <c r="AT438" s="21"/>
      <c r="AV438" s="3"/>
    </row>
    <row r="439" spans="3:48" x14ac:dyDescent="0.3">
      <c r="C439" s="85"/>
      <c r="D439" s="85"/>
      <c r="E439" s="85"/>
      <c r="F439" s="85"/>
      <c r="G439" s="85"/>
      <c r="H439" s="85"/>
      <c r="I439" s="85"/>
      <c r="J439" s="25"/>
      <c r="K439" s="3"/>
      <c r="L439" s="85"/>
      <c r="M439" s="85"/>
      <c r="N439" s="85"/>
      <c r="O439" s="85"/>
      <c r="P439" s="85"/>
      <c r="Q439" s="85"/>
      <c r="R439" s="85"/>
      <c r="S439" s="1"/>
      <c r="U439" s="1"/>
      <c r="V439" s="1"/>
      <c r="W439" s="1"/>
      <c r="X439" s="1"/>
      <c r="Y439" s="1"/>
      <c r="Z439" s="1"/>
      <c r="AA439" s="1"/>
      <c r="AB439" s="1"/>
      <c r="AD439" s="3"/>
      <c r="AM439" s="86"/>
      <c r="AN439" s="87"/>
      <c r="AO439" s="87"/>
      <c r="AP439" s="87"/>
      <c r="AQ439" s="87"/>
      <c r="AR439" s="87"/>
      <c r="AS439" s="85"/>
      <c r="AT439" s="21"/>
      <c r="AV439" s="3"/>
    </row>
    <row r="440" spans="3:48" x14ac:dyDescent="0.3">
      <c r="C440" s="85"/>
      <c r="D440" s="85"/>
      <c r="E440" s="85"/>
      <c r="F440" s="85"/>
      <c r="G440" s="85"/>
      <c r="H440" s="85"/>
      <c r="I440" s="85"/>
      <c r="J440" s="25"/>
      <c r="K440" s="3"/>
      <c r="L440" s="85"/>
      <c r="M440" s="85"/>
      <c r="N440" s="85"/>
      <c r="O440" s="85"/>
      <c r="P440" s="85"/>
      <c r="Q440" s="85"/>
      <c r="R440" s="85"/>
      <c r="S440" s="1"/>
      <c r="U440" s="1"/>
      <c r="V440" s="1"/>
      <c r="W440" s="1"/>
      <c r="X440" s="1"/>
      <c r="Y440" s="1"/>
      <c r="Z440" s="1"/>
      <c r="AA440" s="1"/>
      <c r="AB440" s="1"/>
      <c r="AD440" s="3"/>
      <c r="AM440" s="86"/>
      <c r="AN440" s="87"/>
      <c r="AO440" s="87"/>
      <c r="AP440" s="87"/>
      <c r="AQ440" s="87"/>
      <c r="AR440" s="87"/>
      <c r="AS440" s="85"/>
      <c r="AT440" s="21"/>
      <c r="AV440" s="3"/>
    </row>
    <row r="441" spans="3:48" x14ac:dyDescent="0.3">
      <c r="C441" s="85"/>
      <c r="D441" s="85"/>
      <c r="E441" s="85"/>
      <c r="F441" s="85"/>
      <c r="G441" s="85"/>
      <c r="H441" s="85"/>
      <c r="I441" s="85"/>
      <c r="J441" s="25"/>
      <c r="K441" s="3"/>
      <c r="L441" s="85"/>
      <c r="M441" s="85"/>
      <c r="N441" s="85"/>
      <c r="O441" s="85"/>
      <c r="P441" s="85"/>
      <c r="Q441" s="85"/>
      <c r="R441" s="85"/>
      <c r="S441" s="1"/>
      <c r="U441" s="1"/>
      <c r="V441" s="1"/>
      <c r="W441" s="1"/>
      <c r="X441" s="1"/>
      <c r="Y441" s="1"/>
      <c r="Z441" s="1"/>
      <c r="AA441" s="1"/>
      <c r="AB441" s="1"/>
      <c r="AD441" s="3"/>
      <c r="AM441" s="86"/>
      <c r="AN441" s="87"/>
      <c r="AO441" s="87"/>
      <c r="AP441" s="87"/>
      <c r="AQ441" s="87"/>
      <c r="AR441" s="87"/>
      <c r="AS441" s="85"/>
      <c r="AT441" s="21"/>
      <c r="AV441" s="3"/>
    </row>
    <row r="442" spans="3:48" x14ac:dyDescent="0.3">
      <c r="C442" s="85"/>
      <c r="D442" s="85"/>
      <c r="E442" s="85"/>
      <c r="F442" s="85"/>
      <c r="G442" s="85"/>
      <c r="H442" s="85"/>
      <c r="I442" s="85"/>
      <c r="J442" s="25"/>
      <c r="K442" s="3"/>
      <c r="L442" s="85"/>
      <c r="M442" s="85"/>
      <c r="N442" s="85"/>
      <c r="O442" s="85"/>
      <c r="P442" s="85"/>
      <c r="Q442" s="85"/>
      <c r="R442" s="85"/>
      <c r="S442" s="1"/>
      <c r="U442" s="1"/>
      <c r="V442" s="1"/>
      <c r="W442" s="1"/>
      <c r="X442" s="1"/>
      <c r="Y442" s="1"/>
      <c r="Z442" s="1"/>
      <c r="AA442" s="1"/>
      <c r="AB442" s="1"/>
      <c r="AD442" s="3"/>
      <c r="AM442" s="86"/>
      <c r="AN442" s="87"/>
      <c r="AO442" s="87"/>
      <c r="AP442" s="87"/>
      <c r="AQ442" s="87"/>
      <c r="AR442" s="87"/>
      <c r="AS442" s="85"/>
      <c r="AT442" s="21"/>
      <c r="AV442" s="3"/>
    </row>
    <row r="443" spans="3:48" x14ac:dyDescent="0.3">
      <c r="C443" s="85"/>
      <c r="D443" s="85"/>
      <c r="E443" s="85"/>
      <c r="F443" s="85"/>
      <c r="G443" s="85"/>
      <c r="H443" s="85"/>
      <c r="I443" s="85"/>
      <c r="J443" s="25"/>
      <c r="K443" s="3"/>
      <c r="L443" s="85"/>
      <c r="M443" s="85"/>
      <c r="N443" s="85"/>
      <c r="O443" s="85"/>
      <c r="P443" s="85"/>
      <c r="Q443" s="85"/>
      <c r="R443" s="85"/>
      <c r="S443" s="1"/>
      <c r="U443" s="1"/>
      <c r="V443" s="1"/>
      <c r="W443" s="1"/>
      <c r="X443" s="1"/>
      <c r="Y443" s="1"/>
      <c r="Z443" s="1"/>
      <c r="AA443" s="1"/>
      <c r="AB443" s="1"/>
      <c r="AD443" s="3"/>
      <c r="AM443" s="86"/>
      <c r="AN443" s="87"/>
      <c r="AO443" s="87"/>
      <c r="AP443" s="87"/>
      <c r="AQ443" s="87"/>
      <c r="AR443" s="87"/>
      <c r="AS443" s="85"/>
      <c r="AT443" s="21"/>
      <c r="AV443" s="3"/>
    </row>
    <row r="444" spans="3:48" x14ac:dyDescent="0.3">
      <c r="C444" s="85"/>
      <c r="D444" s="85"/>
      <c r="E444" s="85"/>
      <c r="F444" s="85"/>
      <c r="G444" s="85"/>
      <c r="H444" s="85"/>
      <c r="I444" s="85"/>
      <c r="J444" s="25"/>
      <c r="K444" s="3"/>
      <c r="L444" s="85"/>
      <c r="M444" s="85"/>
      <c r="N444" s="85"/>
      <c r="O444" s="85"/>
      <c r="P444" s="85"/>
      <c r="Q444" s="85"/>
      <c r="R444" s="85"/>
      <c r="S444" s="1"/>
      <c r="U444" s="1"/>
      <c r="V444" s="1"/>
      <c r="W444" s="1"/>
      <c r="X444" s="1"/>
      <c r="Y444" s="1"/>
      <c r="Z444" s="1"/>
      <c r="AA444" s="1"/>
      <c r="AB444" s="1"/>
      <c r="AD444" s="3"/>
      <c r="AM444" s="86"/>
      <c r="AN444" s="87"/>
      <c r="AO444" s="87"/>
      <c r="AP444" s="87"/>
      <c r="AQ444" s="87"/>
      <c r="AR444" s="87"/>
      <c r="AS444" s="85"/>
      <c r="AT444" s="21"/>
      <c r="AV444" s="3"/>
    </row>
    <row r="445" spans="3:48" x14ac:dyDescent="0.3">
      <c r="C445" s="85"/>
      <c r="D445" s="85"/>
      <c r="E445" s="85"/>
      <c r="F445" s="85"/>
      <c r="G445" s="85"/>
      <c r="H445" s="85"/>
      <c r="I445" s="85"/>
      <c r="J445" s="25"/>
      <c r="K445" s="3"/>
      <c r="L445" s="85"/>
      <c r="M445" s="85"/>
      <c r="N445" s="85"/>
      <c r="O445" s="85"/>
      <c r="P445" s="85"/>
      <c r="Q445" s="85"/>
      <c r="R445" s="85"/>
      <c r="S445" s="1"/>
      <c r="U445" s="1"/>
      <c r="V445" s="1"/>
      <c r="W445" s="1"/>
      <c r="X445" s="1"/>
      <c r="Y445" s="1"/>
      <c r="Z445" s="1"/>
      <c r="AA445" s="1"/>
      <c r="AB445" s="1"/>
      <c r="AD445" s="3"/>
      <c r="AM445" s="86"/>
      <c r="AN445" s="87"/>
      <c r="AO445" s="87"/>
      <c r="AP445" s="87"/>
      <c r="AQ445" s="87"/>
      <c r="AR445" s="87"/>
      <c r="AS445" s="85"/>
      <c r="AT445" s="21"/>
      <c r="AV445" s="3"/>
    </row>
    <row r="446" spans="3:48" x14ac:dyDescent="0.3">
      <c r="C446" s="85"/>
      <c r="D446" s="85"/>
      <c r="E446" s="85"/>
      <c r="F446" s="85"/>
      <c r="G446" s="85"/>
      <c r="H446" s="85"/>
      <c r="I446" s="85"/>
      <c r="J446" s="25"/>
      <c r="K446" s="3"/>
      <c r="L446" s="85"/>
      <c r="M446" s="85"/>
      <c r="N446" s="85"/>
      <c r="O446" s="85"/>
      <c r="P446" s="85"/>
      <c r="Q446" s="85"/>
      <c r="R446" s="85"/>
      <c r="S446" s="1"/>
      <c r="U446" s="1"/>
      <c r="V446" s="1"/>
      <c r="W446" s="1"/>
      <c r="X446" s="1"/>
      <c r="Y446" s="1"/>
      <c r="Z446" s="1"/>
      <c r="AA446" s="1"/>
      <c r="AB446" s="1"/>
      <c r="AD446" s="3"/>
      <c r="AM446" s="86"/>
      <c r="AN446" s="87"/>
      <c r="AO446" s="87"/>
      <c r="AP446" s="87"/>
      <c r="AQ446" s="87"/>
      <c r="AR446" s="87"/>
      <c r="AS446" s="85"/>
      <c r="AT446" s="21"/>
      <c r="AV446" s="3"/>
    </row>
    <row r="447" spans="3:48" x14ac:dyDescent="0.3">
      <c r="C447" s="85"/>
      <c r="D447" s="85"/>
      <c r="E447" s="85"/>
      <c r="F447" s="85"/>
      <c r="G447" s="85"/>
      <c r="H447" s="85"/>
      <c r="I447" s="85"/>
      <c r="J447" s="25"/>
      <c r="K447" s="3"/>
      <c r="L447" s="85"/>
      <c r="M447" s="85"/>
      <c r="N447" s="85"/>
      <c r="O447" s="85"/>
      <c r="P447" s="85"/>
      <c r="Q447" s="85"/>
      <c r="R447" s="85"/>
      <c r="S447" s="1"/>
      <c r="U447" s="1"/>
      <c r="V447" s="1"/>
      <c r="W447" s="1"/>
      <c r="X447" s="1"/>
      <c r="Y447" s="1"/>
      <c r="Z447" s="1"/>
      <c r="AA447" s="1"/>
      <c r="AB447" s="1"/>
      <c r="AD447" s="3"/>
      <c r="AM447" s="86"/>
      <c r="AN447" s="87"/>
      <c r="AO447" s="87"/>
      <c r="AP447" s="87"/>
      <c r="AQ447" s="87"/>
      <c r="AR447" s="87"/>
      <c r="AS447" s="85"/>
      <c r="AT447" s="21"/>
      <c r="AV447" s="3"/>
    </row>
    <row r="448" spans="3:48" x14ac:dyDescent="0.3">
      <c r="C448" s="85"/>
      <c r="D448" s="85"/>
      <c r="E448" s="85"/>
      <c r="F448" s="85"/>
      <c r="G448" s="85"/>
      <c r="H448" s="85"/>
      <c r="I448" s="85"/>
      <c r="J448" s="25"/>
      <c r="K448" s="3"/>
      <c r="L448" s="85"/>
      <c r="M448" s="85"/>
      <c r="N448" s="85"/>
      <c r="O448" s="85"/>
      <c r="P448" s="85"/>
      <c r="Q448" s="85"/>
      <c r="R448" s="85"/>
      <c r="S448" s="1"/>
      <c r="U448" s="1"/>
      <c r="V448" s="1"/>
      <c r="W448" s="1"/>
      <c r="X448" s="1"/>
      <c r="Y448" s="1"/>
      <c r="Z448" s="1"/>
      <c r="AA448" s="1"/>
      <c r="AB448" s="1"/>
      <c r="AD448" s="3"/>
      <c r="AM448" s="86"/>
      <c r="AN448" s="87"/>
      <c r="AO448" s="87"/>
      <c r="AP448" s="87"/>
      <c r="AQ448" s="87"/>
      <c r="AR448" s="87"/>
      <c r="AS448" s="85"/>
      <c r="AT448" s="21"/>
      <c r="AV448" s="3"/>
    </row>
    <row r="449" spans="3:48" x14ac:dyDescent="0.3">
      <c r="C449" s="85"/>
      <c r="D449" s="85"/>
      <c r="E449" s="85"/>
      <c r="F449" s="85"/>
      <c r="G449" s="85"/>
      <c r="H449" s="85"/>
      <c r="I449" s="85"/>
      <c r="J449" s="25"/>
      <c r="K449" s="3"/>
      <c r="L449" s="85"/>
      <c r="M449" s="85"/>
      <c r="N449" s="85"/>
      <c r="O449" s="85"/>
      <c r="P449" s="85"/>
      <c r="Q449" s="85"/>
      <c r="R449" s="85"/>
      <c r="S449" s="1"/>
      <c r="U449" s="1"/>
      <c r="V449" s="1"/>
      <c r="W449" s="1"/>
      <c r="X449" s="1"/>
      <c r="Y449" s="1"/>
      <c r="Z449" s="1"/>
      <c r="AA449" s="1"/>
      <c r="AB449" s="1"/>
      <c r="AD449" s="3"/>
      <c r="AM449" s="86"/>
      <c r="AN449" s="87"/>
      <c r="AO449" s="87"/>
      <c r="AP449" s="87"/>
      <c r="AQ449" s="87"/>
      <c r="AR449" s="87"/>
      <c r="AS449" s="85"/>
      <c r="AT449" s="21"/>
      <c r="AV449" s="3"/>
    </row>
    <row r="450" spans="3:48" x14ac:dyDescent="0.3">
      <c r="C450" s="85"/>
      <c r="D450" s="85"/>
      <c r="E450" s="85"/>
      <c r="F450" s="85"/>
      <c r="G450" s="85"/>
      <c r="H450" s="85"/>
      <c r="I450" s="85"/>
      <c r="J450" s="25"/>
      <c r="K450" s="3"/>
      <c r="L450" s="85"/>
      <c r="M450" s="85"/>
      <c r="N450" s="85"/>
      <c r="O450" s="85"/>
      <c r="P450" s="85"/>
      <c r="Q450" s="85"/>
      <c r="R450" s="85"/>
      <c r="S450" s="1"/>
      <c r="U450" s="1"/>
      <c r="V450" s="1"/>
      <c r="W450" s="1"/>
      <c r="X450" s="1"/>
      <c r="Y450" s="1"/>
      <c r="Z450" s="1"/>
      <c r="AA450" s="1"/>
      <c r="AB450" s="1"/>
      <c r="AD450" s="3"/>
      <c r="AM450" s="86"/>
      <c r="AN450" s="87"/>
      <c r="AO450" s="87"/>
      <c r="AP450" s="87"/>
      <c r="AQ450" s="87"/>
      <c r="AR450" s="87"/>
      <c r="AS450" s="85"/>
      <c r="AT450" s="21"/>
      <c r="AV450" s="3"/>
    </row>
    <row r="451" spans="3:48" x14ac:dyDescent="0.3">
      <c r="C451" s="85"/>
      <c r="D451" s="85"/>
      <c r="E451" s="85"/>
      <c r="F451" s="85"/>
      <c r="G451" s="85"/>
      <c r="H451" s="85"/>
      <c r="I451" s="85"/>
      <c r="J451" s="25"/>
      <c r="K451" s="3"/>
      <c r="L451" s="85"/>
      <c r="M451" s="85"/>
      <c r="N451" s="85"/>
      <c r="O451" s="85"/>
      <c r="P451" s="85"/>
      <c r="Q451" s="85"/>
      <c r="R451" s="85"/>
      <c r="S451" s="1"/>
      <c r="U451" s="1"/>
      <c r="V451" s="1"/>
      <c r="W451" s="1"/>
      <c r="X451" s="1"/>
      <c r="Y451" s="1"/>
      <c r="Z451" s="1"/>
      <c r="AA451" s="1"/>
      <c r="AB451" s="1"/>
      <c r="AD451" s="3"/>
      <c r="AM451" s="86"/>
      <c r="AN451" s="87"/>
      <c r="AO451" s="87"/>
      <c r="AP451" s="87"/>
      <c r="AQ451" s="87"/>
      <c r="AR451" s="87"/>
      <c r="AS451" s="85"/>
      <c r="AT451" s="21"/>
      <c r="AV451" s="3"/>
    </row>
    <row r="452" spans="3:48" x14ac:dyDescent="0.3">
      <c r="C452" s="85"/>
      <c r="D452" s="85"/>
      <c r="E452" s="85"/>
      <c r="F452" s="85"/>
      <c r="G452" s="85"/>
      <c r="H452" s="85"/>
      <c r="I452" s="85"/>
      <c r="J452" s="25"/>
      <c r="K452" s="3"/>
      <c r="L452" s="85"/>
      <c r="M452" s="85"/>
      <c r="N452" s="85"/>
      <c r="O452" s="85"/>
      <c r="P452" s="85"/>
      <c r="Q452" s="85"/>
      <c r="R452" s="85"/>
      <c r="S452" s="1"/>
      <c r="U452" s="1"/>
      <c r="V452" s="1"/>
      <c r="W452" s="1"/>
      <c r="X452" s="1"/>
      <c r="Y452" s="1"/>
      <c r="Z452" s="1"/>
      <c r="AA452" s="1"/>
      <c r="AB452" s="1"/>
      <c r="AD452" s="3"/>
      <c r="AM452" s="86"/>
      <c r="AN452" s="87"/>
      <c r="AO452" s="87"/>
      <c r="AP452" s="87"/>
      <c r="AQ452" s="87"/>
      <c r="AR452" s="87"/>
      <c r="AS452" s="85"/>
      <c r="AT452" s="21"/>
      <c r="AV452" s="3"/>
    </row>
    <row r="453" spans="3:48" x14ac:dyDescent="0.3">
      <c r="C453" s="85"/>
      <c r="D453" s="85"/>
      <c r="E453" s="85"/>
      <c r="F453" s="85"/>
      <c r="G453" s="85"/>
      <c r="H453" s="85"/>
      <c r="I453" s="85"/>
      <c r="J453" s="25"/>
      <c r="K453" s="3"/>
      <c r="L453" s="85"/>
      <c r="M453" s="85"/>
      <c r="N453" s="85"/>
      <c r="O453" s="85"/>
      <c r="P453" s="85"/>
      <c r="Q453" s="85"/>
      <c r="R453" s="85"/>
      <c r="S453" s="1"/>
      <c r="U453" s="1"/>
      <c r="V453" s="1"/>
      <c r="W453" s="1"/>
      <c r="X453" s="1"/>
      <c r="Y453" s="1"/>
      <c r="Z453" s="1"/>
      <c r="AA453" s="1"/>
      <c r="AB453" s="1"/>
      <c r="AD453" s="3"/>
      <c r="AM453" s="86"/>
      <c r="AN453" s="87"/>
      <c r="AO453" s="87"/>
      <c r="AP453" s="87"/>
      <c r="AQ453" s="87"/>
      <c r="AR453" s="87"/>
      <c r="AS453" s="85"/>
      <c r="AT453" s="21"/>
      <c r="AV453" s="3"/>
    </row>
    <row r="454" spans="3:48" x14ac:dyDescent="0.3">
      <c r="C454" s="85"/>
      <c r="D454" s="85"/>
      <c r="E454" s="85"/>
      <c r="F454" s="85"/>
      <c r="G454" s="85"/>
      <c r="H454" s="85"/>
      <c r="I454" s="85"/>
      <c r="J454" s="25"/>
      <c r="K454" s="3"/>
      <c r="L454" s="85"/>
      <c r="M454" s="85"/>
      <c r="N454" s="85"/>
      <c r="O454" s="85"/>
      <c r="P454" s="85"/>
      <c r="Q454" s="85"/>
      <c r="R454" s="85"/>
      <c r="S454" s="1"/>
      <c r="U454" s="1"/>
      <c r="V454" s="1"/>
      <c r="W454" s="1"/>
      <c r="X454" s="1"/>
      <c r="Y454" s="1"/>
      <c r="Z454" s="1"/>
      <c r="AA454" s="1"/>
      <c r="AB454" s="1"/>
      <c r="AD454" s="3"/>
      <c r="AM454" s="86"/>
      <c r="AN454" s="87"/>
      <c r="AO454" s="87"/>
      <c r="AP454" s="87"/>
      <c r="AQ454" s="87"/>
      <c r="AR454" s="87"/>
      <c r="AS454" s="85"/>
      <c r="AT454" s="21"/>
      <c r="AV454" s="3"/>
    </row>
    <row r="455" spans="3:48" x14ac:dyDescent="0.3">
      <c r="C455" s="85"/>
      <c r="D455" s="85"/>
      <c r="E455" s="85"/>
      <c r="F455" s="85"/>
      <c r="G455" s="85"/>
      <c r="H455" s="85"/>
      <c r="I455" s="85"/>
      <c r="J455" s="25"/>
      <c r="K455" s="3"/>
      <c r="L455" s="85"/>
      <c r="M455" s="85"/>
      <c r="N455" s="85"/>
      <c r="O455" s="85"/>
      <c r="P455" s="85"/>
      <c r="Q455" s="85"/>
      <c r="R455" s="85"/>
      <c r="S455" s="1"/>
      <c r="U455" s="1"/>
      <c r="V455" s="1"/>
      <c r="W455" s="1"/>
      <c r="X455" s="1"/>
      <c r="Y455" s="1"/>
      <c r="Z455" s="1"/>
      <c r="AA455" s="1"/>
      <c r="AB455" s="1"/>
      <c r="AD455" s="3"/>
      <c r="AM455" s="86"/>
      <c r="AN455" s="87"/>
      <c r="AO455" s="87"/>
      <c r="AP455" s="87"/>
      <c r="AQ455" s="87"/>
      <c r="AR455" s="87"/>
      <c r="AS455" s="85"/>
      <c r="AT455" s="21"/>
      <c r="AV455" s="3"/>
    </row>
    <row r="456" spans="3:48" x14ac:dyDescent="0.3">
      <c r="C456" s="85"/>
      <c r="D456" s="85"/>
      <c r="E456" s="85"/>
      <c r="F456" s="85"/>
      <c r="G456" s="85"/>
      <c r="H456" s="85"/>
      <c r="I456" s="85"/>
      <c r="J456" s="25"/>
      <c r="K456" s="3"/>
      <c r="L456" s="85"/>
      <c r="M456" s="85"/>
      <c r="N456" s="85"/>
      <c r="O456" s="85"/>
      <c r="P456" s="85"/>
      <c r="Q456" s="85"/>
      <c r="R456" s="85"/>
      <c r="S456" s="1"/>
      <c r="U456" s="1"/>
      <c r="V456" s="1"/>
      <c r="W456" s="1"/>
      <c r="X456" s="1"/>
      <c r="Y456" s="1"/>
      <c r="Z456" s="1"/>
      <c r="AA456" s="1"/>
      <c r="AB456" s="1"/>
      <c r="AD456" s="3"/>
      <c r="AM456" s="86"/>
      <c r="AN456" s="87"/>
      <c r="AO456" s="87"/>
      <c r="AP456" s="87"/>
      <c r="AQ456" s="87"/>
      <c r="AR456" s="87"/>
      <c r="AS456" s="85"/>
      <c r="AT456" s="21"/>
      <c r="AV456" s="3"/>
    </row>
    <row r="457" spans="3:48" x14ac:dyDescent="0.3">
      <c r="C457" s="85"/>
      <c r="D457" s="85"/>
      <c r="E457" s="85"/>
      <c r="F457" s="85"/>
      <c r="G457" s="85"/>
      <c r="H457" s="85"/>
      <c r="I457" s="85"/>
      <c r="J457" s="25"/>
      <c r="K457" s="3"/>
      <c r="L457" s="85"/>
      <c r="M457" s="85"/>
      <c r="N457" s="85"/>
      <c r="O457" s="85"/>
      <c r="P457" s="85"/>
      <c r="Q457" s="85"/>
      <c r="R457" s="85"/>
      <c r="S457" s="1"/>
      <c r="U457" s="1"/>
      <c r="V457" s="1"/>
      <c r="W457" s="1"/>
      <c r="X457" s="1"/>
      <c r="Y457" s="1"/>
      <c r="Z457" s="1"/>
      <c r="AA457" s="1"/>
      <c r="AB457" s="1"/>
      <c r="AD457" s="3"/>
      <c r="AM457" s="86"/>
      <c r="AN457" s="87"/>
      <c r="AO457" s="87"/>
      <c r="AP457" s="87"/>
      <c r="AQ457" s="87"/>
      <c r="AR457" s="87"/>
      <c r="AS457" s="85"/>
      <c r="AT457" s="21"/>
      <c r="AV457" s="3"/>
    </row>
    <row r="458" spans="3:48" x14ac:dyDescent="0.3">
      <c r="C458" s="85"/>
      <c r="D458" s="85"/>
      <c r="E458" s="85"/>
      <c r="F458" s="85"/>
      <c r="G458" s="85"/>
      <c r="H458" s="85"/>
      <c r="I458" s="85"/>
      <c r="J458" s="25"/>
      <c r="K458" s="3"/>
      <c r="L458" s="85"/>
      <c r="M458" s="85"/>
      <c r="N458" s="85"/>
      <c r="O458" s="85"/>
      <c r="P458" s="85"/>
      <c r="Q458" s="85"/>
      <c r="R458" s="85"/>
      <c r="S458" s="1"/>
      <c r="U458" s="1"/>
      <c r="V458" s="1"/>
      <c r="W458" s="1"/>
      <c r="X458" s="1"/>
      <c r="Y458" s="1"/>
      <c r="Z458" s="1"/>
      <c r="AA458" s="1"/>
      <c r="AB458" s="1"/>
      <c r="AD458" s="3"/>
      <c r="AM458" s="86"/>
      <c r="AN458" s="87"/>
      <c r="AO458" s="87"/>
      <c r="AP458" s="87"/>
      <c r="AQ458" s="87"/>
      <c r="AR458" s="87"/>
      <c r="AS458" s="85"/>
      <c r="AT458" s="21"/>
      <c r="AV458" s="3"/>
    </row>
    <row r="459" spans="3:48" x14ac:dyDescent="0.3">
      <c r="C459" s="85"/>
      <c r="D459" s="85"/>
      <c r="E459" s="85"/>
      <c r="F459" s="85"/>
      <c r="G459" s="85"/>
      <c r="H459" s="85"/>
      <c r="I459" s="85"/>
      <c r="J459" s="25"/>
      <c r="K459" s="3"/>
      <c r="L459" s="85"/>
      <c r="M459" s="85"/>
      <c r="N459" s="85"/>
      <c r="O459" s="85"/>
      <c r="P459" s="85"/>
      <c r="Q459" s="85"/>
      <c r="R459" s="85"/>
      <c r="S459" s="1"/>
      <c r="U459" s="1"/>
      <c r="V459" s="1"/>
      <c r="W459" s="1"/>
      <c r="X459" s="1"/>
      <c r="Y459" s="1"/>
      <c r="Z459" s="1"/>
      <c r="AA459" s="1"/>
      <c r="AB459" s="1"/>
      <c r="AD459" s="3"/>
      <c r="AM459" s="86"/>
      <c r="AN459" s="87"/>
      <c r="AO459" s="87"/>
      <c r="AP459" s="87"/>
      <c r="AQ459" s="87"/>
      <c r="AR459" s="87"/>
      <c r="AS459" s="85"/>
      <c r="AT459" s="21"/>
      <c r="AV459" s="3"/>
    </row>
    <row r="460" spans="3:48" x14ac:dyDescent="0.3">
      <c r="C460" s="85"/>
      <c r="D460" s="85"/>
      <c r="E460" s="85"/>
      <c r="F460" s="85"/>
      <c r="G460" s="85"/>
      <c r="H460" s="85"/>
      <c r="I460" s="85"/>
      <c r="J460" s="25"/>
      <c r="K460" s="3"/>
      <c r="L460" s="85"/>
      <c r="M460" s="85"/>
      <c r="N460" s="85"/>
      <c r="O460" s="85"/>
      <c r="P460" s="85"/>
      <c r="Q460" s="85"/>
      <c r="R460" s="85"/>
      <c r="S460" s="1"/>
      <c r="U460" s="1"/>
      <c r="V460" s="1"/>
      <c r="W460" s="1"/>
      <c r="X460" s="1"/>
      <c r="Y460" s="1"/>
      <c r="Z460" s="1"/>
      <c r="AA460" s="1"/>
      <c r="AB460" s="1"/>
      <c r="AD460" s="3"/>
      <c r="AM460" s="86"/>
      <c r="AN460" s="87"/>
      <c r="AO460" s="87"/>
      <c r="AP460" s="87"/>
      <c r="AQ460" s="87"/>
      <c r="AR460" s="87"/>
      <c r="AS460" s="85"/>
      <c r="AT460" s="21"/>
      <c r="AV460" s="3"/>
    </row>
    <row r="461" spans="3:48" x14ac:dyDescent="0.3">
      <c r="C461" s="85"/>
      <c r="D461" s="85"/>
      <c r="E461" s="85"/>
      <c r="F461" s="85"/>
      <c r="G461" s="85"/>
      <c r="H461" s="85"/>
      <c r="I461" s="85"/>
      <c r="J461" s="25"/>
      <c r="K461" s="3"/>
      <c r="L461" s="85"/>
      <c r="M461" s="85"/>
      <c r="N461" s="85"/>
      <c r="O461" s="85"/>
      <c r="P461" s="85"/>
      <c r="Q461" s="85"/>
      <c r="R461" s="85"/>
      <c r="S461" s="1"/>
      <c r="U461" s="1"/>
      <c r="V461" s="1"/>
      <c r="W461" s="1"/>
      <c r="X461" s="1"/>
      <c r="Y461" s="1"/>
      <c r="Z461" s="1"/>
      <c r="AA461" s="1"/>
      <c r="AB461" s="1"/>
      <c r="AD461" s="3"/>
      <c r="AM461" s="86"/>
      <c r="AN461" s="87"/>
      <c r="AO461" s="87"/>
      <c r="AP461" s="87"/>
      <c r="AQ461" s="87"/>
      <c r="AR461" s="87"/>
      <c r="AS461" s="85"/>
      <c r="AT461" s="21"/>
      <c r="AV461" s="3"/>
    </row>
    <row r="462" spans="3:48" x14ac:dyDescent="0.3">
      <c r="C462" s="85"/>
      <c r="D462" s="85"/>
      <c r="E462" s="85"/>
      <c r="F462" s="85"/>
      <c r="G462" s="85"/>
      <c r="H462" s="85"/>
      <c r="I462" s="85"/>
      <c r="J462" s="25"/>
      <c r="K462" s="3"/>
      <c r="L462" s="85"/>
      <c r="M462" s="85"/>
      <c r="N462" s="85"/>
      <c r="O462" s="85"/>
      <c r="P462" s="85"/>
      <c r="Q462" s="85"/>
      <c r="R462" s="85"/>
      <c r="S462" s="1"/>
      <c r="U462" s="1"/>
      <c r="V462" s="1"/>
      <c r="W462" s="1"/>
      <c r="X462" s="1"/>
      <c r="Y462" s="1"/>
      <c r="Z462" s="1"/>
      <c r="AA462" s="1"/>
      <c r="AB462" s="1"/>
      <c r="AD462" s="3"/>
      <c r="AM462" s="86"/>
      <c r="AN462" s="87"/>
      <c r="AO462" s="87"/>
      <c r="AP462" s="87"/>
      <c r="AQ462" s="87"/>
      <c r="AR462" s="87"/>
      <c r="AS462" s="85"/>
      <c r="AT462" s="21"/>
      <c r="AV462" s="3"/>
    </row>
    <row r="463" spans="3:48" x14ac:dyDescent="0.3">
      <c r="C463" s="85"/>
      <c r="D463" s="85"/>
      <c r="E463" s="85"/>
      <c r="F463" s="85"/>
      <c r="G463" s="85"/>
      <c r="H463" s="85"/>
      <c r="I463" s="85"/>
      <c r="J463" s="25"/>
      <c r="K463" s="3"/>
      <c r="L463" s="85"/>
      <c r="M463" s="85"/>
      <c r="N463" s="85"/>
      <c r="O463" s="85"/>
      <c r="P463" s="85"/>
      <c r="Q463" s="85"/>
      <c r="R463" s="85"/>
      <c r="S463" s="1"/>
      <c r="U463" s="1"/>
      <c r="V463" s="1"/>
      <c r="W463" s="1"/>
      <c r="X463" s="1"/>
      <c r="Y463" s="1"/>
      <c r="Z463" s="1"/>
      <c r="AA463" s="1"/>
      <c r="AB463" s="1"/>
      <c r="AD463" s="3"/>
      <c r="AM463" s="86"/>
      <c r="AN463" s="87"/>
      <c r="AO463" s="87"/>
      <c r="AP463" s="87"/>
      <c r="AQ463" s="87"/>
      <c r="AR463" s="87"/>
      <c r="AS463" s="85"/>
      <c r="AT463" s="21"/>
      <c r="AV463" s="3"/>
    </row>
    <row r="464" spans="3:48" x14ac:dyDescent="0.3">
      <c r="C464" s="85"/>
      <c r="D464" s="85"/>
      <c r="E464" s="85"/>
      <c r="F464" s="85"/>
      <c r="G464" s="85"/>
      <c r="H464" s="85"/>
      <c r="I464" s="85"/>
      <c r="J464" s="25"/>
      <c r="K464" s="3"/>
      <c r="L464" s="85"/>
      <c r="M464" s="85"/>
      <c r="N464" s="85"/>
      <c r="O464" s="85"/>
      <c r="P464" s="85"/>
      <c r="Q464" s="85"/>
      <c r="R464" s="85"/>
      <c r="S464" s="1"/>
      <c r="U464" s="1"/>
      <c r="V464" s="1"/>
      <c r="W464" s="1"/>
      <c r="X464" s="1"/>
      <c r="Y464" s="1"/>
      <c r="Z464" s="1"/>
      <c r="AA464" s="1"/>
      <c r="AB464" s="1"/>
      <c r="AD464" s="3"/>
      <c r="AM464" s="86"/>
      <c r="AN464" s="87"/>
      <c r="AO464" s="87"/>
      <c r="AP464" s="87"/>
      <c r="AQ464" s="87"/>
      <c r="AR464" s="87"/>
      <c r="AS464" s="85"/>
      <c r="AT464" s="21"/>
      <c r="AV464" s="3"/>
    </row>
    <row r="465" spans="3:48" x14ac:dyDescent="0.3">
      <c r="C465" s="85"/>
      <c r="D465" s="85"/>
      <c r="E465" s="85"/>
      <c r="F465" s="85"/>
      <c r="G465" s="85"/>
      <c r="H465" s="85"/>
      <c r="I465" s="85"/>
      <c r="J465" s="25"/>
      <c r="K465" s="3"/>
      <c r="L465" s="85"/>
      <c r="M465" s="85"/>
      <c r="N465" s="85"/>
      <c r="O465" s="85"/>
      <c r="P465" s="85"/>
      <c r="Q465" s="85"/>
      <c r="R465" s="85"/>
      <c r="S465" s="1"/>
      <c r="U465" s="1"/>
      <c r="V465" s="1"/>
      <c r="W465" s="1"/>
      <c r="X465" s="1"/>
      <c r="Y465" s="1"/>
      <c r="Z465" s="1"/>
      <c r="AA465" s="1"/>
      <c r="AB465" s="1"/>
      <c r="AD465" s="3"/>
      <c r="AM465" s="86"/>
      <c r="AN465" s="87"/>
      <c r="AO465" s="87"/>
      <c r="AP465" s="87"/>
      <c r="AQ465" s="87"/>
      <c r="AR465" s="87"/>
      <c r="AS465" s="85"/>
      <c r="AT465" s="21"/>
      <c r="AV465" s="3"/>
    </row>
    <row r="466" spans="3:48" x14ac:dyDescent="0.3">
      <c r="C466" s="85"/>
      <c r="D466" s="85"/>
      <c r="E466" s="85"/>
      <c r="F466" s="85"/>
      <c r="G466" s="85"/>
      <c r="H466" s="85"/>
      <c r="I466" s="85"/>
      <c r="J466" s="25"/>
      <c r="K466" s="3"/>
      <c r="L466" s="85"/>
      <c r="M466" s="85"/>
      <c r="N466" s="85"/>
      <c r="O466" s="85"/>
      <c r="P466" s="85"/>
      <c r="Q466" s="85"/>
      <c r="R466" s="85"/>
      <c r="S466" s="1"/>
      <c r="U466" s="1"/>
      <c r="V466" s="1"/>
      <c r="W466" s="1"/>
      <c r="X466" s="1"/>
      <c r="Y466" s="1"/>
      <c r="Z466" s="1"/>
      <c r="AA466" s="1"/>
      <c r="AB466" s="1"/>
      <c r="AD466" s="3"/>
      <c r="AM466" s="86"/>
      <c r="AN466" s="87"/>
      <c r="AO466" s="87"/>
      <c r="AP466" s="87"/>
      <c r="AQ466" s="87"/>
      <c r="AR466" s="87"/>
      <c r="AS466" s="85"/>
      <c r="AT466" s="21"/>
      <c r="AV466" s="3"/>
    </row>
    <row r="467" spans="3:48" x14ac:dyDescent="0.3">
      <c r="C467" s="85"/>
      <c r="D467" s="85"/>
      <c r="E467" s="85"/>
      <c r="F467" s="85"/>
      <c r="G467" s="85"/>
      <c r="H467" s="85"/>
      <c r="I467" s="85"/>
      <c r="J467" s="25"/>
      <c r="K467" s="3"/>
      <c r="L467" s="85"/>
      <c r="M467" s="85"/>
      <c r="N467" s="85"/>
      <c r="O467" s="85"/>
      <c r="P467" s="85"/>
      <c r="Q467" s="85"/>
      <c r="R467" s="85"/>
      <c r="S467" s="1"/>
      <c r="U467" s="1"/>
      <c r="V467" s="1"/>
      <c r="W467" s="1"/>
      <c r="X467" s="1"/>
      <c r="Y467" s="1"/>
      <c r="Z467" s="1"/>
      <c r="AA467" s="1"/>
      <c r="AB467" s="1"/>
      <c r="AD467" s="3"/>
      <c r="AM467" s="86"/>
      <c r="AN467" s="87"/>
      <c r="AO467" s="87"/>
      <c r="AP467" s="87"/>
      <c r="AQ467" s="87"/>
      <c r="AR467" s="87"/>
      <c r="AS467" s="85"/>
      <c r="AT467" s="21"/>
      <c r="AV467" s="3"/>
    </row>
    <row r="468" spans="3:48" x14ac:dyDescent="0.3">
      <c r="C468" s="85"/>
      <c r="D468" s="85"/>
      <c r="E468" s="85"/>
      <c r="F468" s="85"/>
      <c r="G468" s="85"/>
      <c r="H468" s="85"/>
      <c r="I468" s="85"/>
      <c r="J468" s="25"/>
      <c r="K468" s="3"/>
      <c r="L468" s="85"/>
      <c r="M468" s="85"/>
      <c r="N468" s="85"/>
      <c r="O468" s="85"/>
      <c r="P468" s="85"/>
      <c r="Q468" s="85"/>
      <c r="R468" s="85"/>
      <c r="S468" s="1"/>
      <c r="U468" s="1"/>
      <c r="V468" s="1"/>
      <c r="W468" s="1"/>
      <c r="X468" s="1"/>
      <c r="Y468" s="1"/>
      <c r="Z468" s="1"/>
      <c r="AA468" s="1"/>
      <c r="AB468" s="1"/>
      <c r="AD468" s="3"/>
      <c r="AM468" s="86"/>
      <c r="AN468" s="87"/>
      <c r="AO468" s="87"/>
      <c r="AP468" s="87"/>
      <c r="AQ468" s="87"/>
      <c r="AR468" s="87"/>
      <c r="AS468" s="85"/>
      <c r="AT468" s="21"/>
      <c r="AV468" s="3"/>
    </row>
    <row r="469" spans="3:48" x14ac:dyDescent="0.3">
      <c r="C469" s="85"/>
      <c r="D469" s="85"/>
      <c r="E469" s="85"/>
      <c r="F469" s="85"/>
      <c r="G469" s="85"/>
      <c r="H469" s="85"/>
      <c r="I469" s="85"/>
      <c r="J469" s="25"/>
      <c r="K469" s="3"/>
      <c r="L469" s="85"/>
      <c r="M469" s="85"/>
      <c r="N469" s="85"/>
      <c r="O469" s="85"/>
      <c r="P469" s="85"/>
      <c r="Q469" s="85"/>
      <c r="R469" s="85"/>
      <c r="S469" s="1"/>
      <c r="U469" s="1"/>
      <c r="V469" s="1"/>
      <c r="W469" s="1"/>
      <c r="X469" s="1"/>
      <c r="Y469" s="1"/>
      <c r="Z469" s="1"/>
      <c r="AA469" s="1"/>
      <c r="AB469" s="1"/>
      <c r="AD469" s="3"/>
      <c r="AM469" s="86"/>
      <c r="AN469" s="87"/>
      <c r="AO469" s="87"/>
      <c r="AP469" s="87"/>
      <c r="AQ469" s="87"/>
      <c r="AR469" s="87"/>
      <c r="AS469" s="85"/>
      <c r="AT469" s="21"/>
      <c r="AV469" s="3"/>
    </row>
    <row r="470" spans="3:48" x14ac:dyDescent="0.3">
      <c r="C470" s="85"/>
      <c r="D470" s="85"/>
      <c r="E470" s="85"/>
      <c r="F470" s="85"/>
      <c r="G470" s="85"/>
      <c r="H470" s="85"/>
      <c r="I470" s="85"/>
      <c r="J470" s="25"/>
      <c r="K470" s="3"/>
      <c r="L470" s="85"/>
      <c r="M470" s="85"/>
      <c r="N470" s="85"/>
      <c r="O470" s="85"/>
      <c r="P470" s="85"/>
      <c r="Q470" s="85"/>
      <c r="R470" s="85"/>
      <c r="S470" s="1"/>
      <c r="U470" s="1"/>
      <c r="V470" s="1"/>
      <c r="W470" s="1"/>
      <c r="X470" s="1"/>
      <c r="Y470" s="1"/>
      <c r="Z470" s="1"/>
      <c r="AA470" s="1"/>
      <c r="AB470" s="1"/>
      <c r="AD470" s="3"/>
      <c r="AM470" s="86"/>
      <c r="AN470" s="87"/>
      <c r="AO470" s="87"/>
      <c r="AP470" s="87"/>
      <c r="AQ470" s="87"/>
      <c r="AR470" s="87"/>
      <c r="AS470" s="85"/>
      <c r="AT470" s="21"/>
      <c r="AV470" s="3"/>
    </row>
    <row r="471" spans="3:48" x14ac:dyDescent="0.3">
      <c r="C471" s="85"/>
      <c r="D471" s="85"/>
      <c r="E471" s="85"/>
      <c r="F471" s="85"/>
      <c r="G471" s="85"/>
      <c r="H471" s="85"/>
      <c r="I471" s="85"/>
      <c r="J471" s="25"/>
      <c r="K471" s="3"/>
      <c r="L471" s="85"/>
      <c r="M471" s="85"/>
      <c r="N471" s="85"/>
      <c r="O471" s="85"/>
      <c r="P471" s="85"/>
      <c r="Q471" s="85"/>
      <c r="R471" s="85"/>
      <c r="S471" s="1"/>
      <c r="U471" s="1"/>
      <c r="V471" s="1"/>
      <c r="W471" s="1"/>
      <c r="X471" s="1"/>
      <c r="Y471" s="1"/>
      <c r="Z471" s="1"/>
      <c r="AA471" s="1"/>
      <c r="AB471" s="1"/>
      <c r="AD471" s="3"/>
      <c r="AM471" s="86"/>
      <c r="AN471" s="87"/>
      <c r="AO471" s="87"/>
      <c r="AP471" s="87"/>
      <c r="AQ471" s="87"/>
      <c r="AR471" s="87"/>
      <c r="AS471" s="85"/>
      <c r="AT471" s="21"/>
      <c r="AV471" s="3"/>
    </row>
    <row r="472" spans="3:48" x14ac:dyDescent="0.3">
      <c r="C472" s="85"/>
      <c r="D472" s="85"/>
      <c r="E472" s="85"/>
      <c r="F472" s="85"/>
      <c r="G472" s="85"/>
      <c r="H472" s="85"/>
      <c r="I472" s="85"/>
      <c r="J472" s="25"/>
      <c r="K472" s="3"/>
      <c r="L472" s="85"/>
      <c r="M472" s="85"/>
      <c r="N472" s="85"/>
      <c r="O472" s="85"/>
      <c r="P472" s="85"/>
      <c r="Q472" s="85"/>
      <c r="R472" s="85"/>
      <c r="S472" s="1"/>
      <c r="U472" s="1"/>
      <c r="V472" s="1"/>
      <c r="W472" s="1"/>
      <c r="X472" s="1"/>
      <c r="Y472" s="1"/>
      <c r="Z472" s="1"/>
      <c r="AA472" s="1"/>
      <c r="AB472" s="1"/>
      <c r="AD472" s="3"/>
      <c r="AM472" s="86"/>
      <c r="AN472" s="87"/>
      <c r="AO472" s="87"/>
      <c r="AP472" s="87"/>
      <c r="AQ472" s="87"/>
      <c r="AR472" s="87"/>
      <c r="AS472" s="85"/>
      <c r="AT472" s="21"/>
      <c r="AV472" s="3"/>
    </row>
    <row r="473" spans="3:48" x14ac:dyDescent="0.3">
      <c r="C473" s="85"/>
      <c r="D473" s="85"/>
      <c r="E473" s="85"/>
      <c r="F473" s="85"/>
      <c r="G473" s="85"/>
      <c r="H473" s="85"/>
      <c r="I473" s="85"/>
      <c r="J473" s="25"/>
      <c r="K473" s="3"/>
      <c r="L473" s="85"/>
      <c r="M473" s="85"/>
      <c r="N473" s="85"/>
      <c r="O473" s="85"/>
      <c r="P473" s="85"/>
      <c r="Q473" s="85"/>
      <c r="R473" s="85"/>
      <c r="S473" s="1"/>
      <c r="U473" s="1"/>
      <c r="V473" s="1"/>
      <c r="W473" s="1"/>
      <c r="X473" s="1"/>
      <c r="Y473" s="1"/>
      <c r="Z473" s="1"/>
      <c r="AA473" s="1"/>
      <c r="AB473" s="1"/>
      <c r="AD473" s="3"/>
      <c r="AM473" s="86"/>
      <c r="AN473" s="87"/>
      <c r="AO473" s="87"/>
      <c r="AP473" s="87"/>
      <c r="AQ473" s="87"/>
      <c r="AR473" s="87"/>
      <c r="AS473" s="85"/>
      <c r="AT473" s="21"/>
      <c r="AV473" s="3"/>
    </row>
    <row r="474" spans="3:48" x14ac:dyDescent="0.3">
      <c r="C474" s="85"/>
      <c r="D474" s="85"/>
      <c r="E474" s="85"/>
      <c r="F474" s="85"/>
      <c r="G474" s="85"/>
      <c r="H474" s="85"/>
      <c r="I474" s="85"/>
      <c r="J474" s="25"/>
      <c r="K474" s="3"/>
      <c r="L474" s="85"/>
      <c r="M474" s="85"/>
      <c r="N474" s="85"/>
      <c r="O474" s="85"/>
      <c r="P474" s="85"/>
      <c r="Q474" s="85"/>
      <c r="R474" s="85"/>
      <c r="S474" s="1"/>
      <c r="U474" s="1"/>
      <c r="V474" s="1"/>
      <c r="W474" s="1"/>
      <c r="X474" s="1"/>
      <c r="Y474" s="1"/>
      <c r="Z474" s="1"/>
      <c r="AA474" s="1"/>
      <c r="AB474" s="1"/>
      <c r="AD474" s="3"/>
      <c r="AM474" s="86"/>
      <c r="AN474" s="87"/>
      <c r="AO474" s="87"/>
      <c r="AP474" s="87"/>
      <c r="AQ474" s="87"/>
      <c r="AR474" s="87"/>
      <c r="AS474" s="85"/>
      <c r="AT474" s="21"/>
      <c r="AV474" s="3"/>
    </row>
    <row r="475" spans="3:48" x14ac:dyDescent="0.3">
      <c r="C475" s="85"/>
      <c r="D475" s="85"/>
      <c r="E475" s="85"/>
      <c r="F475" s="85"/>
      <c r="G475" s="85"/>
      <c r="H475" s="85"/>
      <c r="I475" s="85"/>
      <c r="J475" s="25"/>
      <c r="K475" s="3"/>
      <c r="L475" s="85"/>
      <c r="M475" s="85"/>
      <c r="N475" s="85"/>
      <c r="O475" s="85"/>
      <c r="P475" s="85"/>
      <c r="Q475" s="85"/>
      <c r="R475" s="85"/>
      <c r="S475" s="1"/>
      <c r="U475" s="1"/>
      <c r="V475" s="1"/>
      <c r="W475" s="1"/>
      <c r="X475" s="1"/>
      <c r="Y475" s="1"/>
      <c r="Z475" s="1"/>
      <c r="AA475" s="1"/>
      <c r="AB475" s="1"/>
      <c r="AD475" s="3"/>
      <c r="AM475" s="86"/>
      <c r="AN475" s="87"/>
      <c r="AO475" s="87"/>
      <c r="AP475" s="87"/>
      <c r="AQ475" s="87"/>
      <c r="AR475" s="87"/>
      <c r="AS475" s="85"/>
      <c r="AT475" s="21"/>
      <c r="AV475" s="3"/>
    </row>
    <row r="476" spans="3:48" x14ac:dyDescent="0.3">
      <c r="C476" s="85"/>
      <c r="D476" s="85"/>
      <c r="E476" s="85"/>
      <c r="F476" s="85"/>
      <c r="G476" s="85"/>
      <c r="H476" s="85"/>
      <c r="I476" s="85"/>
      <c r="J476" s="25"/>
      <c r="K476" s="3"/>
      <c r="L476" s="85"/>
      <c r="M476" s="85"/>
      <c r="N476" s="85"/>
      <c r="O476" s="85"/>
      <c r="P476" s="85"/>
      <c r="Q476" s="85"/>
      <c r="R476" s="85"/>
      <c r="S476" s="1"/>
      <c r="U476" s="1"/>
      <c r="V476" s="1"/>
      <c r="W476" s="1"/>
      <c r="X476" s="1"/>
      <c r="Y476" s="1"/>
      <c r="Z476" s="1"/>
      <c r="AA476" s="1"/>
      <c r="AB476" s="1"/>
      <c r="AD476" s="3"/>
      <c r="AM476" s="86"/>
      <c r="AN476" s="87"/>
      <c r="AO476" s="87"/>
      <c r="AP476" s="87"/>
      <c r="AQ476" s="87"/>
      <c r="AR476" s="87"/>
      <c r="AS476" s="85"/>
      <c r="AT476" s="21"/>
      <c r="AV476" s="3"/>
    </row>
    <row r="477" spans="3:48" x14ac:dyDescent="0.3">
      <c r="C477" s="85"/>
      <c r="D477" s="85"/>
      <c r="E477" s="85"/>
      <c r="F477" s="85"/>
      <c r="G477" s="85"/>
      <c r="H477" s="85"/>
      <c r="I477" s="85"/>
      <c r="J477" s="25"/>
      <c r="K477" s="3"/>
      <c r="L477" s="85"/>
      <c r="M477" s="85"/>
      <c r="N477" s="85"/>
      <c r="O477" s="85"/>
      <c r="P477" s="85"/>
      <c r="Q477" s="85"/>
      <c r="R477" s="85"/>
      <c r="S477" s="1"/>
      <c r="U477" s="1"/>
      <c r="V477" s="1"/>
      <c r="W477" s="1"/>
      <c r="X477" s="1"/>
      <c r="Y477" s="1"/>
      <c r="Z477" s="1"/>
      <c r="AA477" s="1"/>
      <c r="AB477" s="1"/>
      <c r="AD477" s="3"/>
      <c r="AM477" s="86"/>
      <c r="AN477" s="87"/>
      <c r="AO477" s="87"/>
      <c r="AP477" s="87"/>
      <c r="AQ477" s="87"/>
      <c r="AR477" s="87"/>
      <c r="AS477" s="85"/>
      <c r="AT477" s="21"/>
      <c r="AV477" s="3"/>
    </row>
    <row r="478" spans="3:48" x14ac:dyDescent="0.3">
      <c r="C478" s="85"/>
      <c r="D478" s="85"/>
      <c r="E478" s="85"/>
      <c r="F478" s="85"/>
      <c r="G478" s="85"/>
      <c r="H478" s="85"/>
      <c r="I478" s="85"/>
      <c r="J478" s="25"/>
      <c r="K478" s="3"/>
      <c r="L478" s="85"/>
      <c r="M478" s="85"/>
      <c r="N478" s="85"/>
      <c r="O478" s="85"/>
      <c r="P478" s="85"/>
      <c r="Q478" s="85"/>
      <c r="R478" s="85"/>
      <c r="S478" s="1"/>
      <c r="U478" s="1"/>
      <c r="V478" s="1"/>
      <c r="W478" s="1"/>
      <c r="X478" s="1"/>
      <c r="Y478" s="1"/>
      <c r="Z478" s="1"/>
      <c r="AA478" s="1"/>
      <c r="AB478" s="1"/>
      <c r="AD478" s="3"/>
      <c r="AM478" s="86"/>
      <c r="AN478" s="87"/>
      <c r="AO478" s="87"/>
      <c r="AP478" s="87"/>
      <c r="AQ478" s="87"/>
      <c r="AR478" s="87"/>
      <c r="AS478" s="85"/>
      <c r="AT478" s="21"/>
      <c r="AV478" s="3"/>
    </row>
    <row r="479" spans="3:48" x14ac:dyDescent="0.3">
      <c r="C479" s="85"/>
      <c r="D479" s="85"/>
      <c r="E479" s="85"/>
      <c r="F479" s="85"/>
      <c r="G479" s="85"/>
      <c r="H479" s="85"/>
      <c r="I479" s="85"/>
      <c r="J479" s="25"/>
      <c r="K479" s="3"/>
      <c r="L479" s="85"/>
      <c r="M479" s="85"/>
      <c r="N479" s="85"/>
      <c r="O479" s="85"/>
      <c r="P479" s="85"/>
      <c r="Q479" s="85"/>
      <c r="R479" s="85"/>
      <c r="S479" s="1"/>
      <c r="U479" s="1"/>
      <c r="V479" s="1"/>
      <c r="W479" s="1"/>
      <c r="X479" s="1"/>
      <c r="Y479" s="1"/>
      <c r="Z479" s="1"/>
      <c r="AA479" s="1"/>
      <c r="AB479" s="1"/>
      <c r="AD479" s="3"/>
      <c r="AM479" s="86"/>
      <c r="AN479" s="87"/>
      <c r="AO479" s="87"/>
      <c r="AP479" s="87"/>
      <c r="AQ479" s="87"/>
      <c r="AR479" s="87"/>
      <c r="AS479" s="85"/>
      <c r="AT479" s="21"/>
      <c r="AV479" s="3"/>
    </row>
    <row r="480" spans="3:48" x14ac:dyDescent="0.3">
      <c r="C480" s="85"/>
      <c r="D480" s="85"/>
      <c r="E480" s="85"/>
      <c r="F480" s="85"/>
      <c r="G480" s="85"/>
      <c r="H480" s="85"/>
      <c r="I480" s="85"/>
      <c r="J480" s="25"/>
      <c r="K480" s="3"/>
      <c r="L480" s="85"/>
      <c r="M480" s="85"/>
      <c r="N480" s="85"/>
      <c r="O480" s="85"/>
      <c r="P480" s="85"/>
      <c r="Q480" s="85"/>
      <c r="R480" s="85"/>
      <c r="S480" s="1"/>
      <c r="U480" s="1"/>
      <c r="V480" s="1"/>
      <c r="W480" s="1"/>
      <c r="X480" s="1"/>
      <c r="Y480" s="1"/>
      <c r="Z480" s="1"/>
      <c r="AA480" s="1"/>
      <c r="AB480" s="1"/>
      <c r="AD480" s="3"/>
      <c r="AM480" s="86"/>
      <c r="AN480" s="87"/>
      <c r="AO480" s="87"/>
      <c r="AP480" s="87"/>
      <c r="AQ480" s="87"/>
      <c r="AR480" s="87"/>
      <c r="AS480" s="85"/>
      <c r="AT480" s="21"/>
      <c r="AV480" s="3"/>
    </row>
    <row r="481" spans="3:48" x14ac:dyDescent="0.3">
      <c r="C481" s="85"/>
      <c r="D481" s="85"/>
      <c r="E481" s="85"/>
      <c r="F481" s="85"/>
      <c r="G481" s="85"/>
      <c r="H481" s="85"/>
      <c r="I481" s="85"/>
      <c r="J481" s="25"/>
      <c r="K481" s="3"/>
      <c r="L481" s="85"/>
      <c r="M481" s="85"/>
      <c r="N481" s="85"/>
      <c r="O481" s="85"/>
      <c r="P481" s="85"/>
      <c r="Q481" s="85"/>
      <c r="R481" s="85"/>
      <c r="S481" s="1"/>
      <c r="U481" s="1"/>
      <c r="V481" s="1"/>
      <c r="W481" s="1"/>
      <c r="X481" s="1"/>
      <c r="Y481" s="1"/>
      <c r="Z481" s="1"/>
      <c r="AA481" s="1"/>
      <c r="AB481" s="1"/>
      <c r="AD481" s="3"/>
      <c r="AM481" s="86"/>
      <c r="AN481" s="87"/>
      <c r="AO481" s="87"/>
      <c r="AP481" s="87"/>
      <c r="AQ481" s="87"/>
      <c r="AR481" s="87"/>
      <c r="AS481" s="85"/>
      <c r="AT481" s="21"/>
      <c r="AV481" s="3"/>
    </row>
    <row r="482" spans="3:48" x14ac:dyDescent="0.3">
      <c r="C482" s="85"/>
      <c r="D482" s="85"/>
      <c r="E482" s="85"/>
      <c r="F482" s="85"/>
      <c r="G482" s="85"/>
      <c r="H482" s="85"/>
      <c r="I482" s="85"/>
      <c r="J482" s="25"/>
      <c r="K482" s="3"/>
      <c r="L482" s="85"/>
      <c r="M482" s="85"/>
      <c r="N482" s="85"/>
      <c r="O482" s="85"/>
      <c r="P482" s="85"/>
      <c r="Q482" s="85"/>
      <c r="R482" s="85"/>
      <c r="S482" s="1"/>
      <c r="U482" s="1"/>
      <c r="V482" s="1"/>
      <c r="W482" s="1"/>
      <c r="X482" s="1"/>
      <c r="Y482" s="1"/>
      <c r="Z482" s="1"/>
      <c r="AA482" s="1"/>
      <c r="AB482" s="1"/>
      <c r="AD482" s="3"/>
      <c r="AM482" s="86"/>
      <c r="AN482" s="87"/>
      <c r="AO482" s="87"/>
      <c r="AP482" s="87"/>
      <c r="AQ482" s="87"/>
      <c r="AR482" s="87"/>
      <c r="AS482" s="85"/>
      <c r="AT482" s="21"/>
      <c r="AV482" s="3"/>
    </row>
    <row r="483" spans="3:48" x14ac:dyDescent="0.3">
      <c r="C483" s="85"/>
      <c r="D483" s="85"/>
      <c r="E483" s="85"/>
      <c r="F483" s="85"/>
      <c r="G483" s="85"/>
      <c r="H483" s="85"/>
      <c r="I483" s="85"/>
      <c r="J483" s="25"/>
      <c r="K483" s="3"/>
      <c r="L483" s="85"/>
      <c r="M483" s="85"/>
      <c r="N483" s="85"/>
      <c r="O483" s="85"/>
      <c r="P483" s="85"/>
      <c r="Q483" s="85"/>
      <c r="R483" s="85"/>
      <c r="S483" s="1"/>
      <c r="U483" s="1"/>
      <c r="V483" s="1"/>
      <c r="W483" s="1"/>
      <c r="X483" s="1"/>
      <c r="Y483" s="1"/>
      <c r="Z483" s="1"/>
      <c r="AA483" s="1"/>
      <c r="AB483" s="1"/>
      <c r="AD483" s="3"/>
      <c r="AM483" s="86"/>
      <c r="AN483" s="87"/>
      <c r="AO483" s="87"/>
      <c r="AP483" s="87"/>
      <c r="AQ483" s="87"/>
      <c r="AR483" s="87"/>
      <c r="AS483" s="85"/>
      <c r="AT483" s="21"/>
      <c r="AV483" s="3"/>
    </row>
    <row r="484" spans="3:48" x14ac:dyDescent="0.3">
      <c r="C484" s="85"/>
      <c r="D484" s="85"/>
      <c r="E484" s="85"/>
      <c r="F484" s="85"/>
      <c r="G484" s="85"/>
      <c r="H484" s="85"/>
      <c r="I484" s="85"/>
      <c r="J484" s="25"/>
      <c r="K484" s="3"/>
      <c r="L484" s="85"/>
      <c r="M484" s="85"/>
      <c r="N484" s="85"/>
      <c r="O484" s="85"/>
      <c r="P484" s="85"/>
      <c r="Q484" s="85"/>
      <c r="R484" s="85"/>
      <c r="S484" s="1"/>
      <c r="U484" s="1"/>
      <c r="V484" s="1"/>
      <c r="W484" s="1"/>
      <c r="X484" s="1"/>
      <c r="Y484" s="1"/>
      <c r="Z484" s="1"/>
      <c r="AA484" s="1"/>
      <c r="AB484" s="1"/>
      <c r="AD484" s="3"/>
      <c r="AM484" s="86"/>
      <c r="AN484" s="87"/>
      <c r="AO484" s="87"/>
      <c r="AP484" s="87"/>
      <c r="AQ484" s="87"/>
      <c r="AR484" s="87"/>
      <c r="AS484" s="85"/>
      <c r="AT484" s="21"/>
      <c r="AV484" s="3"/>
    </row>
    <row r="485" spans="3:48" x14ac:dyDescent="0.3">
      <c r="C485" s="85"/>
      <c r="D485" s="85"/>
      <c r="E485" s="85"/>
      <c r="F485" s="85"/>
      <c r="G485" s="85"/>
      <c r="H485" s="85"/>
      <c r="I485" s="85"/>
      <c r="J485" s="25"/>
      <c r="K485" s="3"/>
      <c r="L485" s="85"/>
      <c r="M485" s="85"/>
      <c r="N485" s="85"/>
      <c r="O485" s="85"/>
      <c r="P485" s="85"/>
      <c r="Q485" s="85"/>
      <c r="R485" s="85"/>
      <c r="S485" s="1"/>
      <c r="U485" s="1"/>
      <c r="V485" s="1"/>
      <c r="W485" s="1"/>
      <c r="X485" s="1"/>
      <c r="Y485" s="1"/>
      <c r="Z485" s="1"/>
      <c r="AA485" s="1"/>
      <c r="AB485" s="1"/>
      <c r="AD485" s="3"/>
      <c r="AM485" s="86"/>
      <c r="AN485" s="87"/>
      <c r="AO485" s="87"/>
      <c r="AP485" s="87"/>
      <c r="AQ485" s="87"/>
      <c r="AR485" s="87"/>
      <c r="AS485" s="85"/>
      <c r="AT485" s="21"/>
      <c r="AV485" s="3"/>
    </row>
    <row r="486" spans="3:48" x14ac:dyDescent="0.3">
      <c r="C486" s="85"/>
      <c r="D486" s="85"/>
      <c r="E486" s="85"/>
      <c r="F486" s="85"/>
      <c r="G486" s="85"/>
      <c r="H486" s="85"/>
      <c r="I486" s="85"/>
      <c r="J486" s="25"/>
      <c r="K486" s="3"/>
      <c r="L486" s="85"/>
      <c r="M486" s="85"/>
      <c r="N486" s="85"/>
      <c r="O486" s="85"/>
      <c r="P486" s="85"/>
      <c r="Q486" s="85"/>
      <c r="R486" s="85"/>
      <c r="S486" s="1"/>
      <c r="U486" s="1"/>
      <c r="V486" s="1"/>
      <c r="W486" s="1"/>
      <c r="X486" s="1"/>
      <c r="Y486" s="1"/>
      <c r="Z486" s="1"/>
      <c r="AA486" s="1"/>
      <c r="AB486" s="1"/>
      <c r="AD486" s="3"/>
      <c r="AM486" s="86"/>
      <c r="AN486" s="87"/>
      <c r="AO486" s="87"/>
      <c r="AP486" s="87"/>
      <c r="AQ486" s="87"/>
      <c r="AR486" s="87"/>
      <c r="AS486" s="85"/>
      <c r="AT486" s="21"/>
      <c r="AV486" s="3"/>
    </row>
    <row r="487" spans="3:48" x14ac:dyDescent="0.3">
      <c r="C487" s="85"/>
      <c r="D487" s="85"/>
      <c r="E487" s="85"/>
      <c r="F487" s="85"/>
      <c r="G487" s="85"/>
      <c r="H487" s="85"/>
      <c r="I487" s="85"/>
      <c r="J487" s="25"/>
      <c r="K487" s="3"/>
      <c r="L487" s="85"/>
      <c r="M487" s="85"/>
      <c r="N487" s="85"/>
      <c r="O487" s="85"/>
      <c r="P487" s="85"/>
      <c r="Q487" s="85"/>
      <c r="R487" s="85"/>
      <c r="S487" s="1"/>
      <c r="U487" s="1"/>
      <c r="V487" s="1"/>
      <c r="W487" s="1"/>
      <c r="X487" s="1"/>
      <c r="Y487" s="1"/>
      <c r="Z487" s="1"/>
      <c r="AA487" s="1"/>
      <c r="AB487" s="1"/>
      <c r="AD487" s="3"/>
      <c r="AM487" s="86"/>
      <c r="AN487" s="87"/>
      <c r="AO487" s="87"/>
      <c r="AP487" s="87"/>
      <c r="AQ487" s="87"/>
      <c r="AR487" s="87"/>
      <c r="AS487" s="85"/>
      <c r="AT487" s="21"/>
      <c r="AV487" s="3"/>
    </row>
    <row r="488" spans="3:48" x14ac:dyDescent="0.3">
      <c r="C488" s="85"/>
      <c r="D488" s="85"/>
      <c r="E488" s="85"/>
      <c r="F488" s="85"/>
      <c r="G488" s="85"/>
      <c r="H488" s="85"/>
      <c r="I488" s="85"/>
      <c r="J488" s="25"/>
      <c r="K488" s="3"/>
      <c r="L488" s="85"/>
      <c r="M488" s="85"/>
      <c r="N488" s="85"/>
      <c r="O488" s="85"/>
      <c r="P488" s="85"/>
      <c r="Q488" s="85"/>
      <c r="R488" s="85"/>
      <c r="S488" s="1"/>
      <c r="U488" s="1"/>
      <c r="V488" s="1"/>
      <c r="W488" s="1"/>
      <c r="X488" s="1"/>
      <c r="Y488" s="1"/>
      <c r="Z488" s="1"/>
      <c r="AA488" s="1"/>
      <c r="AB488" s="1"/>
      <c r="AD488" s="3"/>
      <c r="AM488" s="86"/>
      <c r="AN488" s="87"/>
      <c r="AO488" s="87"/>
      <c r="AP488" s="87"/>
      <c r="AQ488" s="87"/>
      <c r="AR488" s="87"/>
      <c r="AS488" s="85"/>
      <c r="AT488" s="21"/>
      <c r="AV488" s="3"/>
    </row>
    <row r="489" spans="3:48" x14ac:dyDescent="0.3">
      <c r="C489" s="85"/>
      <c r="D489" s="85"/>
      <c r="E489" s="85"/>
      <c r="F489" s="85"/>
      <c r="G489" s="85"/>
      <c r="H489" s="85"/>
      <c r="I489" s="85"/>
      <c r="J489" s="25"/>
      <c r="K489" s="3"/>
      <c r="L489" s="85"/>
      <c r="M489" s="85"/>
      <c r="N489" s="85"/>
      <c r="O489" s="85"/>
      <c r="P489" s="85"/>
      <c r="Q489" s="85"/>
      <c r="R489" s="85"/>
      <c r="S489" s="1"/>
      <c r="U489" s="1"/>
      <c r="V489" s="1"/>
      <c r="W489" s="1"/>
      <c r="X489" s="1"/>
      <c r="Y489" s="1"/>
      <c r="Z489" s="1"/>
      <c r="AA489" s="1"/>
      <c r="AB489" s="1"/>
      <c r="AD489" s="3"/>
      <c r="AM489" s="86"/>
      <c r="AN489" s="87"/>
      <c r="AO489" s="87"/>
      <c r="AP489" s="87"/>
      <c r="AQ489" s="87"/>
      <c r="AR489" s="87"/>
      <c r="AS489" s="85"/>
      <c r="AT489" s="21"/>
      <c r="AV489" s="3"/>
    </row>
    <row r="490" spans="3:48" x14ac:dyDescent="0.3">
      <c r="C490" s="85"/>
      <c r="D490" s="85"/>
      <c r="E490" s="85"/>
      <c r="F490" s="85"/>
      <c r="G490" s="85"/>
      <c r="H490" s="85"/>
      <c r="I490" s="85"/>
      <c r="J490" s="25"/>
      <c r="K490" s="3"/>
      <c r="L490" s="85"/>
      <c r="M490" s="85"/>
      <c r="N490" s="85"/>
      <c r="O490" s="85"/>
      <c r="P490" s="85"/>
      <c r="Q490" s="85"/>
      <c r="R490" s="85"/>
      <c r="S490" s="1"/>
      <c r="U490" s="1"/>
      <c r="V490" s="1"/>
      <c r="W490" s="1"/>
      <c r="X490" s="1"/>
      <c r="Y490" s="1"/>
      <c r="Z490" s="1"/>
      <c r="AA490" s="1"/>
      <c r="AB490" s="1"/>
      <c r="AD490" s="3"/>
      <c r="AM490" s="86"/>
      <c r="AN490" s="87"/>
      <c r="AO490" s="87"/>
      <c r="AP490" s="87"/>
      <c r="AQ490" s="87"/>
      <c r="AR490" s="87"/>
      <c r="AS490" s="85"/>
      <c r="AT490" s="21"/>
      <c r="AV490" s="3"/>
    </row>
    <row r="491" spans="3:48" x14ac:dyDescent="0.3">
      <c r="C491" s="85"/>
      <c r="D491" s="85"/>
      <c r="E491" s="85"/>
      <c r="F491" s="85"/>
      <c r="G491" s="85"/>
      <c r="H491" s="85"/>
      <c r="I491" s="85"/>
      <c r="J491" s="25"/>
      <c r="K491" s="3"/>
      <c r="L491" s="85"/>
      <c r="M491" s="85"/>
      <c r="N491" s="85"/>
      <c r="O491" s="85"/>
      <c r="P491" s="85"/>
      <c r="Q491" s="85"/>
      <c r="R491" s="85"/>
      <c r="S491" s="1"/>
      <c r="U491" s="1"/>
      <c r="V491" s="1"/>
      <c r="W491" s="1"/>
      <c r="X491" s="1"/>
      <c r="Y491" s="1"/>
      <c r="Z491" s="1"/>
      <c r="AA491" s="1"/>
      <c r="AB491" s="1"/>
      <c r="AD491" s="3"/>
      <c r="AM491" s="86"/>
      <c r="AN491" s="87"/>
      <c r="AO491" s="87"/>
      <c r="AP491" s="87"/>
      <c r="AQ491" s="87"/>
      <c r="AR491" s="87"/>
      <c r="AS491" s="85"/>
      <c r="AT491" s="21"/>
      <c r="AV491" s="3"/>
    </row>
    <row r="492" spans="3:48" x14ac:dyDescent="0.3">
      <c r="C492" s="85"/>
      <c r="D492" s="85"/>
      <c r="E492" s="85"/>
      <c r="F492" s="85"/>
      <c r="G492" s="85"/>
      <c r="H492" s="85"/>
      <c r="I492" s="85"/>
      <c r="J492" s="25"/>
      <c r="K492" s="3"/>
      <c r="L492" s="85"/>
      <c r="M492" s="85"/>
      <c r="N492" s="85"/>
      <c r="O492" s="85"/>
      <c r="P492" s="85"/>
      <c r="Q492" s="85"/>
      <c r="R492" s="85"/>
      <c r="S492" s="1"/>
      <c r="U492" s="1"/>
      <c r="V492" s="1"/>
      <c r="W492" s="1"/>
      <c r="X492" s="1"/>
      <c r="Y492" s="1"/>
      <c r="Z492" s="1"/>
      <c r="AA492" s="1"/>
      <c r="AB492" s="1"/>
      <c r="AD492" s="3"/>
      <c r="AM492" s="86"/>
      <c r="AN492" s="87"/>
      <c r="AO492" s="87"/>
      <c r="AP492" s="87"/>
      <c r="AQ492" s="87"/>
      <c r="AR492" s="87"/>
      <c r="AS492" s="85"/>
      <c r="AT492" s="21"/>
      <c r="AV492" s="3"/>
    </row>
    <row r="493" spans="3:48" x14ac:dyDescent="0.3">
      <c r="C493" s="85"/>
      <c r="D493" s="85"/>
      <c r="E493" s="85"/>
      <c r="F493" s="85"/>
      <c r="G493" s="85"/>
      <c r="H493" s="85"/>
      <c r="I493" s="85"/>
      <c r="J493" s="25"/>
      <c r="K493" s="3"/>
      <c r="L493" s="85"/>
      <c r="M493" s="85"/>
      <c r="N493" s="85"/>
      <c r="O493" s="85"/>
      <c r="P493" s="85"/>
      <c r="Q493" s="85"/>
      <c r="R493" s="85"/>
      <c r="S493" s="1"/>
      <c r="U493" s="1"/>
      <c r="V493" s="1"/>
      <c r="W493" s="1"/>
      <c r="X493" s="1"/>
      <c r="Y493" s="1"/>
      <c r="Z493" s="1"/>
      <c r="AA493" s="1"/>
      <c r="AB493" s="1"/>
      <c r="AD493" s="3"/>
      <c r="AM493" s="86"/>
      <c r="AN493" s="87"/>
      <c r="AO493" s="87"/>
      <c r="AP493" s="87"/>
      <c r="AQ493" s="87"/>
      <c r="AR493" s="87"/>
      <c r="AS493" s="85"/>
      <c r="AT493" s="21"/>
      <c r="AV493" s="3"/>
    </row>
    <row r="494" spans="3:48" x14ac:dyDescent="0.3">
      <c r="C494" s="85"/>
      <c r="D494" s="85"/>
      <c r="E494" s="85"/>
      <c r="F494" s="85"/>
      <c r="G494" s="85"/>
      <c r="H494" s="85"/>
      <c r="I494" s="85"/>
      <c r="J494" s="25"/>
      <c r="K494" s="3"/>
      <c r="L494" s="85"/>
      <c r="M494" s="85"/>
      <c r="N494" s="85"/>
      <c r="O494" s="85"/>
      <c r="P494" s="85"/>
      <c r="Q494" s="85"/>
      <c r="R494" s="85"/>
      <c r="S494" s="1"/>
      <c r="U494" s="1"/>
      <c r="V494" s="1"/>
      <c r="W494" s="1"/>
      <c r="X494" s="1"/>
      <c r="Y494" s="1"/>
      <c r="Z494" s="1"/>
      <c r="AA494" s="1"/>
      <c r="AB494" s="1"/>
      <c r="AD494" s="3"/>
      <c r="AM494" s="86"/>
      <c r="AN494" s="87"/>
      <c r="AO494" s="87"/>
      <c r="AP494" s="87"/>
      <c r="AQ494" s="87"/>
      <c r="AR494" s="87"/>
      <c r="AS494" s="85"/>
      <c r="AT494" s="21"/>
      <c r="AV494" s="3"/>
    </row>
    <row r="495" spans="3:48" x14ac:dyDescent="0.3">
      <c r="C495" s="85"/>
      <c r="D495" s="85"/>
      <c r="E495" s="85"/>
      <c r="F495" s="85"/>
      <c r="G495" s="85"/>
      <c r="H495" s="85"/>
      <c r="I495" s="85"/>
      <c r="J495" s="25"/>
      <c r="K495" s="3"/>
      <c r="L495" s="85"/>
      <c r="M495" s="85"/>
      <c r="N495" s="85"/>
      <c r="O495" s="85"/>
      <c r="P495" s="85"/>
      <c r="Q495" s="85"/>
      <c r="R495" s="85"/>
      <c r="S495" s="1"/>
      <c r="U495" s="1"/>
      <c r="V495" s="1"/>
      <c r="W495" s="1"/>
      <c r="X495" s="1"/>
      <c r="Y495" s="1"/>
      <c r="Z495" s="1"/>
      <c r="AA495" s="1"/>
      <c r="AB495" s="1"/>
      <c r="AD495" s="3"/>
      <c r="AM495" s="86"/>
      <c r="AN495" s="87"/>
      <c r="AO495" s="87"/>
      <c r="AP495" s="87"/>
      <c r="AQ495" s="87"/>
      <c r="AR495" s="87"/>
      <c r="AS495" s="85"/>
      <c r="AT495" s="21"/>
      <c r="AV495" s="3"/>
    </row>
    <row r="496" spans="3:48" x14ac:dyDescent="0.3">
      <c r="C496" s="85"/>
      <c r="D496" s="85"/>
      <c r="E496" s="85"/>
      <c r="F496" s="85"/>
      <c r="G496" s="85"/>
      <c r="H496" s="85"/>
      <c r="I496" s="85"/>
      <c r="J496" s="25"/>
      <c r="K496" s="3"/>
      <c r="L496" s="85"/>
      <c r="M496" s="85"/>
      <c r="N496" s="85"/>
      <c r="O496" s="85"/>
      <c r="P496" s="85"/>
      <c r="Q496" s="85"/>
      <c r="R496" s="85"/>
      <c r="S496" s="1"/>
      <c r="U496" s="1"/>
      <c r="V496" s="1"/>
      <c r="W496" s="1"/>
      <c r="X496" s="1"/>
      <c r="Y496" s="1"/>
      <c r="Z496" s="1"/>
      <c r="AA496" s="1"/>
      <c r="AB496" s="1"/>
      <c r="AD496" s="3"/>
      <c r="AM496" s="86"/>
      <c r="AN496" s="87"/>
      <c r="AO496" s="87"/>
      <c r="AP496" s="87"/>
      <c r="AQ496" s="87"/>
      <c r="AR496" s="87"/>
      <c r="AS496" s="85"/>
      <c r="AT496" s="21"/>
      <c r="AV496" s="3"/>
    </row>
    <row r="497" spans="3:48" x14ac:dyDescent="0.3">
      <c r="C497" s="85"/>
      <c r="D497" s="85"/>
      <c r="E497" s="85"/>
      <c r="F497" s="85"/>
      <c r="G497" s="85"/>
      <c r="H497" s="85"/>
      <c r="I497" s="85"/>
      <c r="J497" s="25"/>
      <c r="K497" s="3"/>
      <c r="L497" s="85"/>
      <c r="M497" s="85"/>
      <c r="N497" s="85"/>
      <c r="O497" s="85"/>
      <c r="P497" s="85"/>
      <c r="Q497" s="85"/>
      <c r="R497" s="85"/>
      <c r="S497" s="1"/>
      <c r="U497" s="1"/>
      <c r="V497" s="1"/>
      <c r="W497" s="1"/>
      <c r="X497" s="1"/>
      <c r="Y497" s="1"/>
      <c r="Z497" s="1"/>
      <c r="AA497" s="1"/>
      <c r="AB497" s="1"/>
      <c r="AD497" s="3"/>
      <c r="AM497" s="86"/>
      <c r="AN497" s="87"/>
      <c r="AO497" s="87"/>
      <c r="AP497" s="87"/>
      <c r="AQ497" s="87"/>
      <c r="AR497" s="87"/>
      <c r="AS497" s="85"/>
      <c r="AT497" s="21"/>
      <c r="AV497" s="3"/>
    </row>
    <row r="498" spans="3:48" x14ac:dyDescent="0.3">
      <c r="C498" s="85"/>
      <c r="D498" s="85"/>
      <c r="E498" s="85"/>
      <c r="F498" s="85"/>
      <c r="G498" s="85"/>
      <c r="H498" s="85"/>
      <c r="I498" s="85"/>
      <c r="J498" s="25"/>
      <c r="K498" s="3"/>
      <c r="L498" s="85"/>
      <c r="M498" s="85"/>
      <c r="N498" s="85"/>
      <c r="O498" s="85"/>
      <c r="P498" s="85"/>
      <c r="Q498" s="85"/>
      <c r="R498" s="85"/>
      <c r="S498" s="1"/>
      <c r="U498" s="1"/>
      <c r="V498" s="1"/>
      <c r="W498" s="1"/>
      <c r="X498" s="1"/>
      <c r="Y498" s="1"/>
      <c r="Z498" s="1"/>
      <c r="AA498" s="1"/>
      <c r="AB498" s="1"/>
      <c r="AD498" s="3"/>
      <c r="AM498" s="86"/>
      <c r="AN498" s="87"/>
      <c r="AO498" s="87"/>
      <c r="AP498" s="87"/>
      <c r="AQ498" s="87"/>
      <c r="AR498" s="87"/>
      <c r="AS498" s="85"/>
      <c r="AT498" s="21"/>
      <c r="AV498" s="3"/>
    </row>
    <row r="499" spans="3:48" x14ac:dyDescent="0.3">
      <c r="C499" s="85"/>
      <c r="D499" s="85"/>
      <c r="E499" s="85"/>
      <c r="F499" s="85"/>
      <c r="G499" s="85"/>
      <c r="H499" s="85"/>
      <c r="I499" s="85"/>
      <c r="J499" s="25"/>
      <c r="K499" s="3"/>
      <c r="L499" s="85"/>
      <c r="M499" s="85"/>
      <c r="N499" s="85"/>
      <c r="O499" s="85"/>
      <c r="P499" s="85"/>
      <c r="Q499" s="85"/>
      <c r="R499" s="85"/>
      <c r="S499" s="1"/>
      <c r="U499" s="1"/>
      <c r="V499" s="1"/>
      <c r="W499" s="1"/>
      <c r="X499" s="1"/>
      <c r="Y499" s="1"/>
      <c r="Z499" s="1"/>
      <c r="AA499" s="1"/>
      <c r="AB499" s="1"/>
      <c r="AD499" s="3"/>
      <c r="AM499" s="86"/>
      <c r="AN499" s="87"/>
      <c r="AO499" s="87"/>
      <c r="AP499" s="87"/>
      <c r="AQ499" s="87"/>
      <c r="AR499" s="87"/>
      <c r="AS499" s="85"/>
      <c r="AT499" s="21"/>
      <c r="AV499" s="3"/>
    </row>
    <row r="500" spans="3:48" x14ac:dyDescent="0.3">
      <c r="C500" s="85"/>
      <c r="D500" s="85"/>
      <c r="E500" s="85"/>
      <c r="F500" s="85"/>
      <c r="G500" s="85"/>
      <c r="H500" s="85"/>
      <c r="I500" s="85"/>
      <c r="J500" s="25"/>
      <c r="K500" s="3"/>
      <c r="L500" s="85"/>
      <c r="M500" s="85"/>
      <c r="N500" s="85"/>
      <c r="O500" s="85"/>
      <c r="P500" s="85"/>
      <c r="Q500" s="85"/>
      <c r="R500" s="85"/>
      <c r="S500" s="1"/>
      <c r="U500" s="1"/>
      <c r="V500" s="1"/>
      <c r="W500" s="1"/>
      <c r="X500" s="1"/>
      <c r="Y500" s="1"/>
      <c r="Z500" s="1"/>
      <c r="AA500" s="1"/>
      <c r="AB500" s="1"/>
      <c r="AD500" s="3"/>
      <c r="AM500" s="86"/>
      <c r="AN500" s="87"/>
      <c r="AO500" s="87"/>
      <c r="AP500" s="87"/>
      <c r="AQ500" s="87"/>
      <c r="AR500" s="87"/>
      <c r="AS500" s="85"/>
      <c r="AT500" s="21"/>
      <c r="AV500" s="3"/>
    </row>
    <row r="501" spans="3:48" x14ac:dyDescent="0.3">
      <c r="C501" s="85"/>
      <c r="D501" s="85"/>
      <c r="E501" s="85"/>
      <c r="F501" s="85"/>
      <c r="G501" s="85"/>
      <c r="H501" s="85"/>
      <c r="I501" s="85"/>
      <c r="J501" s="25"/>
      <c r="K501" s="3"/>
      <c r="L501" s="85"/>
      <c r="M501" s="85"/>
      <c r="N501" s="85"/>
      <c r="O501" s="85"/>
      <c r="P501" s="85"/>
      <c r="Q501" s="85"/>
      <c r="R501" s="85"/>
      <c r="S501" s="1"/>
      <c r="U501" s="1"/>
      <c r="V501" s="1"/>
      <c r="W501" s="1"/>
      <c r="X501" s="1"/>
      <c r="Y501" s="1"/>
      <c r="Z501" s="1"/>
      <c r="AA501" s="1"/>
      <c r="AB501" s="1"/>
      <c r="AD501" s="3"/>
      <c r="AM501" s="86"/>
      <c r="AN501" s="87"/>
      <c r="AO501" s="87"/>
      <c r="AP501" s="87"/>
      <c r="AQ501" s="87"/>
      <c r="AR501" s="87"/>
      <c r="AS501" s="85"/>
      <c r="AT501" s="21"/>
      <c r="AV501" s="3"/>
    </row>
    <row r="502" spans="3:48" x14ac:dyDescent="0.3">
      <c r="C502" s="85"/>
      <c r="D502" s="85"/>
      <c r="E502" s="85"/>
      <c r="F502" s="85"/>
      <c r="G502" s="85"/>
      <c r="H502" s="85"/>
      <c r="I502" s="85"/>
      <c r="J502" s="25"/>
      <c r="K502" s="3"/>
      <c r="L502" s="85"/>
      <c r="M502" s="85"/>
      <c r="N502" s="85"/>
      <c r="O502" s="85"/>
      <c r="P502" s="85"/>
      <c r="Q502" s="85"/>
      <c r="R502" s="85"/>
      <c r="S502" s="1"/>
      <c r="U502" s="1"/>
      <c r="V502" s="1"/>
      <c r="W502" s="1"/>
      <c r="X502" s="1"/>
      <c r="Y502" s="1"/>
      <c r="Z502" s="1"/>
      <c r="AA502" s="1"/>
      <c r="AB502" s="1"/>
      <c r="AD502" s="3"/>
      <c r="AM502" s="86"/>
      <c r="AN502" s="87"/>
      <c r="AO502" s="87"/>
      <c r="AP502" s="87"/>
      <c r="AQ502" s="87"/>
      <c r="AR502" s="87"/>
      <c r="AS502" s="85"/>
      <c r="AT502" s="21"/>
      <c r="AV502" s="3"/>
    </row>
    <row r="503" spans="3:48" x14ac:dyDescent="0.3">
      <c r="C503" s="85"/>
      <c r="D503" s="85"/>
      <c r="E503" s="85"/>
      <c r="F503" s="85"/>
      <c r="G503" s="85"/>
      <c r="H503" s="85"/>
      <c r="I503" s="85"/>
      <c r="J503" s="25"/>
      <c r="K503" s="3"/>
      <c r="L503" s="85"/>
      <c r="M503" s="85"/>
      <c r="N503" s="85"/>
      <c r="O503" s="85"/>
      <c r="P503" s="85"/>
      <c r="Q503" s="85"/>
      <c r="R503" s="85"/>
      <c r="S503" s="1"/>
      <c r="U503" s="1"/>
      <c r="V503" s="1"/>
      <c r="W503" s="1"/>
      <c r="X503" s="1"/>
      <c r="Y503" s="1"/>
      <c r="Z503" s="1"/>
      <c r="AA503" s="1"/>
      <c r="AB503" s="1"/>
      <c r="AD503" s="3"/>
      <c r="AM503" s="86"/>
      <c r="AN503" s="87"/>
      <c r="AO503" s="87"/>
      <c r="AP503" s="87"/>
      <c r="AQ503" s="87"/>
      <c r="AR503" s="87"/>
      <c r="AS503" s="85"/>
      <c r="AT503" s="21"/>
      <c r="AV503" s="3"/>
    </row>
    <row r="504" spans="3:48" x14ac:dyDescent="0.3">
      <c r="C504" s="85"/>
      <c r="D504" s="85"/>
      <c r="E504" s="85"/>
      <c r="F504" s="85"/>
      <c r="G504" s="85"/>
      <c r="H504" s="85"/>
      <c r="I504" s="85"/>
      <c r="J504" s="25"/>
      <c r="K504" s="3"/>
      <c r="L504" s="85"/>
      <c r="M504" s="85"/>
      <c r="N504" s="85"/>
      <c r="O504" s="85"/>
      <c r="P504" s="85"/>
      <c r="Q504" s="85"/>
      <c r="R504" s="85"/>
      <c r="S504" s="1"/>
      <c r="U504" s="1"/>
      <c r="V504" s="1"/>
      <c r="W504" s="1"/>
      <c r="X504" s="1"/>
      <c r="Y504" s="1"/>
      <c r="Z504" s="1"/>
      <c r="AA504" s="1"/>
      <c r="AB504" s="1"/>
      <c r="AD504" s="3"/>
      <c r="AM504" s="86"/>
      <c r="AN504" s="87"/>
      <c r="AO504" s="87"/>
      <c r="AP504" s="87"/>
      <c r="AQ504" s="87"/>
      <c r="AR504" s="87"/>
      <c r="AS504" s="85"/>
      <c r="AT504" s="21"/>
      <c r="AV504" s="3"/>
    </row>
    <row r="505" spans="3:48" x14ac:dyDescent="0.3">
      <c r="C505" s="85"/>
      <c r="D505" s="85"/>
      <c r="E505" s="85"/>
      <c r="F505" s="85"/>
      <c r="G505" s="85"/>
      <c r="H505" s="85"/>
      <c r="I505" s="85"/>
      <c r="J505" s="25"/>
      <c r="K505" s="3"/>
      <c r="L505" s="85"/>
      <c r="M505" s="85"/>
      <c r="N505" s="85"/>
      <c r="O505" s="85"/>
      <c r="P505" s="85"/>
      <c r="Q505" s="85"/>
      <c r="R505" s="85"/>
      <c r="S505" s="1"/>
      <c r="U505" s="1"/>
      <c r="V505" s="1"/>
      <c r="W505" s="1"/>
      <c r="X505" s="1"/>
      <c r="Y505" s="1"/>
      <c r="Z505" s="1"/>
      <c r="AA505" s="1"/>
      <c r="AB505" s="1"/>
      <c r="AD505" s="3"/>
      <c r="AM505" s="86"/>
      <c r="AN505" s="87"/>
      <c r="AO505" s="87"/>
      <c r="AP505" s="87"/>
      <c r="AQ505" s="87"/>
      <c r="AR505" s="87"/>
      <c r="AS505" s="85"/>
      <c r="AT505" s="21"/>
      <c r="AV505" s="3"/>
    </row>
    <row r="506" spans="3:48" x14ac:dyDescent="0.3">
      <c r="C506" s="85"/>
      <c r="D506" s="85"/>
      <c r="E506" s="85"/>
      <c r="F506" s="85"/>
      <c r="G506" s="85"/>
      <c r="H506" s="85"/>
      <c r="I506" s="85"/>
      <c r="J506" s="25"/>
      <c r="K506" s="3"/>
      <c r="L506" s="85"/>
      <c r="M506" s="85"/>
      <c r="N506" s="85"/>
      <c r="O506" s="85"/>
      <c r="P506" s="85"/>
      <c r="Q506" s="85"/>
      <c r="R506" s="85"/>
      <c r="S506" s="1"/>
      <c r="U506" s="1"/>
      <c r="V506" s="1"/>
      <c r="W506" s="1"/>
      <c r="X506" s="1"/>
      <c r="Y506" s="1"/>
      <c r="Z506" s="1"/>
      <c r="AA506" s="1"/>
      <c r="AB506" s="1"/>
      <c r="AD506" s="3"/>
      <c r="AM506" s="86"/>
      <c r="AN506" s="87"/>
      <c r="AO506" s="87"/>
      <c r="AP506" s="87"/>
      <c r="AQ506" s="87"/>
      <c r="AR506" s="87"/>
      <c r="AS506" s="85"/>
      <c r="AT506" s="21"/>
      <c r="AV506" s="3"/>
    </row>
    <row r="507" spans="3:48" x14ac:dyDescent="0.3">
      <c r="C507" s="85"/>
      <c r="D507" s="85"/>
      <c r="E507" s="85"/>
      <c r="F507" s="85"/>
      <c r="G507" s="85"/>
      <c r="H507" s="85"/>
      <c r="I507" s="85"/>
      <c r="J507" s="25"/>
      <c r="K507" s="3"/>
      <c r="L507" s="85"/>
      <c r="M507" s="85"/>
      <c r="N507" s="85"/>
      <c r="O507" s="85"/>
      <c r="P507" s="85"/>
      <c r="Q507" s="85"/>
      <c r="R507" s="85"/>
      <c r="S507" s="1"/>
      <c r="U507" s="1"/>
      <c r="V507" s="1"/>
      <c r="W507" s="1"/>
      <c r="X507" s="1"/>
      <c r="Y507" s="1"/>
      <c r="Z507" s="1"/>
      <c r="AA507" s="1"/>
      <c r="AB507" s="1"/>
      <c r="AD507" s="3"/>
      <c r="AM507" s="86"/>
      <c r="AN507" s="87"/>
      <c r="AO507" s="87"/>
      <c r="AP507" s="87"/>
      <c r="AQ507" s="87"/>
      <c r="AR507" s="87"/>
      <c r="AS507" s="85"/>
      <c r="AT507" s="21"/>
      <c r="AV507" s="3"/>
    </row>
    <row r="508" spans="3:48" x14ac:dyDescent="0.3">
      <c r="C508" s="85"/>
      <c r="D508" s="85"/>
      <c r="E508" s="85"/>
      <c r="F508" s="85"/>
      <c r="G508" s="85"/>
      <c r="H508" s="85"/>
      <c r="I508" s="85"/>
      <c r="J508" s="25"/>
      <c r="K508" s="3"/>
      <c r="L508" s="85"/>
      <c r="M508" s="85"/>
      <c r="N508" s="85"/>
      <c r="O508" s="85"/>
      <c r="P508" s="85"/>
      <c r="Q508" s="85"/>
      <c r="R508" s="85"/>
      <c r="S508" s="1"/>
      <c r="U508" s="1"/>
      <c r="V508" s="1"/>
      <c r="W508" s="1"/>
      <c r="X508" s="1"/>
      <c r="Y508" s="1"/>
      <c r="Z508" s="1"/>
      <c r="AA508" s="1"/>
      <c r="AB508" s="1"/>
      <c r="AD508" s="3"/>
      <c r="AM508" s="86"/>
      <c r="AN508" s="87"/>
      <c r="AO508" s="87"/>
      <c r="AP508" s="87"/>
      <c r="AQ508" s="87"/>
      <c r="AR508" s="87"/>
      <c r="AS508" s="85"/>
      <c r="AT508" s="21"/>
      <c r="AV508" s="3"/>
    </row>
    <row r="509" spans="3:48" x14ac:dyDescent="0.3">
      <c r="C509" s="85"/>
      <c r="D509" s="85"/>
      <c r="E509" s="85"/>
      <c r="F509" s="85"/>
      <c r="G509" s="85"/>
      <c r="H509" s="85"/>
      <c r="I509" s="85"/>
      <c r="J509" s="25"/>
      <c r="K509" s="3"/>
      <c r="L509" s="85"/>
      <c r="M509" s="85"/>
      <c r="N509" s="85"/>
      <c r="O509" s="85"/>
      <c r="P509" s="85"/>
      <c r="Q509" s="85"/>
      <c r="R509" s="85"/>
      <c r="S509" s="1"/>
      <c r="U509" s="1"/>
      <c r="V509" s="1"/>
      <c r="W509" s="1"/>
      <c r="X509" s="1"/>
      <c r="Y509" s="1"/>
      <c r="Z509" s="1"/>
      <c r="AA509" s="1"/>
      <c r="AB509" s="1"/>
      <c r="AD509" s="3"/>
      <c r="AM509" s="86"/>
      <c r="AN509" s="87"/>
      <c r="AO509" s="87"/>
      <c r="AP509" s="87"/>
      <c r="AQ509" s="87"/>
      <c r="AR509" s="87"/>
      <c r="AS509" s="85"/>
      <c r="AT509" s="21"/>
      <c r="AV509" s="3"/>
    </row>
    <row r="510" spans="3:48" x14ac:dyDescent="0.3">
      <c r="C510" s="85"/>
      <c r="D510" s="85"/>
      <c r="E510" s="85"/>
      <c r="F510" s="85"/>
      <c r="G510" s="85"/>
      <c r="H510" s="85"/>
      <c r="I510" s="85"/>
      <c r="J510" s="25"/>
      <c r="K510" s="3"/>
      <c r="L510" s="85"/>
      <c r="M510" s="85"/>
      <c r="N510" s="85"/>
      <c r="O510" s="85"/>
      <c r="P510" s="85"/>
      <c r="Q510" s="85"/>
      <c r="R510" s="85"/>
      <c r="S510" s="1"/>
      <c r="U510" s="1"/>
      <c r="V510" s="1"/>
      <c r="W510" s="1"/>
      <c r="X510" s="1"/>
      <c r="Y510" s="1"/>
      <c r="Z510" s="1"/>
      <c r="AA510" s="1"/>
      <c r="AB510" s="1"/>
      <c r="AD510" s="3"/>
      <c r="AM510" s="86"/>
      <c r="AN510" s="87"/>
      <c r="AO510" s="87"/>
      <c r="AP510" s="87"/>
      <c r="AQ510" s="87"/>
      <c r="AR510" s="87"/>
      <c r="AS510" s="85"/>
      <c r="AT510" s="21"/>
      <c r="AV510" s="3"/>
    </row>
    <row r="511" spans="3:48" x14ac:dyDescent="0.3">
      <c r="C511" s="85"/>
      <c r="D511" s="85"/>
      <c r="E511" s="85"/>
      <c r="F511" s="85"/>
      <c r="G511" s="85"/>
      <c r="H511" s="85"/>
      <c r="I511" s="85"/>
      <c r="J511" s="25"/>
      <c r="K511" s="3"/>
      <c r="L511" s="85"/>
      <c r="M511" s="85"/>
      <c r="N511" s="85"/>
      <c r="O511" s="85"/>
      <c r="P511" s="85"/>
      <c r="Q511" s="85"/>
      <c r="R511" s="85"/>
      <c r="S511" s="1"/>
      <c r="U511" s="1"/>
      <c r="V511" s="1"/>
      <c r="W511" s="1"/>
      <c r="X511" s="1"/>
      <c r="Y511" s="1"/>
      <c r="Z511" s="1"/>
      <c r="AA511" s="1"/>
      <c r="AB511" s="1"/>
      <c r="AD511" s="3"/>
      <c r="AM511" s="86"/>
      <c r="AN511" s="87"/>
      <c r="AO511" s="87"/>
      <c r="AP511" s="87"/>
      <c r="AQ511" s="87"/>
      <c r="AR511" s="87"/>
      <c r="AS511" s="85"/>
      <c r="AT511" s="21"/>
      <c r="AV511" s="3"/>
    </row>
    <row r="512" spans="3:48" x14ac:dyDescent="0.3">
      <c r="C512" s="85"/>
      <c r="D512" s="85"/>
      <c r="E512" s="85"/>
      <c r="F512" s="85"/>
      <c r="G512" s="85"/>
      <c r="H512" s="85"/>
      <c r="I512" s="85"/>
      <c r="J512" s="25"/>
      <c r="K512" s="3"/>
      <c r="L512" s="85"/>
      <c r="M512" s="85"/>
      <c r="N512" s="85"/>
      <c r="O512" s="85"/>
      <c r="P512" s="85"/>
      <c r="Q512" s="85"/>
      <c r="R512" s="85"/>
      <c r="S512" s="1"/>
      <c r="U512" s="1"/>
      <c r="V512" s="1"/>
      <c r="W512" s="1"/>
      <c r="X512" s="1"/>
      <c r="Y512" s="1"/>
      <c r="Z512" s="1"/>
      <c r="AA512" s="1"/>
      <c r="AB512" s="1"/>
      <c r="AD512" s="3"/>
      <c r="AM512" s="86"/>
      <c r="AN512" s="87"/>
      <c r="AO512" s="87"/>
      <c r="AP512" s="87"/>
      <c r="AQ512" s="87"/>
      <c r="AR512" s="87"/>
      <c r="AS512" s="85"/>
      <c r="AT512" s="21"/>
      <c r="AV512" s="3"/>
    </row>
    <row r="513" spans="3:48" x14ac:dyDescent="0.3">
      <c r="C513" s="85"/>
      <c r="D513" s="85"/>
      <c r="E513" s="85"/>
      <c r="F513" s="85"/>
      <c r="G513" s="85"/>
      <c r="H513" s="85"/>
      <c r="I513" s="85"/>
      <c r="J513" s="25"/>
      <c r="K513" s="3"/>
      <c r="L513" s="85"/>
      <c r="M513" s="85"/>
      <c r="N513" s="85"/>
      <c r="O513" s="85"/>
      <c r="P513" s="85"/>
      <c r="Q513" s="85"/>
      <c r="R513" s="85"/>
      <c r="S513" s="1"/>
      <c r="U513" s="1"/>
      <c r="V513" s="1"/>
      <c r="W513" s="1"/>
      <c r="X513" s="1"/>
      <c r="Y513" s="1"/>
      <c r="Z513" s="1"/>
      <c r="AA513" s="1"/>
      <c r="AB513" s="1"/>
      <c r="AD513" s="3"/>
      <c r="AM513" s="86"/>
      <c r="AN513" s="87"/>
      <c r="AO513" s="87"/>
      <c r="AP513" s="87"/>
      <c r="AQ513" s="87"/>
      <c r="AR513" s="87"/>
      <c r="AS513" s="85"/>
      <c r="AT513" s="21"/>
      <c r="AV513" s="3"/>
    </row>
    <row r="514" spans="3:48" x14ac:dyDescent="0.3">
      <c r="C514" s="85"/>
      <c r="D514" s="85"/>
      <c r="E514" s="85"/>
      <c r="F514" s="85"/>
      <c r="G514" s="85"/>
      <c r="H514" s="85"/>
      <c r="I514" s="85"/>
      <c r="J514" s="25"/>
      <c r="K514" s="3"/>
      <c r="L514" s="85"/>
      <c r="M514" s="85"/>
      <c r="N514" s="85"/>
      <c r="O514" s="85"/>
      <c r="P514" s="85"/>
      <c r="Q514" s="85"/>
      <c r="R514" s="85"/>
      <c r="S514" s="1"/>
      <c r="U514" s="1"/>
      <c r="V514" s="1"/>
      <c r="W514" s="1"/>
      <c r="X514" s="1"/>
      <c r="Y514" s="1"/>
      <c r="Z514" s="1"/>
      <c r="AA514" s="1"/>
      <c r="AB514" s="1"/>
      <c r="AD514" s="3"/>
      <c r="AM514" s="86"/>
      <c r="AN514" s="87"/>
      <c r="AO514" s="87"/>
      <c r="AP514" s="87"/>
      <c r="AQ514" s="87"/>
      <c r="AR514" s="87"/>
      <c r="AS514" s="85"/>
      <c r="AT514" s="21"/>
      <c r="AV514" s="3"/>
    </row>
    <row r="515" spans="3:48" x14ac:dyDescent="0.3">
      <c r="C515" s="85"/>
      <c r="D515" s="85"/>
      <c r="E515" s="85"/>
      <c r="F515" s="85"/>
      <c r="G515" s="85"/>
      <c r="H515" s="85"/>
      <c r="I515" s="85"/>
      <c r="J515" s="25"/>
      <c r="K515" s="3"/>
      <c r="L515" s="85"/>
      <c r="M515" s="85"/>
      <c r="N515" s="85"/>
      <c r="O515" s="85"/>
      <c r="P515" s="85"/>
      <c r="Q515" s="85"/>
      <c r="R515" s="85"/>
      <c r="S515" s="1"/>
      <c r="U515" s="1"/>
      <c r="V515" s="1"/>
      <c r="W515" s="1"/>
      <c r="X515" s="1"/>
      <c r="Y515" s="1"/>
      <c r="Z515" s="1"/>
      <c r="AA515" s="1"/>
      <c r="AB515" s="1"/>
      <c r="AD515" s="3"/>
      <c r="AM515" s="86"/>
      <c r="AN515" s="87"/>
      <c r="AO515" s="87"/>
      <c r="AP515" s="87"/>
      <c r="AQ515" s="87"/>
      <c r="AR515" s="87"/>
      <c r="AS515" s="85"/>
      <c r="AT515" s="21"/>
      <c r="AV515" s="3"/>
    </row>
    <row r="516" spans="3:48" x14ac:dyDescent="0.3">
      <c r="C516" s="85"/>
      <c r="D516" s="85"/>
      <c r="E516" s="85"/>
      <c r="F516" s="85"/>
      <c r="G516" s="85"/>
      <c r="H516" s="85"/>
      <c r="I516" s="85"/>
      <c r="J516" s="25"/>
      <c r="K516" s="3"/>
      <c r="L516" s="85"/>
      <c r="M516" s="85"/>
      <c r="N516" s="85"/>
      <c r="O516" s="85"/>
      <c r="P516" s="85"/>
      <c r="Q516" s="85"/>
      <c r="R516" s="85"/>
      <c r="S516" s="1"/>
      <c r="U516" s="1"/>
      <c r="V516" s="1"/>
      <c r="W516" s="1"/>
      <c r="X516" s="1"/>
      <c r="Y516" s="1"/>
      <c r="Z516" s="1"/>
      <c r="AA516" s="1"/>
      <c r="AB516" s="1"/>
      <c r="AD516" s="3"/>
      <c r="AM516" s="86"/>
      <c r="AN516" s="87"/>
      <c r="AO516" s="87"/>
      <c r="AP516" s="87"/>
      <c r="AQ516" s="87"/>
      <c r="AR516" s="87"/>
      <c r="AS516" s="85"/>
      <c r="AT516" s="21"/>
      <c r="AV516" s="3"/>
    </row>
    <row r="517" spans="3:48" x14ac:dyDescent="0.3">
      <c r="C517" s="85"/>
      <c r="D517" s="85"/>
      <c r="E517" s="85"/>
      <c r="F517" s="85"/>
      <c r="G517" s="85"/>
      <c r="H517" s="85"/>
      <c r="I517" s="85"/>
      <c r="J517" s="25"/>
      <c r="K517" s="3"/>
      <c r="L517" s="85"/>
      <c r="M517" s="85"/>
      <c r="N517" s="85"/>
      <c r="O517" s="85"/>
      <c r="P517" s="85"/>
      <c r="Q517" s="85"/>
      <c r="R517" s="85"/>
      <c r="S517" s="1"/>
      <c r="U517" s="1"/>
      <c r="V517" s="1"/>
      <c r="W517" s="1"/>
      <c r="X517" s="1"/>
      <c r="Y517" s="1"/>
      <c r="Z517" s="1"/>
      <c r="AA517" s="1"/>
      <c r="AB517" s="1"/>
      <c r="AD517" s="3"/>
      <c r="AM517" s="86"/>
      <c r="AN517" s="87"/>
      <c r="AO517" s="87"/>
      <c r="AP517" s="87"/>
      <c r="AQ517" s="87"/>
      <c r="AR517" s="87"/>
      <c r="AS517" s="85"/>
      <c r="AT517" s="21"/>
      <c r="AV517" s="3"/>
    </row>
    <row r="518" spans="3:48" x14ac:dyDescent="0.3">
      <c r="C518" s="85"/>
      <c r="D518" s="85"/>
      <c r="E518" s="85"/>
      <c r="F518" s="85"/>
      <c r="G518" s="85"/>
      <c r="H518" s="85"/>
      <c r="I518" s="85"/>
      <c r="J518" s="25"/>
      <c r="K518" s="3"/>
      <c r="L518" s="85"/>
      <c r="M518" s="85"/>
      <c r="N518" s="85"/>
      <c r="O518" s="85"/>
      <c r="P518" s="85"/>
      <c r="Q518" s="85"/>
      <c r="R518" s="85"/>
      <c r="S518" s="1"/>
      <c r="U518" s="1"/>
      <c r="V518" s="1"/>
      <c r="W518" s="1"/>
      <c r="X518" s="1"/>
      <c r="Y518" s="1"/>
      <c r="Z518" s="1"/>
      <c r="AA518" s="1"/>
      <c r="AB518" s="1"/>
      <c r="AD518" s="3"/>
      <c r="AM518" s="86"/>
      <c r="AN518" s="87"/>
      <c r="AO518" s="87"/>
      <c r="AP518" s="87"/>
      <c r="AQ518" s="87"/>
      <c r="AR518" s="87"/>
      <c r="AS518" s="85"/>
      <c r="AT518" s="21"/>
      <c r="AV518" s="3"/>
    </row>
    <row r="519" spans="3:48" x14ac:dyDescent="0.3">
      <c r="C519" s="85"/>
      <c r="D519" s="85"/>
      <c r="E519" s="85"/>
      <c r="F519" s="85"/>
      <c r="G519" s="85"/>
      <c r="H519" s="85"/>
      <c r="I519" s="85"/>
      <c r="J519" s="25"/>
      <c r="K519" s="3"/>
      <c r="L519" s="85"/>
      <c r="M519" s="85"/>
      <c r="N519" s="85"/>
      <c r="O519" s="85"/>
      <c r="P519" s="85"/>
      <c r="Q519" s="85"/>
      <c r="R519" s="85"/>
      <c r="S519" s="1"/>
      <c r="U519" s="1"/>
      <c r="V519" s="1"/>
      <c r="W519" s="1"/>
      <c r="X519" s="1"/>
      <c r="Y519" s="1"/>
      <c r="Z519" s="1"/>
      <c r="AA519" s="1"/>
      <c r="AB519" s="1"/>
      <c r="AD519" s="3"/>
      <c r="AM519" s="86"/>
      <c r="AN519" s="87"/>
      <c r="AO519" s="87"/>
      <c r="AP519" s="87"/>
      <c r="AQ519" s="87"/>
      <c r="AR519" s="87"/>
      <c r="AS519" s="85"/>
      <c r="AT519" s="21"/>
      <c r="AV519" s="3"/>
    </row>
    <row r="520" spans="3:48" x14ac:dyDescent="0.3">
      <c r="C520" s="85"/>
      <c r="D520" s="85"/>
      <c r="E520" s="85"/>
      <c r="F520" s="85"/>
      <c r="G520" s="85"/>
      <c r="H520" s="85"/>
      <c r="I520" s="85"/>
      <c r="J520" s="25"/>
      <c r="K520" s="3"/>
      <c r="L520" s="85"/>
      <c r="M520" s="85"/>
      <c r="N520" s="85"/>
      <c r="O520" s="85"/>
      <c r="P520" s="85"/>
      <c r="Q520" s="85"/>
      <c r="R520" s="85"/>
      <c r="S520" s="1"/>
      <c r="U520" s="1"/>
      <c r="V520" s="1"/>
      <c r="W520" s="1"/>
      <c r="X520" s="1"/>
      <c r="Y520" s="1"/>
      <c r="Z520" s="1"/>
      <c r="AA520" s="1"/>
      <c r="AB520" s="1"/>
      <c r="AD520" s="3"/>
      <c r="AM520" s="86"/>
      <c r="AN520" s="87"/>
      <c r="AO520" s="87"/>
      <c r="AP520" s="87"/>
      <c r="AQ520" s="87"/>
      <c r="AR520" s="87"/>
      <c r="AS520" s="85"/>
      <c r="AT520" s="21"/>
      <c r="AV520" s="3"/>
    </row>
    <row r="521" spans="3:48" x14ac:dyDescent="0.3">
      <c r="C521" s="85"/>
      <c r="D521" s="85"/>
      <c r="E521" s="85"/>
      <c r="F521" s="85"/>
      <c r="G521" s="85"/>
      <c r="H521" s="85"/>
      <c r="I521" s="85"/>
      <c r="J521" s="25"/>
      <c r="K521" s="3"/>
      <c r="L521" s="85"/>
      <c r="M521" s="85"/>
      <c r="N521" s="85"/>
      <c r="O521" s="85"/>
      <c r="P521" s="85"/>
      <c r="Q521" s="85"/>
      <c r="R521" s="85"/>
      <c r="S521" s="1"/>
      <c r="U521" s="1"/>
      <c r="V521" s="1"/>
      <c r="W521" s="1"/>
      <c r="X521" s="1"/>
      <c r="Y521" s="1"/>
      <c r="Z521" s="1"/>
      <c r="AA521" s="1"/>
      <c r="AB521" s="1"/>
      <c r="AD521" s="3"/>
      <c r="AM521" s="86"/>
      <c r="AN521" s="87"/>
      <c r="AO521" s="87"/>
      <c r="AP521" s="87"/>
      <c r="AQ521" s="87"/>
      <c r="AR521" s="87"/>
      <c r="AS521" s="85"/>
      <c r="AT521" s="21"/>
      <c r="AV521" s="3"/>
    </row>
    <row r="522" spans="3:48" x14ac:dyDescent="0.3">
      <c r="C522" s="85"/>
      <c r="D522" s="85"/>
      <c r="E522" s="85"/>
      <c r="F522" s="85"/>
      <c r="G522" s="85"/>
      <c r="H522" s="85"/>
      <c r="I522" s="85"/>
      <c r="J522" s="25"/>
      <c r="K522" s="3"/>
      <c r="L522" s="85"/>
      <c r="M522" s="85"/>
      <c r="N522" s="85"/>
      <c r="O522" s="85"/>
      <c r="P522" s="85"/>
      <c r="Q522" s="85"/>
      <c r="R522" s="85"/>
      <c r="S522" s="1"/>
      <c r="U522" s="1"/>
      <c r="V522" s="1"/>
      <c r="W522" s="1"/>
      <c r="X522" s="1"/>
      <c r="Y522" s="1"/>
      <c r="Z522" s="1"/>
      <c r="AA522" s="1"/>
      <c r="AB522" s="1"/>
      <c r="AD522" s="3"/>
      <c r="AM522" s="86"/>
      <c r="AN522" s="87"/>
      <c r="AO522" s="87"/>
      <c r="AP522" s="87"/>
      <c r="AQ522" s="87"/>
      <c r="AR522" s="87"/>
      <c r="AS522" s="85"/>
      <c r="AT522" s="21"/>
      <c r="AV522" s="3"/>
    </row>
    <row r="523" spans="3:48" x14ac:dyDescent="0.3">
      <c r="C523" s="85"/>
      <c r="D523" s="85"/>
      <c r="E523" s="85"/>
      <c r="F523" s="85"/>
      <c r="G523" s="85"/>
      <c r="H523" s="85"/>
      <c r="I523" s="85"/>
      <c r="J523" s="25"/>
      <c r="K523" s="3"/>
      <c r="L523" s="85"/>
      <c r="M523" s="85"/>
      <c r="N523" s="85"/>
      <c r="O523" s="85"/>
      <c r="P523" s="85"/>
      <c r="Q523" s="85"/>
      <c r="R523" s="85"/>
      <c r="S523" s="1"/>
      <c r="U523" s="1"/>
      <c r="V523" s="1"/>
      <c r="W523" s="1"/>
      <c r="X523" s="1"/>
      <c r="Y523" s="1"/>
      <c r="Z523" s="1"/>
      <c r="AA523" s="1"/>
      <c r="AB523" s="1"/>
      <c r="AD523" s="3"/>
      <c r="AM523" s="86"/>
      <c r="AN523" s="87"/>
      <c r="AO523" s="87"/>
      <c r="AP523" s="87"/>
      <c r="AQ523" s="87"/>
      <c r="AR523" s="87"/>
      <c r="AS523" s="85"/>
      <c r="AT523" s="21"/>
      <c r="AV523" s="3"/>
    </row>
    <row r="524" spans="3:48" x14ac:dyDescent="0.3">
      <c r="C524" s="85"/>
      <c r="D524" s="85"/>
      <c r="E524" s="85"/>
      <c r="F524" s="85"/>
      <c r="G524" s="85"/>
      <c r="H524" s="85"/>
      <c r="I524" s="85"/>
      <c r="J524" s="25"/>
      <c r="K524" s="3"/>
      <c r="L524" s="85"/>
      <c r="M524" s="85"/>
      <c r="N524" s="85"/>
      <c r="O524" s="85"/>
      <c r="P524" s="85"/>
      <c r="Q524" s="85"/>
      <c r="R524" s="85"/>
      <c r="S524" s="1"/>
      <c r="U524" s="1"/>
      <c r="V524" s="1"/>
      <c r="W524" s="1"/>
      <c r="X524" s="1"/>
      <c r="Y524" s="1"/>
      <c r="Z524" s="1"/>
      <c r="AA524" s="1"/>
      <c r="AB524" s="1"/>
      <c r="AD524" s="3"/>
      <c r="AM524" s="86"/>
      <c r="AN524" s="87"/>
      <c r="AO524" s="87"/>
      <c r="AP524" s="87"/>
      <c r="AQ524" s="87"/>
      <c r="AR524" s="87"/>
      <c r="AS524" s="85"/>
      <c r="AT524" s="21"/>
      <c r="AV524" s="3"/>
    </row>
    <row r="525" spans="3:48" x14ac:dyDescent="0.3">
      <c r="C525" s="85"/>
      <c r="D525" s="85"/>
      <c r="E525" s="85"/>
      <c r="F525" s="85"/>
      <c r="G525" s="85"/>
      <c r="H525" s="85"/>
      <c r="I525" s="85"/>
      <c r="J525" s="25"/>
      <c r="K525" s="3"/>
      <c r="L525" s="85"/>
      <c r="M525" s="85"/>
      <c r="N525" s="85"/>
      <c r="O525" s="85"/>
      <c r="P525" s="85"/>
      <c r="Q525" s="85"/>
      <c r="R525" s="85"/>
      <c r="S525" s="1"/>
      <c r="U525" s="1"/>
      <c r="V525" s="1"/>
      <c r="W525" s="1"/>
      <c r="X525" s="1"/>
      <c r="Y525" s="1"/>
      <c r="Z525" s="1"/>
      <c r="AA525" s="1"/>
      <c r="AB525" s="1"/>
      <c r="AD525" s="3"/>
      <c r="AM525" s="86"/>
      <c r="AN525" s="87"/>
      <c r="AO525" s="87"/>
      <c r="AP525" s="87"/>
      <c r="AQ525" s="87"/>
      <c r="AR525" s="87"/>
      <c r="AS525" s="85"/>
      <c r="AT525" s="21"/>
      <c r="AV525" s="3"/>
    </row>
    <row r="526" spans="3:48" x14ac:dyDescent="0.3">
      <c r="C526" s="85"/>
      <c r="D526" s="85"/>
      <c r="E526" s="85"/>
      <c r="F526" s="85"/>
      <c r="G526" s="85"/>
      <c r="H526" s="85"/>
      <c r="I526" s="85"/>
      <c r="J526" s="25"/>
      <c r="K526" s="3"/>
      <c r="L526" s="85"/>
      <c r="M526" s="85"/>
      <c r="N526" s="85"/>
      <c r="O526" s="85"/>
      <c r="P526" s="85"/>
      <c r="Q526" s="85"/>
      <c r="R526" s="85"/>
      <c r="S526" s="1"/>
      <c r="U526" s="1"/>
      <c r="V526" s="1"/>
      <c r="W526" s="1"/>
      <c r="X526" s="1"/>
      <c r="Y526" s="1"/>
      <c r="Z526" s="1"/>
      <c r="AA526" s="1"/>
      <c r="AB526" s="1"/>
      <c r="AD526" s="3"/>
      <c r="AM526" s="86"/>
      <c r="AN526" s="87"/>
      <c r="AO526" s="87"/>
      <c r="AP526" s="87"/>
      <c r="AQ526" s="87"/>
      <c r="AR526" s="87"/>
      <c r="AS526" s="85"/>
      <c r="AT526" s="21"/>
      <c r="AV526" s="3"/>
    </row>
    <row r="527" spans="3:48" x14ac:dyDescent="0.3">
      <c r="C527" s="85"/>
      <c r="D527" s="85"/>
      <c r="E527" s="85"/>
      <c r="F527" s="85"/>
      <c r="G527" s="85"/>
      <c r="H527" s="85"/>
      <c r="I527" s="85"/>
      <c r="J527" s="25"/>
      <c r="K527" s="3"/>
      <c r="L527" s="85"/>
      <c r="M527" s="85"/>
      <c r="N527" s="85"/>
      <c r="O527" s="85"/>
      <c r="P527" s="85"/>
      <c r="Q527" s="85"/>
      <c r="R527" s="85"/>
      <c r="S527" s="1"/>
      <c r="U527" s="1"/>
      <c r="V527" s="1"/>
      <c r="W527" s="1"/>
      <c r="X527" s="1"/>
      <c r="Y527" s="1"/>
      <c r="Z527" s="1"/>
      <c r="AA527" s="1"/>
      <c r="AB527" s="1"/>
      <c r="AD527" s="3"/>
      <c r="AM527" s="86"/>
      <c r="AN527" s="87"/>
      <c r="AO527" s="87"/>
      <c r="AP527" s="87"/>
      <c r="AQ527" s="87"/>
      <c r="AR527" s="87"/>
      <c r="AS527" s="85"/>
      <c r="AT527" s="21"/>
      <c r="AV527" s="3"/>
    </row>
    <row r="528" spans="3:48" x14ac:dyDescent="0.3">
      <c r="C528" s="85"/>
      <c r="D528" s="85"/>
      <c r="E528" s="85"/>
      <c r="F528" s="85"/>
      <c r="G528" s="85"/>
      <c r="H528" s="85"/>
      <c r="I528" s="85"/>
      <c r="J528" s="25"/>
      <c r="K528" s="3"/>
      <c r="L528" s="85"/>
      <c r="M528" s="85"/>
      <c r="N528" s="85"/>
      <c r="O528" s="85"/>
      <c r="P528" s="85"/>
      <c r="Q528" s="85"/>
      <c r="R528" s="85"/>
      <c r="S528" s="1"/>
      <c r="U528" s="1"/>
      <c r="V528" s="1"/>
      <c r="W528" s="1"/>
      <c r="X528" s="1"/>
      <c r="Y528" s="1"/>
      <c r="Z528" s="1"/>
      <c r="AA528" s="1"/>
      <c r="AB528" s="1"/>
      <c r="AD528" s="3"/>
      <c r="AM528" s="86"/>
      <c r="AN528" s="87"/>
      <c r="AO528" s="87"/>
      <c r="AP528" s="87"/>
      <c r="AQ528" s="87"/>
      <c r="AR528" s="87"/>
      <c r="AS528" s="85"/>
      <c r="AT528" s="21"/>
      <c r="AV528" s="3"/>
    </row>
    <row r="529" spans="3:48" x14ac:dyDescent="0.3">
      <c r="C529" s="85"/>
      <c r="D529" s="85"/>
      <c r="E529" s="85"/>
      <c r="F529" s="85"/>
      <c r="G529" s="85"/>
      <c r="H529" s="85"/>
      <c r="I529" s="85"/>
      <c r="J529" s="25"/>
      <c r="K529" s="3"/>
      <c r="L529" s="85"/>
      <c r="M529" s="85"/>
      <c r="N529" s="85"/>
      <c r="O529" s="85"/>
      <c r="P529" s="85"/>
      <c r="Q529" s="85"/>
      <c r="R529" s="85"/>
      <c r="S529" s="1"/>
      <c r="U529" s="1"/>
      <c r="V529" s="1"/>
      <c r="W529" s="1"/>
      <c r="X529" s="1"/>
      <c r="Y529" s="1"/>
      <c r="Z529" s="1"/>
      <c r="AA529" s="1"/>
      <c r="AB529" s="1"/>
      <c r="AD529" s="3"/>
      <c r="AM529" s="86"/>
      <c r="AN529" s="87"/>
      <c r="AO529" s="87"/>
      <c r="AP529" s="87"/>
      <c r="AQ529" s="87"/>
      <c r="AR529" s="87"/>
      <c r="AS529" s="85"/>
      <c r="AT529" s="21"/>
      <c r="AV529" s="3"/>
    </row>
    <row r="530" spans="3:48" x14ac:dyDescent="0.3">
      <c r="C530" s="85"/>
      <c r="D530" s="85"/>
      <c r="E530" s="85"/>
      <c r="F530" s="85"/>
      <c r="G530" s="85"/>
      <c r="H530" s="85"/>
      <c r="I530" s="85"/>
      <c r="J530" s="25"/>
      <c r="K530" s="3"/>
      <c r="L530" s="85"/>
      <c r="M530" s="85"/>
      <c r="N530" s="85"/>
      <c r="O530" s="85"/>
      <c r="P530" s="85"/>
      <c r="Q530" s="85"/>
      <c r="R530" s="85"/>
      <c r="S530" s="1"/>
      <c r="U530" s="1"/>
      <c r="V530" s="1"/>
      <c r="W530" s="1"/>
      <c r="X530" s="1"/>
      <c r="Y530" s="1"/>
      <c r="Z530" s="1"/>
      <c r="AA530" s="1"/>
      <c r="AB530" s="1"/>
      <c r="AD530" s="3"/>
      <c r="AM530" s="86"/>
      <c r="AN530" s="87"/>
      <c r="AO530" s="87"/>
      <c r="AP530" s="87"/>
      <c r="AQ530" s="87"/>
      <c r="AR530" s="87"/>
      <c r="AS530" s="85"/>
      <c r="AT530" s="21"/>
      <c r="AV530" s="3"/>
    </row>
    <row r="531" spans="3:48" x14ac:dyDescent="0.3">
      <c r="C531" s="85"/>
      <c r="D531" s="85"/>
      <c r="E531" s="85"/>
      <c r="F531" s="85"/>
      <c r="G531" s="85"/>
      <c r="H531" s="85"/>
      <c r="I531" s="85"/>
      <c r="J531" s="25"/>
      <c r="K531" s="3"/>
      <c r="L531" s="85"/>
      <c r="M531" s="85"/>
      <c r="N531" s="85"/>
      <c r="O531" s="85"/>
      <c r="P531" s="85"/>
      <c r="Q531" s="85"/>
      <c r="R531" s="85"/>
      <c r="S531" s="1"/>
      <c r="U531" s="1"/>
      <c r="V531" s="1"/>
      <c r="W531" s="1"/>
      <c r="X531" s="1"/>
      <c r="Y531" s="1"/>
      <c r="Z531" s="1"/>
      <c r="AA531" s="1"/>
      <c r="AB531" s="1"/>
      <c r="AD531" s="3"/>
      <c r="AM531" s="86"/>
      <c r="AN531" s="87"/>
      <c r="AO531" s="87"/>
      <c r="AP531" s="87"/>
      <c r="AQ531" s="87"/>
      <c r="AR531" s="87"/>
      <c r="AS531" s="85"/>
      <c r="AT531" s="21"/>
      <c r="AV531" s="3"/>
    </row>
    <row r="532" spans="3:48" x14ac:dyDescent="0.3">
      <c r="C532" s="85"/>
      <c r="D532" s="85"/>
      <c r="E532" s="85"/>
      <c r="F532" s="85"/>
      <c r="G532" s="85"/>
      <c r="H532" s="85"/>
      <c r="I532" s="85"/>
      <c r="J532" s="25"/>
      <c r="K532" s="3"/>
      <c r="L532" s="85"/>
      <c r="M532" s="85"/>
      <c r="N532" s="85"/>
      <c r="O532" s="85"/>
      <c r="P532" s="85"/>
      <c r="Q532" s="85"/>
      <c r="R532" s="85"/>
      <c r="S532" s="1"/>
      <c r="U532" s="1"/>
      <c r="V532" s="1"/>
      <c r="W532" s="1"/>
      <c r="X532" s="1"/>
      <c r="Y532" s="1"/>
      <c r="Z532" s="1"/>
      <c r="AA532" s="1"/>
      <c r="AB532" s="1"/>
      <c r="AD532" s="3"/>
      <c r="AM532" s="86"/>
      <c r="AN532" s="87"/>
      <c r="AO532" s="87"/>
      <c r="AP532" s="87"/>
      <c r="AQ532" s="87"/>
      <c r="AR532" s="87"/>
      <c r="AS532" s="85"/>
      <c r="AT532" s="21"/>
      <c r="AV532" s="3"/>
    </row>
    <row r="533" spans="3:48" x14ac:dyDescent="0.3">
      <c r="C533" s="85"/>
      <c r="D533" s="85"/>
      <c r="E533" s="85"/>
      <c r="F533" s="85"/>
      <c r="G533" s="85"/>
      <c r="H533" s="85"/>
      <c r="I533" s="85"/>
      <c r="J533" s="25"/>
      <c r="K533" s="3"/>
      <c r="L533" s="85"/>
      <c r="M533" s="85"/>
      <c r="N533" s="85"/>
      <c r="O533" s="85"/>
      <c r="P533" s="85"/>
      <c r="Q533" s="85"/>
      <c r="R533" s="85"/>
      <c r="S533" s="1"/>
      <c r="U533" s="1"/>
      <c r="V533" s="1"/>
      <c r="W533" s="1"/>
      <c r="X533" s="1"/>
      <c r="Y533" s="1"/>
      <c r="Z533" s="1"/>
      <c r="AA533" s="1"/>
      <c r="AB533" s="1"/>
      <c r="AD533" s="3"/>
      <c r="AM533" s="86"/>
      <c r="AN533" s="87"/>
      <c r="AO533" s="87"/>
      <c r="AP533" s="87"/>
      <c r="AQ533" s="87"/>
      <c r="AR533" s="87"/>
      <c r="AS533" s="85"/>
      <c r="AT533" s="21"/>
      <c r="AV533" s="3"/>
    </row>
    <row r="534" spans="3:48" x14ac:dyDescent="0.3">
      <c r="C534" s="85"/>
      <c r="D534" s="85"/>
      <c r="E534" s="85"/>
      <c r="F534" s="85"/>
      <c r="G534" s="85"/>
      <c r="H534" s="85"/>
      <c r="I534" s="85"/>
      <c r="J534" s="25"/>
      <c r="K534" s="3"/>
      <c r="L534" s="85"/>
      <c r="M534" s="85"/>
      <c r="N534" s="85"/>
      <c r="O534" s="85"/>
      <c r="P534" s="85"/>
      <c r="Q534" s="85"/>
      <c r="R534" s="85"/>
      <c r="S534" s="1"/>
      <c r="U534" s="1"/>
      <c r="V534" s="1"/>
      <c r="W534" s="1"/>
      <c r="X534" s="1"/>
      <c r="Y534" s="1"/>
      <c r="Z534" s="1"/>
      <c r="AA534" s="1"/>
      <c r="AB534" s="1"/>
      <c r="AD534" s="3"/>
      <c r="AM534" s="86"/>
      <c r="AN534" s="87"/>
      <c r="AO534" s="87"/>
      <c r="AP534" s="87"/>
      <c r="AQ534" s="87"/>
      <c r="AR534" s="87"/>
      <c r="AS534" s="85"/>
      <c r="AT534" s="21"/>
      <c r="AV534" s="3"/>
    </row>
    <row r="535" spans="3:48" x14ac:dyDescent="0.3">
      <c r="C535" s="85"/>
      <c r="D535" s="85"/>
      <c r="E535" s="85"/>
      <c r="F535" s="85"/>
      <c r="G535" s="85"/>
      <c r="H535" s="85"/>
      <c r="I535" s="85"/>
      <c r="J535" s="25"/>
      <c r="K535" s="3"/>
      <c r="L535" s="85"/>
      <c r="M535" s="85"/>
      <c r="N535" s="85"/>
      <c r="O535" s="85"/>
      <c r="P535" s="85"/>
      <c r="Q535" s="85"/>
      <c r="R535" s="85"/>
      <c r="S535" s="1"/>
      <c r="U535" s="1"/>
      <c r="V535" s="1"/>
      <c r="W535" s="1"/>
      <c r="X535" s="1"/>
      <c r="Y535" s="1"/>
      <c r="Z535" s="1"/>
      <c r="AA535" s="1"/>
      <c r="AB535" s="1"/>
      <c r="AD535" s="3"/>
      <c r="AM535" s="86"/>
      <c r="AN535" s="87"/>
      <c r="AO535" s="87"/>
      <c r="AP535" s="87"/>
      <c r="AQ535" s="87"/>
      <c r="AR535" s="87"/>
      <c r="AS535" s="85"/>
      <c r="AT535" s="21"/>
      <c r="AV535" s="3"/>
    </row>
    <row r="536" spans="3:48" x14ac:dyDescent="0.3">
      <c r="C536" s="85"/>
      <c r="D536" s="85"/>
      <c r="E536" s="85"/>
      <c r="F536" s="85"/>
      <c r="G536" s="85"/>
      <c r="H536" s="85"/>
      <c r="I536" s="85"/>
      <c r="J536" s="25"/>
      <c r="K536" s="3"/>
      <c r="L536" s="85"/>
      <c r="M536" s="85"/>
      <c r="N536" s="85"/>
      <c r="O536" s="85"/>
      <c r="P536" s="85"/>
      <c r="Q536" s="85"/>
      <c r="R536" s="85"/>
      <c r="S536" s="1"/>
      <c r="U536" s="1"/>
      <c r="V536" s="1"/>
      <c r="W536" s="1"/>
      <c r="X536" s="1"/>
      <c r="Y536" s="1"/>
      <c r="Z536" s="1"/>
      <c r="AA536" s="1"/>
      <c r="AB536" s="1"/>
      <c r="AD536" s="3"/>
      <c r="AM536" s="86"/>
      <c r="AN536" s="87"/>
      <c r="AO536" s="87"/>
      <c r="AP536" s="87"/>
      <c r="AQ536" s="87"/>
      <c r="AR536" s="87"/>
      <c r="AS536" s="85"/>
      <c r="AT536" s="21"/>
      <c r="AV536" s="3"/>
    </row>
    <row r="537" spans="3:48" x14ac:dyDescent="0.3">
      <c r="C537" s="85"/>
      <c r="D537" s="85"/>
      <c r="E537" s="85"/>
      <c r="F537" s="85"/>
      <c r="G537" s="85"/>
      <c r="H537" s="85"/>
      <c r="I537" s="85"/>
      <c r="J537" s="25"/>
      <c r="K537" s="3"/>
      <c r="L537" s="85"/>
      <c r="M537" s="85"/>
      <c r="N537" s="85"/>
      <c r="O537" s="85"/>
      <c r="P537" s="85"/>
      <c r="Q537" s="85"/>
      <c r="R537" s="85"/>
      <c r="S537" s="1"/>
      <c r="U537" s="1"/>
      <c r="V537" s="1"/>
      <c r="W537" s="1"/>
      <c r="X537" s="1"/>
      <c r="Y537" s="1"/>
      <c r="Z537" s="1"/>
      <c r="AA537" s="1"/>
      <c r="AB537" s="1"/>
      <c r="AD537" s="3"/>
      <c r="AM537" s="86"/>
      <c r="AN537" s="87"/>
      <c r="AO537" s="87"/>
      <c r="AP537" s="87"/>
      <c r="AQ537" s="87"/>
      <c r="AR537" s="87"/>
      <c r="AS537" s="85"/>
      <c r="AT537" s="21"/>
      <c r="AV537" s="3"/>
    </row>
    <row r="538" spans="3:48" x14ac:dyDescent="0.3">
      <c r="C538" s="85"/>
      <c r="D538" s="85"/>
      <c r="E538" s="85"/>
      <c r="F538" s="85"/>
      <c r="G538" s="85"/>
      <c r="H538" s="85"/>
      <c r="I538" s="85"/>
      <c r="J538" s="25"/>
      <c r="K538" s="3"/>
      <c r="L538" s="85"/>
      <c r="M538" s="85"/>
      <c r="N538" s="85"/>
      <c r="O538" s="85"/>
      <c r="P538" s="85"/>
      <c r="Q538" s="85"/>
      <c r="R538" s="85"/>
      <c r="S538" s="1"/>
      <c r="U538" s="1"/>
      <c r="V538" s="1"/>
      <c r="W538" s="1"/>
      <c r="X538" s="1"/>
      <c r="Y538" s="1"/>
      <c r="Z538" s="1"/>
      <c r="AA538" s="1"/>
      <c r="AB538" s="1"/>
      <c r="AD538" s="3"/>
      <c r="AM538" s="86"/>
      <c r="AN538" s="87"/>
      <c r="AO538" s="87"/>
      <c r="AP538" s="87"/>
      <c r="AQ538" s="87"/>
      <c r="AR538" s="87"/>
      <c r="AS538" s="85"/>
      <c r="AT538" s="21"/>
      <c r="AV538" s="3"/>
    </row>
    <row r="539" spans="3:48" x14ac:dyDescent="0.3">
      <c r="C539" s="85"/>
      <c r="D539" s="85"/>
      <c r="E539" s="85"/>
      <c r="F539" s="85"/>
      <c r="G539" s="85"/>
      <c r="H539" s="85"/>
      <c r="I539" s="85"/>
      <c r="J539" s="25"/>
      <c r="K539" s="3"/>
      <c r="L539" s="85"/>
      <c r="M539" s="85"/>
      <c r="N539" s="85"/>
      <c r="O539" s="85"/>
      <c r="P539" s="85"/>
      <c r="Q539" s="85"/>
      <c r="R539" s="85"/>
      <c r="S539" s="1"/>
      <c r="U539" s="1"/>
      <c r="V539" s="1"/>
      <c r="W539" s="1"/>
      <c r="X539" s="1"/>
      <c r="Y539" s="1"/>
      <c r="Z539" s="1"/>
      <c r="AA539" s="1"/>
      <c r="AB539" s="1"/>
      <c r="AD539" s="3"/>
      <c r="AM539" s="86"/>
      <c r="AN539" s="87"/>
      <c r="AO539" s="87"/>
      <c r="AP539" s="87"/>
      <c r="AQ539" s="87"/>
      <c r="AR539" s="87"/>
      <c r="AS539" s="85"/>
      <c r="AT539" s="21"/>
      <c r="AV539" s="3"/>
    </row>
    <row r="540" spans="3:48" x14ac:dyDescent="0.3">
      <c r="C540" s="85"/>
      <c r="D540" s="85"/>
      <c r="E540" s="85"/>
      <c r="F540" s="85"/>
      <c r="G540" s="85"/>
      <c r="H540" s="85"/>
      <c r="I540" s="85"/>
      <c r="J540" s="25"/>
      <c r="K540" s="3"/>
      <c r="L540" s="85"/>
      <c r="M540" s="85"/>
      <c r="N540" s="85"/>
      <c r="O540" s="85"/>
      <c r="P540" s="85"/>
      <c r="Q540" s="85"/>
      <c r="R540" s="85"/>
      <c r="S540" s="1"/>
      <c r="U540" s="1"/>
      <c r="V540" s="1"/>
      <c r="W540" s="1"/>
      <c r="X540" s="1"/>
      <c r="Y540" s="1"/>
      <c r="Z540" s="1"/>
      <c r="AA540" s="1"/>
      <c r="AB540" s="1"/>
      <c r="AD540" s="3"/>
      <c r="AM540" s="86"/>
      <c r="AN540" s="87"/>
      <c r="AO540" s="87"/>
      <c r="AP540" s="87"/>
      <c r="AQ540" s="87"/>
      <c r="AR540" s="87"/>
      <c r="AS540" s="85"/>
      <c r="AT540" s="21"/>
      <c r="AV540" s="3"/>
    </row>
    <row r="541" spans="3:48" x14ac:dyDescent="0.3">
      <c r="C541" s="85"/>
      <c r="D541" s="85"/>
      <c r="E541" s="85"/>
      <c r="F541" s="85"/>
      <c r="G541" s="85"/>
      <c r="H541" s="85"/>
      <c r="I541" s="85"/>
      <c r="J541" s="25"/>
      <c r="K541" s="3"/>
      <c r="L541" s="85"/>
      <c r="M541" s="85"/>
      <c r="N541" s="85"/>
      <c r="O541" s="85"/>
      <c r="P541" s="85"/>
      <c r="Q541" s="85"/>
      <c r="R541" s="85"/>
      <c r="S541" s="1"/>
      <c r="U541" s="1"/>
      <c r="V541" s="1"/>
      <c r="W541" s="1"/>
      <c r="X541" s="1"/>
      <c r="Y541" s="1"/>
      <c r="Z541" s="1"/>
      <c r="AA541" s="1"/>
      <c r="AB541" s="1"/>
      <c r="AD541" s="3"/>
      <c r="AM541" s="86"/>
      <c r="AN541" s="87"/>
      <c r="AO541" s="87"/>
      <c r="AP541" s="87"/>
      <c r="AQ541" s="87"/>
      <c r="AR541" s="87"/>
      <c r="AS541" s="85"/>
      <c r="AT541" s="21"/>
      <c r="AV541" s="3"/>
    </row>
    <row r="542" spans="3:48" x14ac:dyDescent="0.3">
      <c r="C542" s="85"/>
      <c r="D542" s="85"/>
      <c r="E542" s="85"/>
      <c r="F542" s="85"/>
      <c r="G542" s="85"/>
      <c r="H542" s="85"/>
      <c r="I542" s="85"/>
      <c r="J542" s="25"/>
      <c r="K542" s="3"/>
      <c r="L542" s="85"/>
      <c r="M542" s="85"/>
      <c r="N542" s="85"/>
      <c r="O542" s="85"/>
      <c r="P542" s="85"/>
      <c r="Q542" s="85"/>
      <c r="R542" s="85"/>
      <c r="S542" s="1"/>
      <c r="U542" s="1"/>
      <c r="V542" s="1"/>
      <c r="W542" s="1"/>
      <c r="X542" s="1"/>
      <c r="Y542" s="1"/>
      <c r="Z542" s="1"/>
      <c r="AA542" s="1"/>
      <c r="AB542" s="1"/>
      <c r="AD542" s="3"/>
      <c r="AM542" s="86"/>
      <c r="AN542" s="87"/>
      <c r="AO542" s="87"/>
      <c r="AP542" s="87"/>
      <c r="AQ542" s="87"/>
      <c r="AR542" s="87"/>
      <c r="AS542" s="85"/>
      <c r="AT542" s="21"/>
      <c r="AV542" s="3"/>
    </row>
    <row r="543" spans="3:48" x14ac:dyDescent="0.3">
      <c r="C543" s="85"/>
      <c r="D543" s="85"/>
      <c r="E543" s="85"/>
      <c r="F543" s="85"/>
      <c r="G543" s="85"/>
      <c r="H543" s="85"/>
      <c r="I543" s="85"/>
      <c r="J543" s="25"/>
      <c r="K543" s="3"/>
      <c r="L543" s="85"/>
      <c r="M543" s="85"/>
      <c r="N543" s="85"/>
      <c r="O543" s="85"/>
      <c r="P543" s="85"/>
      <c r="Q543" s="85"/>
      <c r="R543" s="85"/>
      <c r="S543" s="1"/>
      <c r="U543" s="1"/>
      <c r="V543" s="1"/>
      <c r="W543" s="1"/>
      <c r="X543" s="1"/>
      <c r="Y543" s="1"/>
      <c r="Z543" s="1"/>
      <c r="AA543" s="1"/>
      <c r="AB543" s="1"/>
      <c r="AD543" s="3"/>
      <c r="AM543" s="86"/>
      <c r="AN543" s="87"/>
      <c r="AO543" s="87"/>
      <c r="AP543" s="87"/>
      <c r="AQ543" s="87"/>
      <c r="AR543" s="87"/>
      <c r="AS543" s="85"/>
      <c r="AT543" s="21"/>
      <c r="AV543" s="3"/>
    </row>
    <row r="544" spans="3:48" x14ac:dyDescent="0.3">
      <c r="C544" s="85"/>
      <c r="D544" s="85"/>
      <c r="E544" s="85"/>
      <c r="F544" s="85"/>
      <c r="G544" s="85"/>
      <c r="H544" s="85"/>
      <c r="I544" s="85"/>
      <c r="J544" s="25"/>
      <c r="K544" s="3"/>
      <c r="L544" s="85"/>
      <c r="M544" s="85"/>
      <c r="N544" s="85"/>
      <c r="O544" s="85"/>
      <c r="P544" s="85"/>
      <c r="Q544" s="85"/>
      <c r="R544" s="85"/>
      <c r="S544" s="1"/>
      <c r="U544" s="1"/>
      <c r="V544" s="1"/>
      <c r="W544" s="1"/>
      <c r="X544" s="1"/>
      <c r="Y544" s="1"/>
      <c r="Z544" s="1"/>
      <c r="AA544" s="1"/>
      <c r="AB544" s="1"/>
      <c r="AD544" s="3"/>
      <c r="AM544" s="86"/>
      <c r="AN544" s="87"/>
      <c r="AO544" s="87"/>
      <c r="AP544" s="87"/>
      <c r="AQ544" s="87"/>
      <c r="AR544" s="87"/>
      <c r="AS544" s="85"/>
      <c r="AT544" s="21"/>
      <c r="AV544" s="3"/>
    </row>
    <row r="545" spans="3:48" x14ac:dyDescent="0.3">
      <c r="C545" s="85"/>
      <c r="D545" s="85"/>
      <c r="E545" s="85"/>
      <c r="F545" s="85"/>
      <c r="G545" s="85"/>
      <c r="H545" s="85"/>
      <c r="I545" s="85"/>
      <c r="J545" s="25"/>
      <c r="K545" s="3"/>
      <c r="L545" s="85"/>
      <c r="M545" s="85"/>
      <c r="N545" s="85"/>
      <c r="O545" s="85"/>
      <c r="P545" s="85"/>
      <c r="Q545" s="85"/>
      <c r="R545" s="85"/>
      <c r="S545" s="1"/>
      <c r="U545" s="1"/>
      <c r="V545" s="1"/>
      <c r="W545" s="1"/>
      <c r="X545" s="1"/>
      <c r="Y545" s="1"/>
      <c r="Z545" s="1"/>
      <c r="AA545" s="1"/>
      <c r="AB545" s="1"/>
      <c r="AD545" s="3"/>
      <c r="AM545" s="86"/>
      <c r="AN545" s="87"/>
      <c r="AO545" s="87"/>
      <c r="AP545" s="87"/>
      <c r="AQ545" s="87"/>
      <c r="AR545" s="87"/>
      <c r="AS545" s="85"/>
      <c r="AT545" s="21"/>
      <c r="AV545" s="3"/>
    </row>
    <row r="546" spans="3:48" x14ac:dyDescent="0.3">
      <c r="C546" s="85"/>
      <c r="D546" s="85"/>
      <c r="E546" s="85"/>
      <c r="F546" s="85"/>
      <c r="G546" s="85"/>
      <c r="H546" s="85"/>
      <c r="I546" s="85"/>
      <c r="J546" s="25"/>
      <c r="K546" s="3"/>
      <c r="L546" s="85"/>
      <c r="M546" s="85"/>
      <c r="N546" s="85"/>
      <c r="O546" s="85"/>
      <c r="P546" s="85"/>
      <c r="Q546" s="85"/>
      <c r="R546" s="85"/>
      <c r="S546" s="1"/>
      <c r="U546" s="1"/>
      <c r="V546" s="1"/>
      <c r="W546" s="1"/>
      <c r="X546" s="1"/>
      <c r="Y546" s="1"/>
      <c r="Z546" s="1"/>
      <c r="AA546" s="1"/>
      <c r="AB546" s="1"/>
      <c r="AD546" s="3"/>
      <c r="AM546" s="86"/>
      <c r="AN546" s="87"/>
      <c r="AO546" s="87"/>
      <c r="AP546" s="87"/>
      <c r="AQ546" s="87"/>
      <c r="AR546" s="87"/>
      <c r="AS546" s="85"/>
      <c r="AT546" s="21"/>
      <c r="AV546" s="3"/>
    </row>
    <row r="547" spans="3:48" x14ac:dyDescent="0.3">
      <c r="C547" s="85"/>
      <c r="D547" s="85"/>
      <c r="E547" s="85"/>
      <c r="F547" s="85"/>
      <c r="G547" s="85"/>
      <c r="H547" s="85"/>
      <c r="I547" s="85"/>
      <c r="J547" s="25"/>
      <c r="K547" s="3"/>
      <c r="L547" s="85"/>
      <c r="M547" s="85"/>
      <c r="N547" s="85"/>
      <c r="O547" s="85"/>
      <c r="P547" s="85"/>
      <c r="Q547" s="85"/>
      <c r="R547" s="85"/>
      <c r="S547" s="1"/>
      <c r="U547" s="1"/>
      <c r="V547" s="1"/>
      <c r="W547" s="1"/>
      <c r="X547" s="1"/>
      <c r="Y547" s="1"/>
      <c r="Z547" s="1"/>
      <c r="AA547" s="1"/>
      <c r="AB547" s="1"/>
      <c r="AD547" s="3"/>
      <c r="AM547" s="86"/>
      <c r="AN547" s="87"/>
      <c r="AO547" s="87"/>
      <c r="AP547" s="87"/>
      <c r="AQ547" s="87"/>
      <c r="AR547" s="87"/>
      <c r="AS547" s="85"/>
      <c r="AT547" s="21"/>
      <c r="AV547" s="3"/>
    </row>
    <row r="548" spans="3:48" x14ac:dyDescent="0.3">
      <c r="C548" s="85"/>
      <c r="D548" s="85"/>
      <c r="E548" s="85"/>
      <c r="F548" s="85"/>
      <c r="G548" s="85"/>
      <c r="H548" s="85"/>
      <c r="I548" s="85"/>
      <c r="J548" s="25"/>
      <c r="K548" s="3"/>
      <c r="L548" s="85"/>
      <c r="M548" s="85"/>
      <c r="N548" s="85"/>
      <c r="O548" s="85"/>
      <c r="P548" s="85"/>
      <c r="Q548" s="85"/>
      <c r="R548" s="85"/>
      <c r="S548" s="1"/>
      <c r="U548" s="1"/>
      <c r="V548" s="1"/>
      <c r="W548" s="1"/>
      <c r="X548" s="1"/>
      <c r="Y548" s="1"/>
      <c r="Z548" s="1"/>
      <c r="AA548" s="1"/>
      <c r="AB548" s="1"/>
      <c r="AD548" s="3"/>
      <c r="AM548" s="86"/>
      <c r="AN548" s="87"/>
      <c r="AO548" s="87"/>
      <c r="AP548" s="87"/>
      <c r="AQ548" s="87"/>
      <c r="AR548" s="87"/>
      <c r="AS548" s="85"/>
      <c r="AT548" s="21"/>
      <c r="AV548" s="3"/>
    </row>
    <row r="549" spans="3:48" x14ac:dyDescent="0.3">
      <c r="C549" s="85"/>
      <c r="D549" s="85"/>
      <c r="E549" s="85"/>
      <c r="F549" s="85"/>
      <c r="G549" s="85"/>
      <c r="H549" s="85"/>
      <c r="I549" s="85"/>
      <c r="J549" s="25"/>
      <c r="K549" s="3"/>
      <c r="L549" s="85"/>
      <c r="M549" s="85"/>
      <c r="N549" s="85"/>
      <c r="O549" s="85"/>
      <c r="P549" s="85"/>
      <c r="Q549" s="85"/>
      <c r="R549" s="85"/>
      <c r="S549" s="1"/>
      <c r="U549" s="1"/>
      <c r="V549" s="1"/>
      <c r="W549" s="1"/>
      <c r="X549" s="1"/>
      <c r="Y549" s="1"/>
      <c r="Z549" s="1"/>
      <c r="AA549" s="1"/>
      <c r="AB549" s="1"/>
      <c r="AD549" s="3"/>
      <c r="AM549" s="86"/>
      <c r="AN549" s="87"/>
      <c r="AO549" s="87"/>
      <c r="AP549" s="87"/>
      <c r="AQ549" s="87"/>
      <c r="AR549" s="87"/>
      <c r="AS549" s="85"/>
      <c r="AT549" s="21"/>
      <c r="AV549" s="3"/>
    </row>
    <row r="550" spans="3:48" x14ac:dyDescent="0.3">
      <c r="C550" s="85"/>
      <c r="D550" s="85"/>
      <c r="E550" s="85"/>
      <c r="F550" s="85"/>
      <c r="G550" s="85"/>
      <c r="H550" s="85"/>
      <c r="I550" s="85"/>
      <c r="J550" s="25"/>
      <c r="K550" s="3"/>
      <c r="L550" s="85"/>
      <c r="M550" s="85"/>
      <c r="N550" s="85"/>
      <c r="O550" s="85"/>
      <c r="P550" s="85"/>
      <c r="Q550" s="85"/>
      <c r="R550" s="85"/>
      <c r="S550" s="1"/>
      <c r="U550" s="1"/>
      <c r="V550" s="1"/>
      <c r="W550" s="1"/>
      <c r="X550" s="1"/>
      <c r="Y550" s="1"/>
      <c r="Z550" s="1"/>
      <c r="AA550" s="1"/>
      <c r="AB550" s="1"/>
      <c r="AD550" s="3"/>
      <c r="AM550" s="86"/>
      <c r="AN550" s="87"/>
      <c r="AO550" s="87"/>
      <c r="AP550" s="87"/>
      <c r="AQ550" s="87"/>
      <c r="AR550" s="87"/>
      <c r="AS550" s="85"/>
      <c r="AT550" s="21"/>
      <c r="AV550" s="3"/>
    </row>
    <row r="551" spans="3:48" x14ac:dyDescent="0.3">
      <c r="C551" s="85"/>
      <c r="D551" s="85"/>
      <c r="E551" s="85"/>
      <c r="F551" s="85"/>
      <c r="G551" s="85"/>
      <c r="H551" s="85"/>
      <c r="I551" s="85"/>
      <c r="J551" s="25"/>
      <c r="K551" s="3"/>
      <c r="L551" s="85"/>
      <c r="M551" s="85"/>
      <c r="N551" s="85"/>
      <c r="O551" s="85"/>
      <c r="P551" s="85"/>
      <c r="Q551" s="85"/>
      <c r="R551" s="85"/>
      <c r="S551" s="1"/>
      <c r="U551" s="1"/>
      <c r="V551" s="1"/>
      <c r="W551" s="1"/>
      <c r="X551" s="1"/>
      <c r="Y551" s="1"/>
      <c r="Z551" s="1"/>
      <c r="AA551" s="1"/>
      <c r="AB551" s="1"/>
      <c r="AD551" s="3"/>
      <c r="AM551" s="86"/>
      <c r="AN551" s="87"/>
      <c r="AO551" s="87"/>
      <c r="AP551" s="87"/>
      <c r="AQ551" s="87"/>
      <c r="AR551" s="87"/>
      <c r="AS551" s="85"/>
      <c r="AT551" s="21"/>
      <c r="AV551" s="3"/>
    </row>
    <row r="552" spans="3:48" x14ac:dyDescent="0.3">
      <c r="C552" s="85"/>
      <c r="D552" s="85"/>
      <c r="E552" s="85"/>
      <c r="F552" s="85"/>
      <c r="G552" s="85"/>
      <c r="H552" s="85"/>
      <c r="I552" s="85"/>
      <c r="J552" s="25"/>
      <c r="K552" s="3"/>
      <c r="L552" s="85"/>
      <c r="M552" s="85"/>
      <c r="N552" s="85"/>
      <c r="O552" s="85"/>
      <c r="P552" s="85"/>
      <c r="Q552" s="85"/>
      <c r="R552" s="85"/>
      <c r="S552" s="1"/>
      <c r="U552" s="1"/>
      <c r="V552" s="1"/>
      <c r="W552" s="1"/>
      <c r="X552" s="1"/>
      <c r="Y552" s="1"/>
      <c r="Z552" s="1"/>
      <c r="AA552" s="1"/>
      <c r="AB552" s="1"/>
      <c r="AD552" s="3"/>
      <c r="AM552" s="86"/>
      <c r="AN552" s="87"/>
      <c r="AO552" s="87"/>
      <c r="AP552" s="87"/>
      <c r="AQ552" s="87"/>
      <c r="AR552" s="87"/>
      <c r="AS552" s="85"/>
      <c r="AT552" s="21"/>
      <c r="AV552" s="3"/>
    </row>
    <row r="553" spans="3:48" x14ac:dyDescent="0.3">
      <c r="C553" s="85"/>
      <c r="D553" s="85"/>
      <c r="E553" s="85"/>
      <c r="F553" s="85"/>
      <c r="G553" s="85"/>
      <c r="H553" s="85"/>
      <c r="I553" s="85"/>
      <c r="J553" s="25"/>
      <c r="K553" s="3"/>
      <c r="L553" s="85"/>
      <c r="M553" s="85"/>
      <c r="N553" s="85"/>
      <c r="O553" s="85"/>
      <c r="P553" s="85"/>
      <c r="Q553" s="85"/>
      <c r="R553" s="85"/>
      <c r="S553" s="1"/>
      <c r="U553" s="1"/>
      <c r="V553" s="1"/>
      <c r="W553" s="1"/>
      <c r="X553" s="1"/>
      <c r="Y553" s="1"/>
      <c r="Z553" s="1"/>
      <c r="AA553" s="1"/>
      <c r="AB553" s="1"/>
      <c r="AD553" s="3"/>
      <c r="AM553" s="86"/>
      <c r="AN553" s="87"/>
      <c r="AO553" s="87"/>
      <c r="AP553" s="87"/>
      <c r="AQ553" s="87"/>
      <c r="AR553" s="87"/>
      <c r="AS553" s="85"/>
      <c r="AT553" s="21"/>
      <c r="AV553" s="3"/>
    </row>
    <row r="554" spans="3:48" x14ac:dyDescent="0.3">
      <c r="C554" s="85"/>
      <c r="D554" s="85"/>
      <c r="E554" s="85"/>
      <c r="F554" s="85"/>
      <c r="G554" s="85"/>
      <c r="H554" s="85"/>
      <c r="I554" s="85"/>
      <c r="J554" s="25"/>
      <c r="K554" s="3"/>
      <c r="L554" s="85"/>
      <c r="M554" s="85"/>
      <c r="N554" s="85"/>
      <c r="O554" s="85"/>
      <c r="P554" s="85"/>
      <c r="Q554" s="85"/>
      <c r="R554" s="85"/>
      <c r="S554" s="1"/>
      <c r="U554" s="1"/>
      <c r="V554" s="1"/>
      <c r="W554" s="1"/>
      <c r="X554" s="1"/>
      <c r="Y554" s="1"/>
      <c r="Z554" s="1"/>
      <c r="AA554" s="1"/>
      <c r="AB554" s="1"/>
      <c r="AD554" s="3"/>
      <c r="AM554" s="86"/>
      <c r="AN554" s="87"/>
      <c r="AO554" s="87"/>
      <c r="AP554" s="87"/>
      <c r="AQ554" s="87"/>
      <c r="AR554" s="87"/>
      <c r="AS554" s="85"/>
      <c r="AT554" s="21"/>
      <c r="AV554" s="3"/>
    </row>
    <row r="555" spans="3:48" x14ac:dyDescent="0.3">
      <c r="C555" s="85"/>
      <c r="D555" s="85"/>
      <c r="E555" s="85"/>
      <c r="F555" s="85"/>
      <c r="G555" s="85"/>
      <c r="H555" s="85"/>
      <c r="I555" s="85"/>
      <c r="J555" s="25"/>
      <c r="K555" s="3"/>
      <c r="L555" s="85"/>
      <c r="M555" s="85"/>
      <c r="N555" s="85"/>
      <c r="O555" s="85"/>
      <c r="P555" s="85"/>
      <c r="Q555" s="85"/>
      <c r="R555" s="85"/>
      <c r="S555" s="1"/>
      <c r="U555" s="1"/>
      <c r="V555" s="1"/>
      <c r="W555" s="1"/>
      <c r="X555" s="1"/>
      <c r="Y555" s="1"/>
      <c r="Z555" s="1"/>
      <c r="AA555" s="1"/>
      <c r="AB555" s="1"/>
      <c r="AD555" s="3"/>
      <c r="AM555" s="86"/>
      <c r="AN555" s="87"/>
      <c r="AO555" s="87"/>
      <c r="AP555" s="87"/>
      <c r="AQ555" s="87"/>
      <c r="AR555" s="87"/>
      <c r="AS555" s="85"/>
      <c r="AT555" s="21"/>
      <c r="AV555" s="3"/>
    </row>
    <row r="556" spans="3:48" x14ac:dyDescent="0.3">
      <c r="C556" s="85"/>
      <c r="D556" s="85"/>
      <c r="E556" s="85"/>
      <c r="F556" s="85"/>
      <c r="G556" s="85"/>
      <c r="H556" s="85"/>
      <c r="I556" s="85"/>
      <c r="J556" s="25"/>
      <c r="K556" s="3"/>
      <c r="L556" s="85"/>
      <c r="M556" s="85"/>
      <c r="N556" s="85"/>
      <c r="O556" s="85"/>
      <c r="P556" s="85"/>
      <c r="Q556" s="85"/>
      <c r="R556" s="85"/>
      <c r="S556" s="1"/>
      <c r="U556" s="1"/>
      <c r="V556" s="1"/>
      <c r="W556" s="1"/>
      <c r="X556" s="1"/>
      <c r="Y556" s="1"/>
      <c r="Z556" s="1"/>
      <c r="AA556" s="1"/>
      <c r="AB556" s="1"/>
      <c r="AD556" s="3"/>
      <c r="AM556" s="86"/>
      <c r="AN556" s="87"/>
      <c r="AO556" s="87"/>
      <c r="AP556" s="87"/>
      <c r="AQ556" s="87"/>
      <c r="AR556" s="87"/>
      <c r="AS556" s="85"/>
      <c r="AT556" s="21"/>
      <c r="AV556" s="3"/>
    </row>
    <row r="557" spans="3:48" x14ac:dyDescent="0.3">
      <c r="C557" s="85"/>
      <c r="D557" s="85"/>
      <c r="E557" s="85"/>
      <c r="F557" s="85"/>
      <c r="G557" s="85"/>
      <c r="H557" s="85"/>
      <c r="I557" s="85"/>
      <c r="J557" s="25"/>
      <c r="K557" s="3"/>
      <c r="L557" s="85"/>
      <c r="M557" s="85"/>
      <c r="N557" s="85"/>
      <c r="O557" s="85"/>
      <c r="P557" s="85"/>
      <c r="Q557" s="85"/>
      <c r="R557" s="85"/>
      <c r="S557" s="1"/>
      <c r="U557" s="1"/>
      <c r="V557" s="1"/>
      <c r="W557" s="1"/>
      <c r="X557" s="1"/>
      <c r="Y557" s="1"/>
      <c r="Z557" s="1"/>
      <c r="AA557" s="1"/>
      <c r="AB557" s="1"/>
      <c r="AD557" s="3"/>
      <c r="AM557" s="86"/>
      <c r="AN557" s="87"/>
      <c r="AO557" s="87"/>
      <c r="AP557" s="87"/>
      <c r="AQ557" s="87"/>
      <c r="AR557" s="87"/>
      <c r="AS557" s="85"/>
      <c r="AT557" s="21"/>
      <c r="AV557" s="3"/>
    </row>
    <row r="558" spans="3:48" x14ac:dyDescent="0.3">
      <c r="C558" s="85"/>
      <c r="D558" s="85"/>
      <c r="E558" s="85"/>
      <c r="F558" s="85"/>
      <c r="G558" s="85"/>
      <c r="H558" s="85"/>
      <c r="I558" s="85"/>
      <c r="J558" s="25"/>
      <c r="K558" s="3"/>
      <c r="L558" s="85"/>
      <c r="M558" s="85"/>
      <c r="N558" s="85"/>
      <c r="O558" s="85"/>
      <c r="P558" s="85"/>
      <c r="Q558" s="85"/>
      <c r="R558" s="85"/>
      <c r="S558" s="1"/>
      <c r="U558" s="1"/>
      <c r="V558" s="1"/>
      <c r="W558" s="1"/>
      <c r="X558" s="1"/>
      <c r="Y558" s="1"/>
      <c r="Z558" s="1"/>
      <c r="AA558" s="1"/>
      <c r="AB558" s="1"/>
      <c r="AD558" s="3"/>
      <c r="AM558" s="86"/>
      <c r="AN558" s="87"/>
      <c r="AO558" s="87"/>
      <c r="AP558" s="87"/>
      <c r="AQ558" s="87"/>
      <c r="AR558" s="87"/>
      <c r="AS558" s="85"/>
      <c r="AT558" s="21"/>
      <c r="AV558" s="3"/>
    </row>
    <row r="559" spans="3:48" x14ac:dyDescent="0.3">
      <c r="C559" s="85"/>
      <c r="D559" s="85"/>
      <c r="E559" s="85"/>
      <c r="F559" s="85"/>
      <c r="G559" s="85"/>
      <c r="H559" s="85"/>
      <c r="I559" s="85"/>
      <c r="J559" s="25"/>
      <c r="K559" s="3"/>
      <c r="L559" s="85"/>
      <c r="M559" s="85"/>
      <c r="N559" s="85"/>
      <c r="O559" s="85"/>
      <c r="P559" s="85"/>
      <c r="Q559" s="85"/>
      <c r="R559" s="85"/>
      <c r="S559" s="1"/>
      <c r="U559" s="1"/>
      <c r="V559" s="1"/>
      <c r="W559" s="1"/>
      <c r="X559" s="1"/>
      <c r="Y559" s="1"/>
      <c r="Z559" s="1"/>
      <c r="AA559" s="1"/>
      <c r="AB559" s="1"/>
      <c r="AD559" s="3"/>
      <c r="AM559" s="86"/>
      <c r="AN559" s="87"/>
      <c r="AO559" s="87"/>
      <c r="AP559" s="87"/>
      <c r="AQ559" s="87"/>
      <c r="AR559" s="87"/>
      <c r="AS559" s="85"/>
      <c r="AT559" s="21"/>
      <c r="AV559" s="3"/>
    </row>
    <row r="560" spans="3:48" x14ac:dyDescent="0.3">
      <c r="C560" s="85"/>
      <c r="D560" s="85"/>
      <c r="E560" s="85"/>
      <c r="F560" s="85"/>
      <c r="G560" s="85"/>
      <c r="H560" s="85"/>
      <c r="I560" s="85"/>
      <c r="J560" s="25"/>
      <c r="K560" s="3"/>
      <c r="L560" s="85"/>
      <c r="M560" s="85"/>
      <c r="N560" s="85"/>
      <c r="O560" s="85"/>
      <c r="P560" s="85"/>
      <c r="Q560" s="85"/>
      <c r="R560" s="85"/>
      <c r="S560" s="1"/>
      <c r="U560" s="1"/>
      <c r="V560" s="1"/>
      <c r="W560" s="1"/>
      <c r="X560" s="1"/>
      <c r="Y560" s="1"/>
      <c r="Z560" s="1"/>
      <c r="AA560" s="1"/>
      <c r="AB560" s="1"/>
      <c r="AD560" s="3"/>
      <c r="AM560" s="86"/>
      <c r="AN560" s="87"/>
      <c r="AO560" s="87"/>
      <c r="AP560" s="87"/>
      <c r="AQ560" s="87"/>
      <c r="AR560" s="87"/>
      <c r="AS560" s="85"/>
      <c r="AT560" s="21"/>
      <c r="AV560" s="3"/>
    </row>
    <row r="561" spans="3:48" x14ac:dyDescent="0.3">
      <c r="C561" s="85"/>
      <c r="D561" s="85"/>
      <c r="E561" s="85"/>
      <c r="F561" s="85"/>
      <c r="G561" s="85"/>
      <c r="H561" s="85"/>
      <c r="I561" s="85"/>
      <c r="J561" s="25"/>
      <c r="K561" s="3"/>
      <c r="L561" s="85"/>
      <c r="M561" s="85"/>
      <c r="N561" s="85"/>
      <c r="O561" s="85"/>
      <c r="P561" s="85"/>
      <c r="Q561" s="85"/>
      <c r="R561" s="85"/>
      <c r="S561" s="1"/>
      <c r="U561" s="1"/>
      <c r="V561" s="1"/>
      <c r="W561" s="1"/>
      <c r="X561" s="1"/>
      <c r="Y561" s="1"/>
      <c r="Z561" s="1"/>
      <c r="AA561" s="1"/>
      <c r="AB561" s="1"/>
      <c r="AD561" s="3"/>
      <c r="AM561" s="86"/>
      <c r="AN561" s="87"/>
      <c r="AO561" s="87"/>
      <c r="AP561" s="87"/>
      <c r="AQ561" s="87"/>
      <c r="AR561" s="87"/>
      <c r="AS561" s="85"/>
      <c r="AT561" s="21"/>
      <c r="AV561" s="3"/>
    </row>
    <row r="562" spans="3:48" x14ac:dyDescent="0.3">
      <c r="C562" s="85"/>
      <c r="D562" s="85"/>
      <c r="E562" s="85"/>
      <c r="F562" s="85"/>
      <c r="G562" s="85"/>
      <c r="H562" s="85"/>
      <c r="I562" s="85"/>
      <c r="J562" s="25"/>
      <c r="K562" s="3"/>
      <c r="L562" s="85"/>
      <c r="M562" s="85"/>
      <c r="N562" s="85"/>
      <c r="O562" s="85"/>
      <c r="P562" s="85"/>
      <c r="Q562" s="85"/>
      <c r="R562" s="85"/>
      <c r="S562" s="1"/>
      <c r="U562" s="1"/>
      <c r="V562" s="1"/>
      <c r="W562" s="1"/>
      <c r="X562" s="1"/>
      <c r="Y562" s="1"/>
      <c r="Z562" s="1"/>
      <c r="AA562" s="1"/>
      <c r="AB562" s="1"/>
      <c r="AD562" s="3"/>
      <c r="AM562" s="86"/>
      <c r="AN562" s="87"/>
      <c r="AO562" s="87"/>
      <c r="AP562" s="87"/>
      <c r="AQ562" s="87"/>
      <c r="AR562" s="87"/>
      <c r="AS562" s="85"/>
      <c r="AT562" s="21"/>
      <c r="AV562" s="3"/>
    </row>
    <row r="563" spans="3:48" x14ac:dyDescent="0.3">
      <c r="C563" s="85"/>
      <c r="D563" s="85"/>
      <c r="E563" s="85"/>
      <c r="F563" s="85"/>
      <c r="G563" s="85"/>
      <c r="H563" s="85"/>
      <c r="I563" s="85"/>
      <c r="J563" s="25"/>
      <c r="K563" s="3"/>
      <c r="L563" s="85"/>
      <c r="M563" s="85"/>
      <c r="N563" s="85"/>
      <c r="O563" s="85"/>
      <c r="P563" s="85"/>
      <c r="Q563" s="85"/>
      <c r="R563" s="85"/>
      <c r="S563" s="1"/>
      <c r="U563" s="1"/>
      <c r="V563" s="1"/>
      <c r="W563" s="1"/>
      <c r="X563" s="1"/>
      <c r="Y563" s="1"/>
      <c r="Z563" s="1"/>
      <c r="AA563" s="1"/>
      <c r="AB563" s="1"/>
      <c r="AD563" s="3"/>
      <c r="AM563" s="86"/>
      <c r="AN563" s="87"/>
      <c r="AO563" s="87"/>
      <c r="AP563" s="87"/>
      <c r="AQ563" s="87"/>
      <c r="AR563" s="87"/>
      <c r="AS563" s="85"/>
      <c r="AT563" s="21"/>
      <c r="AV563" s="3"/>
    </row>
    <row r="564" spans="3:48" x14ac:dyDescent="0.3">
      <c r="C564" s="85"/>
      <c r="D564" s="85"/>
      <c r="E564" s="85"/>
      <c r="F564" s="85"/>
      <c r="G564" s="85"/>
      <c r="H564" s="85"/>
      <c r="I564" s="85"/>
      <c r="J564" s="25"/>
      <c r="K564" s="3"/>
      <c r="L564" s="85"/>
      <c r="M564" s="85"/>
      <c r="N564" s="85"/>
      <c r="O564" s="85"/>
      <c r="P564" s="85"/>
      <c r="Q564" s="85"/>
      <c r="R564" s="85"/>
      <c r="S564" s="1"/>
      <c r="U564" s="1"/>
      <c r="V564" s="1"/>
      <c r="W564" s="1"/>
      <c r="X564" s="1"/>
      <c r="Y564" s="1"/>
      <c r="Z564" s="1"/>
      <c r="AA564" s="1"/>
      <c r="AB564" s="1"/>
      <c r="AD564" s="3"/>
      <c r="AM564" s="86"/>
      <c r="AN564" s="87"/>
      <c r="AO564" s="87"/>
      <c r="AP564" s="87"/>
      <c r="AQ564" s="87"/>
      <c r="AR564" s="87"/>
      <c r="AS564" s="85"/>
      <c r="AT564" s="21"/>
      <c r="AV564" s="3"/>
    </row>
    <row r="565" spans="3:48" x14ac:dyDescent="0.3">
      <c r="C565" s="85"/>
      <c r="D565" s="85"/>
      <c r="E565" s="85"/>
      <c r="F565" s="85"/>
      <c r="G565" s="85"/>
      <c r="H565" s="85"/>
      <c r="I565" s="85"/>
      <c r="J565" s="25"/>
      <c r="K565" s="3"/>
      <c r="L565" s="85"/>
      <c r="M565" s="85"/>
      <c r="N565" s="85"/>
      <c r="O565" s="85"/>
      <c r="P565" s="85"/>
      <c r="Q565" s="85"/>
      <c r="R565" s="85"/>
      <c r="S565" s="1"/>
      <c r="U565" s="1"/>
      <c r="V565" s="1"/>
      <c r="W565" s="1"/>
      <c r="X565" s="1"/>
      <c r="Y565" s="1"/>
      <c r="Z565" s="1"/>
      <c r="AA565" s="1"/>
      <c r="AB565" s="1"/>
      <c r="AD565" s="3"/>
      <c r="AM565" s="86"/>
      <c r="AN565" s="87"/>
      <c r="AO565" s="87"/>
      <c r="AP565" s="87"/>
      <c r="AQ565" s="87"/>
      <c r="AR565" s="87"/>
      <c r="AS565" s="85"/>
      <c r="AT565" s="21"/>
      <c r="AV565" s="3"/>
    </row>
    <row r="566" spans="3:48" x14ac:dyDescent="0.3">
      <c r="C566" s="85"/>
      <c r="D566" s="85"/>
      <c r="E566" s="85"/>
      <c r="F566" s="85"/>
      <c r="G566" s="85"/>
      <c r="H566" s="85"/>
      <c r="I566" s="85"/>
      <c r="J566" s="25"/>
      <c r="K566" s="3"/>
      <c r="L566" s="85"/>
      <c r="M566" s="85"/>
      <c r="N566" s="85"/>
      <c r="O566" s="85"/>
      <c r="P566" s="85"/>
      <c r="Q566" s="85"/>
      <c r="R566" s="85"/>
      <c r="S566" s="1"/>
      <c r="U566" s="1"/>
      <c r="V566" s="1"/>
      <c r="W566" s="1"/>
      <c r="X566" s="1"/>
      <c r="Y566" s="1"/>
      <c r="Z566" s="1"/>
      <c r="AA566" s="1"/>
      <c r="AB566" s="1"/>
      <c r="AD566" s="3"/>
      <c r="AM566" s="86"/>
      <c r="AN566" s="87"/>
      <c r="AO566" s="87"/>
      <c r="AP566" s="87"/>
      <c r="AQ566" s="87"/>
      <c r="AR566" s="87"/>
      <c r="AS566" s="85"/>
      <c r="AT566" s="21"/>
      <c r="AV566" s="3"/>
    </row>
    <row r="567" spans="3:48" x14ac:dyDescent="0.3">
      <c r="C567" s="85"/>
      <c r="D567" s="85"/>
      <c r="E567" s="85"/>
      <c r="F567" s="85"/>
      <c r="G567" s="85"/>
      <c r="H567" s="85"/>
      <c r="I567" s="85"/>
      <c r="J567" s="25"/>
      <c r="K567" s="3"/>
      <c r="L567" s="85"/>
      <c r="M567" s="85"/>
      <c r="N567" s="85"/>
      <c r="O567" s="85"/>
      <c r="P567" s="85"/>
      <c r="Q567" s="85"/>
      <c r="R567" s="85"/>
      <c r="S567" s="1"/>
      <c r="U567" s="1"/>
      <c r="V567" s="1"/>
      <c r="W567" s="1"/>
      <c r="X567" s="1"/>
      <c r="Y567" s="1"/>
      <c r="Z567" s="1"/>
      <c r="AA567" s="1"/>
      <c r="AB567" s="1"/>
      <c r="AD567" s="3"/>
      <c r="AM567" s="86"/>
      <c r="AN567" s="87"/>
      <c r="AO567" s="87"/>
      <c r="AP567" s="87"/>
      <c r="AQ567" s="87"/>
      <c r="AR567" s="87"/>
      <c r="AS567" s="85"/>
      <c r="AT567" s="21"/>
      <c r="AV567" s="3"/>
    </row>
    <row r="568" spans="3:48" x14ac:dyDescent="0.3">
      <c r="C568" s="85"/>
      <c r="D568" s="85"/>
      <c r="E568" s="85"/>
      <c r="F568" s="85"/>
      <c r="G568" s="85"/>
      <c r="H568" s="85"/>
      <c r="I568" s="85"/>
      <c r="J568" s="25"/>
      <c r="K568" s="3"/>
      <c r="L568" s="85"/>
      <c r="M568" s="85"/>
      <c r="N568" s="85"/>
      <c r="O568" s="85"/>
      <c r="P568" s="85"/>
      <c r="Q568" s="85"/>
      <c r="R568" s="85"/>
      <c r="S568" s="1"/>
      <c r="U568" s="1"/>
      <c r="V568" s="1"/>
      <c r="W568" s="1"/>
      <c r="X568" s="1"/>
      <c r="Y568" s="1"/>
      <c r="Z568" s="1"/>
      <c r="AA568" s="1"/>
      <c r="AB568" s="1"/>
      <c r="AD568" s="3"/>
      <c r="AM568" s="86"/>
      <c r="AN568" s="87"/>
      <c r="AO568" s="87"/>
      <c r="AP568" s="87"/>
      <c r="AQ568" s="87"/>
      <c r="AR568" s="87"/>
      <c r="AS568" s="85"/>
      <c r="AT568" s="21"/>
      <c r="AV568" s="3"/>
    </row>
    <row r="569" spans="3:48" x14ac:dyDescent="0.3">
      <c r="C569" s="85"/>
      <c r="D569" s="85"/>
      <c r="E569" s="85"/>
      <c r="F569" s="85"/>
      <c r="G569" s="85"/>
      <c r="H569" s="85"/>
      <c r="I569" s="85"/>
      <c r="J569" s="25"/>
      <c r="K569" s="3"/>
      <c r="L569" s="85"/>
      <c r="M569" s="85"/>
      <c r="N569" s="85"/>
      <c r="O569" s="85"/>
      <c r="P569" s="85"/>
      <c r="Q569" s="85"/>
      <c r="R569" s="85"/>
      <c r="S569" s="1"/>
      <c r="U569" s="1"/>
      <c r="V569" s="1"/>
      <c r="W569" s="1"/>
      <c r="X569" s="1"/>
      <c r="Y569" s="1"/>
      <c r="Z569" s="1"/>
      <c r="AA569" s="1"/>
      <c r="AB569" s="1"/>
      <c r="AD569" s="3"/>
      <c r="AM569" s="86"/>
      <c r="AN569" s="87"/>
      <c r="AO569" s="87"/>
      <c r="AP569" s="87"/>
      <c r="AQ569" s="87"/>
      <c r="AR569" s="87"/>
      <c r="AS569" s="85"/>
      <c r="AT569" s="21"/>
      <c r="AV569" s="3"/>
    </row>
    <row r="570" spans="3:48" x14ac:dyDescent="0.3">
      <c r="C570" s="85"/>
      <c r="D570" s="85"/>
      <c r="E570" s="85"/>
      <c r="F570" s="85"/>
      <c r="G570" s="85"/>
      <c r="H570" s="85"/>
      <c r="I570" s="85"/>
      <c r="J570" s="25"/>
      <c r="K570" s="3"/>
      <c r="L570" s="85"/>
      <c r="M570" s="85"/>
      <c r="N570" s="85"/>
      <c r="O570" s="85"/>
      <c r="P570" s="85"/>
      <c r="Q570" s="85"/>
      <c r="R570" s="85"/>
      <c r="S570" s="1"/>
      <c r="U570" s="1"/>
      <c r="V570" s="1"/>
      <c r="W570" s="1"/>
      <c r="X570" s="1"/>
      <c r="Y570" s="1"/>
      <c r="Z570" s="1"/>
      <c r="AA570" s="1"/>
      <c r="AB570" s="1"/>
      <c r="AD570" s="3"/>
      <c r="AM570" s="86"/>
      <c r="AN570" s="87"/>
      <c r="AO570" s="87"/>
      <c r="AP570" s="87"/>
      <c r="AQ570" s="87"/>
      <c r="AR570" s="87"/>
      <c r="AS570" s="85"/>
      <c r="AT570" s="21"/>
      <c r="AV570" s="3"/>
    </row>
    <row r="571" spans="3:48" x14ac:dyDescent="0.3">
      <c r="C571" s="85"/>
      <c r="D571" s="85"/>
      <c r="E571" s="85"/>
      <c r="F571" s="85"/>
      <c r="G571" s="85"/>
      <c r="H571" s="85"/>
      <c r="I571" s="85"/>
      <c r="J571" s="25"/>
      <c r="K571" s="3"/>
      <c r="L571" s="85"/>
      <c r="M571" s="85"/>
      <c r="N571" s="85"/>
      <c r="O571" s="85"/>
      <c r="P571" s="85"/>
      <c r="Q571" s="85"/>
      <c r="R571" s="85"/>
      <c r="S571" s="1"/>
      <c r="U571" s="1"/>
      <c r="V571" s="1"/>
      <c r="W571" s="1"/>
      <c r="X571" s="1"/>
      <c r="Y571" s="1"/>
      <c r="Z571" s="1"/>
      <c r="AA571" s="1"/>
      <c r="AB571" s="1"/>
      <c r="AD571" s="3"/>
      <c r="AM571" s="86"/>
      <c r="AN571" s="87"/>
      <c r="AO571" s="87"/>
      <c r="AP571" s="87"/>
      <c r="AQ571" s="87"/>
      <c r="AR571" s="87"/>
      <c r="AS571" s="85"/>
      <c r="AT571" s="21"/>
      <c r="AV571" s="3"/>
    </row>
    <row r="572" spans="3:48" x14ac:dyDescent="0.3">
      <c r="C572" s="85"/>
      <c r="D572" s="85"/>
      <c r="E572" s="85"/>
      <c r="F572" s="85"/>
      <c r="G572" s="85"/>
      <c r="H572" s="85"/>
      <c r="I572" s="85"/>
      <c r="J572" s="25"/>
      <c r="K572" s="3"/>
      <c r="L572" s="85"/>
      <c r="M572" s="85"/>
      <c r="N572" s="85"/>
      <c r="O572" s="85"/>
      <c r="P572" s="85"/>
      <c r="Q572" s="85"/>
      <c r="R572" s="85"/>
      <c r="S572" s="1"/>
      <c r="U572" s="1"/>
      <c r="V572" s="1"/>
      <c r="W572" s="1"/>
      <c r="X572" s="1"/>
      <c r="Y572" s="1"/>
      <c r="Z572" s="1"/>
      <c r="AA572" s="1"/>
      <c r="AB572" s="1"/>
      <c r="AD572" s="3"/>
      <c r="AM572" s="86"/>
      <c r="AN572" s="87"/>
      <c r="AO572" s="87"/>
      <c r="AP572" s="87"/>
      <c r="AQ572" s="87"/>
      <c r="AR572" s="87"/>
      <c r="AS572" s="85"/>
      <c r="AT572" s="21"/>
      <c r="AV572" s="3"/>
    </row>
    <row r="573" spans="3:48" x14ac:dyDescent="0.3">
      <c r="C573" s="85"/>
      <c r="D573" s="85"/>
      <c r="E573" s="85"/>
      <c r="F573" s="85"/>
      <c r="G573" s="85"/>
      <c r="H573" s="85"/>
      <c r="I573" s="85"/>
      <c r="J573" s="25"/>
      <c r="K573" s="3"/>
      <c r="L573" s="85"/>
      <c r="M573" s="85"/>
      <c r="N573" s="85"/>
      <c r="O573" s="85"/>
      <c r="P573" s="85"/>
      <c r="Q573" s="85"/>
      <c r="R573" s="85"/>
      <c r="S573" s="1"/>
      <c r="U573" s="1"/>
      <c r="V573" s="1"/>
      <c r="W573" s="1"/>
      <c r="X573" s="1"/>
      <c r="Y573" s="1"/>
      <c r="Z573" s="1"/>
      <c r="AA573" s="1"/>
      <c r="AB573" s="1"/>
      <c r="AD573" s="3"/>
      <c r="AM573" s="86"/>
      <c r="AN573" s="87"/>
      <c r="AO573" s="87"/>
      <c r="AP573" s="87"/>
      <c r="AQ573" s="87"/>
      <c r="AR573" s="87"/>
      <c r="AS573" s="85"/>
      <c r="AT573" s="21"/>
      <c r="AV573" s="3"/>
    </row>
    <row r="574" spans="3:48" x14ac:dyDescent="0.3">
      <c r="C574" s="85"/>
      <c r="D574" s="85"/>
      <c r="E574" s="85"/>
      <c r="F574" s="85"/>
      <c r="G574" s="85"/>
      <c r="H574" s="85"/>
      <c r="I574" s="85"/>
      <c r="J574" s="25"/>
      <c r="K574" s="3"/>
      <c r="L574" s="85"/>
      <c r="M574" s="85"/>
      <c r="N574" s="85"/>
      <c r="O574" s="85"/>
      <c r="P574" s="85"/>
      <c r="Q574" s="85"/>
      <c r="R574" s="85"/>
      <c r="S574" s="1"/>
      <c r="U574" s="1"/>
      <c r="V574" s="1"/>
      <c r="W574" s="1"/>
      <c r="X574" s="1"/>
      <c r="Y574" s="1"/>
      <c r="Z574" s="1"/>
      <c r="AA574" s="1"/>
      <c r="AB574" s="1"/>
      <c r="AD574" s="3"/>
      <c r="AM574" s="86"/>
      <c r="AN574" s="87"/>
      <c r="AO574" s="87"/>
      <c r="AP574" s="87"/>
      <c r="AQ574" s="87"/>
      <c r="AR574" s="87"/>
      <c r="AS574" s="85"/>
      <c r="AT574" s="21"/>
      <c r="AV574" s="3"/>
    </row>
    <row r="575" spans="3:48" x14ac:dyDescent="0.3">
      <c r="C575" s="85"/>
      <c r="D575" s="85"/>
      <c r="E575" s="85"/>
      <c r="F575" s="85"/>
      <c r="G575" s="85"/>
      <c r="H575" s="85"/>
      <c r="I575" s="85"/>
      <c r="J575" s="25"/>
      <c r="K575" s="3"/>
      <c r="L575" s="85"/>
      <c r="M575" s="85"/>
      <c r="N575" s="85"/>
      <c r="O575" s="85"/>
      <c r="P575" s="85"/>
      <c r="Q575" s="85"/>
      <c r="R575" s="85"/>
      <c r="S575" s="1"/>
      <c r="U575" s="1"/>
      <c r="V575" s="1"/>
      <c r="W575" s="1"/>
      <c r="X575" s="1"/>
      <c r="Y575" s="1"/>
      <c r="Z575" s="1"/>
      <c r="AA575" s="1"/>
      <c r="AB575" s="1"/>
      <c r="AD575" s="3"/>
      <c r="AM575" s="86"/>
      <c r="AN575" s="87"/>
      <c r="AO575" s="87"/>
      <c r="AP575" s="87"/>
      <c r="AQ575" s="87"/>
      <c r="AR575" s="87"/>
      <c r="AS575" s="85"/>
      <c r="AT575" s="21"/>
      <c r="AV575" s="3"/>
    </row>
    <row r="576" spans="3:48" x14ac:dyDescent="0.3">
      <c r="C576" s="85"/>
      <c r="D576" s="85"/>
      <c r="E576" s="85"/>
      <c r="F576" s="85"/>
      <c r="G576" s="85"/>
      <c r="H576" s="85"/>
      <c r="I576" s="85"/>
      <c r="J576" s="25"/>
      <c r="K576" s="3"/>
      <c r="L576" s="85"/>
      <c r="M576" s="85"/>
      <c r="N576" s="85"/>
      <c r="O576" s="85"/>
      <c r="P576" s="85"/>
      <c r="Q576" s="85"/>
      <c r="R576" s="85"/>
      <c r="S576" s="1"/>
      <c r="U576" s="1"/>
      <c r="V576" s="1"/>
      <c r="W576" s="1"/>
      <c r="X576" s="1"/>
      <c r="Y576" s="1"/>
      <c r="Z576" s="1"/>
      <c r="AA576" s="1"/>
      <c r="AB576" s="1"/>
      <c r="AD576" s="3"/>
      <c r="AM576" s="86"/>
      <c r="AN576" s="87"/>
      <c r="AO576" s="87"/>
      <c r="AP576" s="87"/>
      <c r="AQ576" s="87"/>
      <c r="AR576" s="87"/>
      <c r="AS576" s="85"/>
      <c r="AT576" s="21"/>
      <c r="AV576" s="3"/>
    </row>
    <row r="577" spans="3:48" x14ac:dyDescent="0.3">
      <c r="C577" s="85"/>
      <c r="D577" s="85"/>
      <c r="E577" s="85"/>
      <c r="F577" s="85"/>
      <c r="G577" s="85"/>
      <c r="H577" s="85"/>
      <c r="I577" s="85"/>
      <c r="J577" s="25"/>
      <c r="K577" s="3"/>
      <c r="L577" s="85"/>
      <c r="M577" s="85"/>
      <c r="N577" s="85"/>
      <c r="O577" s="85"/>
      <c r="P577" s="85"/>
      <c r="Q577" s="85"/>
      <c r="R577" s="85"/>
      <c r="S577" s="1"/>
      <c r="U577" s="1"/>
      <c r="V577" s="1"/>
      <c r="W577" s="1"/>
      <c r="X577" s="1"/>
      <c r="Y577" s="1"/>
      <c r="Z577" s="1"/>
      <c r="AA577" s="1"/>
      <c r="AB577" s="1"/>
      <c r="AD577" s="3"/>
      <c r="AM577" s="86"/>
      <c r="AN577" s="87"/>
      <c r="AO577" s="87"/>
      <c r="AP577" s="87"/>
      <c r="AQ577" s="87"/>
      <c r="AR577" s="87"/>
      <c r="AS577" s="85"/>
      <c r="AT577" s="21"/>
      <c r="AV577" s="3"/>
    </row>
    <row r="578" spans="3:48" x14ac:dyDescent="0.3">
      <c r="C578" s="85"/>
      <c r="D578" s="85"/>
      <c r="E578" s="85"/>
      <c r="F578" s="85"/>
      <c r="G578" s="85"/>
      <c r="H578" s="85"/>
      <c r="I578" s="85"/>
      <c r="J578" s="25"/>
      <c r="K578" s="3"/>
      <c r="L578" s="85"/>
      <c r="M578" s="85"/>
      <c r="N578" s="85"/>
      <c r="O578" s="85"/>
      <c r="P578" s="85"/>
      <c r="Q578" s="85"/>
      <c r="R578" s="85"/>
      <c r="S578" s="1"/>
      <c r="U578" s="1"/>
      <c r="V578" s="1"/>
      <c r="W578" s="1"/>
      <c r="X578" s="1"/>
      <c r="Y578" s="1"/>
      <c r="Z578" s="1"/>
      <c r="AA578" s="1"/>
      <c r="AB578" s="1"/>
      <c r="AD578" s="3"/>
      <c r="AM578" s="86"/>
      <c r="AN578" s="87"/>
      <c r="AO578" s="87"/>
      <c r="AP578" s="87"/>
      <c r="AQ578" s="87"/>
      <c r="AR578" s="87"/>
      <c r="AS578" s="85"/>
      <c r="AT578" s="21"/>
      <c r="AV578" s="3"/>
    </row>
    <row r="579" spans="3:48" x14ac:dyDescent="0.3">
      <c r="C579" s="85"/>
      <c r="D579" s="85"/>
      <c r="E579" s="85"/>
      <c r="F579" s="85"/>
      <c r="G579" s="85"/>
      <c r="H579" s="85"/>
      <c r="I579" s="85"/>
      <c r="J579" s="25"/>
      <c r="K579" s="3"/>
      <c r="L579" s="85"/>
      <c r="M579" s="85"/>
      <c r="N579" s="85"/>
      <c r="O579" s="85"/>
      <c r="P579" s="85"/>
      <c r="Q579" s="85"/>
      <c r="R579" s="85"/>
      <c r="S579" s="1"/>
      <c r="U579" s="1"/>
      <c r="V579" s="1"/>
      <c r="W579" s="1"/>
      <c r="X579" s="1"/>
      <c r="Y579" s="1"/>
      <c r="Z579" s="1"/>
      <c r="AA579" s="1"/>
      <c r="AB579" s="1"/>
      <c r="AD579" s="3"/>
      <c r="AM579" s="86"/>
      <c r="AN579" s="87"/>
      <c r="AO579" s="87"/>
      <c r="AP579" s="87"/>
      <c r="AQ579" s="87"/>
      <c r="AR579" s="87"/>
      <c r="AS579" s="85"/>
      <c r="AT579" s="21"/>
      <c r="AV579" s="3"/>
    </row>
    <row r="580" spans="3:48" x14ac:dyDescent="0.3">
      <c r="C580" s="85"/>
      <c r="D580" s="85"/>
      <c r="E580" s="85"/>
      <c r="F580" s="85"/>
      <c r="G580" s="85"/>
      <c r="H580" s="85"/>
      <c r="I580" s="85"/>
      <c r="J580" s="25"/>
      <c r="K580" s="3"/>
      <c r="L580" s="85"/>
      <c r="M580" s="85"/>
      <c r="N580" s="85"/>
      <c r="O580" s="85"/>
      <c r="P580" s="85"/>
      <c r="Q580" s="85"/>
      <c r="R580" s="85"/>
      <c r="S580" s="1"/>
      <c r="U580" s="1"/>
      <c r="V580" s="1"/>
      <c r="W580" s="1"/>
      <c r="X580" s="1"/>
      <c r="Y580" s="1"/>
      <c r="Z580" s="1"/>
      <c r="AA580" s="1"/>
      <c r="AB580" s="1"/>
      <c r="AD580" s="3"/>
      <c r="AM580" s="86"/>
      <c r="AN580" s="87"/>
      <c r="AO580" s="87"/>
      <c r="AP580" s="87"/>
      <c r="AQ580" s="87"/>
      <c r="AR580" s="87"/>
      <c r="AS580" s="85"/>
      <c r="AT580" s="21"/>
      <c r="AV580" s="3"/>
    </row>
    <row r="581" spans="3:48" x14ac:dyDescent="0.3">
      <c r="C581" s="85"/>
      <c r="D581" s="85"/>
      <c r="E581" s="85"/>
      <c r="F581" s="85"/>
      <c r="G581" s="85"/>
      <c r="H581" s="85"/>
      <c r="I581" s="85"/>
      <c r="J581" s="25"/>
      <c r="K581" s="3"/>
      <c r="L581" s="85"/>
      <c r="M581" s="85"/>
      <c r="N581" s="85"/>
      <c r="O581" s="85"/>
      <c r="P581" s="85"/>
      <c r="Q581" s="85"/>
      <c r="R581" s="85"/>
      <c r="S581" s="1"/>
      <c r="U581" s="1"/>
      <c r="V581" s="1"/>
      <c r="W581" s="1"/>
      <c r="X581" s="1"/>
      <c r="Y581" s="1"/>
      <c r="Z581" s="1"/>
      <c r="AA581" s="1"/>
      <c r="AB581" s="1"/>
      <c r="AD581" s="3"/>
      <c r="AM581" s="86"/>
      <c r="AN581" s="87"/>
      <c r="AO581" s="87"/>
      <c r="AP581" s="87"/>
      <c r="AQ581" s="87"/>
      <c r="AR581" s="87"/>
      <c r="AS581" s="85"/>
      <c r="AT581" s="21"/>
      <c r="AV581" s="3"/>
    </row>
    <row r="582" spans="3:48" x14ac:dyDescent="0.3">
      <c r="C582" s="85"/>
      <c r="D582" s="85"/>
      <c r="E582" s="85"/>
      <c r="F582" s="85"/>
      <c r="G582" s="85"/>
      <c r="H582" s="85"/>
      <c r="I582" s="85"/>
      <c r="J582" s="25"/>
      <c r="K582" s="3"/>
      <c r="L582" s="85"/>
      <c r="M582" s="85"/>
      <c r="N582" s="85"/>
      <c r="O582" s="85"/>
      <c r="P582" s="85"/>
      <c r="Q582" s="85"/>
      <c r="R582" s="85"/>
      <c r="S582" s="1"/>
      <c r="U582" s="1"/>
      <c r="V582" s="1"/>
      <c r="W582" s="1"/>
      <c r="X582" s="1"/>
      <c r="Y582" s="1"/>
      <c r="Z582" s="1"/>
      <c r="AA582" s="1"/>
      <c r="AB582" s="1"/>
      <c r="AD582" s="3"/>
      <c r="AM582" s="86"/>
      <c r="AN582" s="87"/>
      <c r="AO582" s="87"/>
      <c r="AP582" s="87"/>
      <c r="AQ582" s="87"/>
      <c r="AR582" s="87"/>
      <c r="AS582" s="85"/>
      <c r="AT582" s="21"/>
      <c r="AV582" s="3"/>
    </row>
    <row r="583" spans="3:48" x14ac:dyDescent="0.3">
      <c r="C583" s="85"/>
      <c r="D583" s="85"/>
      <c r="E583" s="85"/>
      <c r="F583" s="85"/>
      <c r="G583" s="85"/>
      <c r="H583" s="85"/>
      <c r="I583" s="85"/>
      <c r="J583" s="25"/>
      <c r="K583" s="3"/>
      <c r="L583" s="85"/>
      <c r="M583" s="85"/>
      <c r="N583" s="85"/>
      <c r="O583" s="85"/>
      <c r="P583" s="85"/>
      <c r="Q583" s="85"/>
      <c r="R583" s="85"/>
      <c r="S583" s="1"/>
      <c r="U583" s="1"/>
      <c r="V583" s="1"/>
      <c r="W583" s="1"/>
      <c r="X583" s="1"/>
      <c r="Y583" s="1"/>
      <c r="Z583" s="1"/>
      <c r="AA583" s="1"/>
      <c r="AB583" s="1"/>
      <c r="AD583" s="3"/>
      <c r="AM583" s="86"/>
      <c r="AN583" s="87"/>
      <c r="AO583" s="87"/>
      <c r="AP583" s="87"/>
      <c r="AQ583" s="87"/>
      <c r="AR583" s="87"/>
      <c r="AS583" s="85"/>
      <c r="AT583" s="21"/>
      <c r="AV583" s="3"/>
    </row>
    <row r="584" spans="3:48" x14ac:dyDescent="0.3">
      <c r="C584" s="85"/>
      <c r="D584" s="85"/>
      <c r="E584" s="85"/>
      <c r="F584" s="85"/>
      <c r="G584" s="85"/>
      <c r="H584" s="85"/>
      <c r="I584" s="85"/>
      <c r="J584" s="25"/>
      <c r="K584" s="3"/>
      <c r="L584" s="85"/>
      <c r="M584" s="85"/>
      <c r="N584" s="85"/>
      <c r="O584" s="85"/>
      <c r="P584" s="85"/>
      <c r="Q584" s="85"/>
      <c r="R584" s="85"/>
      <c r="S584" s="1"/>
      <c r="U584" s="1"/>
      <c r="V584" s="1"/>
      <c r="W584" s="1"/>
      <c r="X584" s="1"/>
      <c r="Y584" s="1"/>
      <c r="Z584" s="1"/>
      <c r="AA584" s="1"/>
      <c r="AB584" s="1"/>
      <c r="AD584" s="3"/>
      <c r="AM584" s="86"/>
      <c r="AN584" s="87"/>
      <c r="AO584" s="87"/>
      <c r="AP584" s="87"/>
      <c r="AQ584" s="87"/>
      <c r="AR584" s="87"/>
      <c r="AS584" s="85"/>
      <c r="AT584" s="21"/>
      <c r="AV584" s="3"/>
    </row>
    <row r="585" spans="3:48" x14ac:dyDescent="0.3">
      <c r="C585" s="85"/>
      <c r="D585" s="85"/>
      <c r="E585" s="85"/>
      <c r="F585" s="85"/>
      <c r="G585" s="85"/>
      <c r="H585" s="85"/>
      <c r="I585" s="85"/>
      <c r="J585" s="25"/>
      <c r="K585" s="3"/>
      <c r="L585" s="85"/>
      <c r="M585" s="85"/>
      <c r="N585" s="85"/>
      <c r="O585" s="85"/>
      <c r="P585" s="85"/>
      <c r="Q585" s="85"/>
      <c r="R585" s="85"/>
      <c r="S585" s="1"/>
      <c r="U585" s="1"/>
      <c r="V585" s="1"/>
      <c r="W585" s="1"/>
      <c r="X585" s="1"/>
      <c r="Y585" s="1"/>
      <c r="Z585" s="1"/>
      <c r="AA585" s="1"/>
      <c r="AB585" s="1"/>
      <c r="AD585" s="3"/>
      <c r="AM585" s="86"/>
      <c r="AN585" s="87"/>
      <c r="AO585" s="87"/>
      <c r="AP585" s="87"/>
      <c r="AQ585" s="87"/>
      <c r="AR585" s="87"/>
      <c r="AS585" s="85"/>
      <c r="AT585" s="21"/>
      <c r="AV585" s="3"/>
    </row>
    <row r="586" spans="3:48" x14ac:dyDescent="0.3">
      <c r="C586" s="85"/>
      <c r="D586" s="85"/>
      <c r="E586" s="85"/>
      <c r="F586" s="85"/>
      <c r="G586" s="85"/>
      <c r="H586" s="85"/>
      <c r="I586" s="85"/>
      <c r="J586" s="25"/>
      <c r="K586" s="3"/>
      <c r="L586" s="85"/>
      <c r="M586" s="85"/>
      <c r="N586" s="85"/>
      <c r="O586" s="85"/>
      <c r="P586" s="85"/>
      <c r="Q586" s="85"/>
      <c r="R586" s="85"/>
      <c r="S586" s="1"/>
      <c r="U586" s="1"/>
      <c r="V586" s="1"/>
      <c r="W586" s="1"/>
      <c r="X586" s="1"/>
      <c r="Y586" s="1"/>
      <c r="Z586" s="1"/>
      <c r="AA586" s="1"/>
      <c r="AB586" s="1"/>
      <c r="AD586" s="3"/>
      <c r="AM586" s="86"/>
      <c r="AN586" s="87"/>
      <c r="AO586" s="87"/>
      <c r="AP586" s="87"/>
      <c r="AQ586" s="87"/>
      <c r="AR586" s="87"/>
      <c r="AS586" s="85"/>
      <c r="AT586" s="21"/>
      <c r="AV586" s="3"/>
    </row>
    <row r="587" spans="3:48" x14ac:dyDescent="0.3">
      <c r="C587" s="85"/>
      <c r="D587" s="85"/>
      <c r="E587" s="85"/>
      <c r="F587" s="85"/>
      <c r="G587" s="85"/>
      <c r="H587" s="85"/>
      <c r="I587" s="85"/>
      <c r="J587" s="25"/>
      <c r="K587" s="3"/>
      <c r="L587" s="85"/>
      <c r="M587" s="85"/>
      <c r="N587" s="85"/>
      <c r="O587" s="85"/>
      <c r="P587" s="85"/>
      <c r="Q587" s="85"/>
      <c r="R587" s="85"/>
      <c r="S587" s="1"/>
      <c r="U587" s="1"/>
      <c r="V587" s="1"/>
      <c r="W587" s="1"/>
      <c r="X587" s="1"/>
      <c r="Y587" s="1"/>
      <c r="Z587" s="1"/>
      <c r="AA587" s="1"/>
      <c r="AB587" s="1"/>
      <c r="AD587" s="3"/>
      <c r="AM587" s="86"/>
      <c r="AN587" s="87"/>
      <c r="AO587" s="87"/>
      <c r="AP587" s="87"/>
      <c r="AQ587" s="87"/>
      <c r="AR587" s="87"/>
      <c r="AS587" s="85"/>
      <c r="AT587" s="21"/>
      <c r="AV587" s="3"/>
    </row>
    <row r="588" spans="3:48" x14ac:dyDescent="0.3">
      <c r="C588" s="85"/>
      <c r="D588" s="85"/>
      <c r="E588" s="85"/>
      <c r="F588" s="85"/>
      <c r="G588" s="85"/>
      <c r="H588" s="85"/>
      <c r="I588" s="85"/>
      <c r="J588" s="25"/>
      <c r="K588" s="3"/>
      <c r="L588" s="85"/>
      <c r="M588" s="85"/>
      <c r="N588" s="85"/>
      <c r="O588" s="85"/>
      <c r="P588" s="85"/>
      <c r="Q588" s="85"/>
      <c r="R588" s="85"/>
      <c r="S588" s="1"/>
      <c r="U588" s="1"/>
      <c r="V588" s="1"/>
      <c r="W588" s="1"/>
      <c r="X588" s="1"/>
      <c r="Y588" s="1"/>
      <c r="Z588" s="1"/>
      <c r="AA588" s="1"/>
      <c r="AB588" s="1"/>
      <c r="AD588" s="3"/>
      <c r="AM588" s="86"/>
      <c r="AN588" s="87"/>
      <c r="AO588" s="87"/>
      <c r="AP588" s="87"/>
      <c r="AQ588" s="87"/>
      <c r="AR588" s="87"/>
      <c r="AS588" s="85"/>
      <c r="AT588" s="21"/>
      <c r="AV588" s="3"/>
    </row>
    <row r="589" spans="3:48" x14ac:dyDescent="0.3">
      <c r="C589" s="85"/>
      <c r="D589" s="85"/>
      <c r="E589" s="85"/>
      <c r="F589" s="85"/>
      <c r="G589" s="85"/>
      <c r="H589" s="85"/>
      <c r="I589" s="85"/>
      <c r="J589" s="25"/>
      <c r="K589" s="3"/>
      <c r="L589" s="85"/>
      <c r="M589" s="85"/>
      <c r="N589" s="85"/>
      <c r="O589" s="85"/>
      <c r="P589" s="85"/>
      <c r="Q589" s="85"/>
      <c r="R589" s="85"/>
      <c r="S589" s="1"/>
      <c r="U589" s="1"/>
      <c r="V589" s="1"/>
      <c r="W589" s="1"/>
      <c r="X589" s="1"/>
      <c r="Y589" s="1"/>
      <c r="Z589" s="1"/>
      <c r="AA589" s="1"/>
      <c r="AB589" s="1"/>
      <c r="AD589" s="3"/>
      <c r="AM589" s="86"/>
      <c r="AN589" s="87"/>
      <c r="AO589" s="87"/>
      <c r="AP589" s="87"/>
      <c r="AQ589" s="87"/>
      <c r="AR589" s="87"/>
      <c r="AS589" s="85"/>
      <c r="AT589" s="21"/>
      <c r="AV589" s="3"/>
    </row>
    <row r="590" spans="3:48" x14ac:dyDescent="0.3">
      <c r="C590" s="85"/>
      <c r="D590" s="85"/>
      <c r="E590" s="85"/>
      <c r="F590" s="85"/>
      <c r="G590" s="85"/>
      <c r="H590" s="85"/>
      <c r="I590" s="85"/>
      <c r="J590" s="25"/>
      <c r="K590" s="3"/>
      <c r="L590" s="85"/>
      <c r="M590" s="85"/>
      <c r="N590" s="85"/>
      <c r="O590" s="85"/>
      <c r="P590" s="85"/>
      <c r="Q590" s="85"/>
      <c r="R590" s="85"/>
      <c r="S590" s="1"/>
      <c r="U590" s="1"/>
      <c r="V590" s="1"/>
      <c r="W590" s="1"/>
      <c r="X590" s="1"/>
      <c r="Y590" s="1"/>
      <c r="Z590" s="1"/>
      <c r="AA590" s="1"/>
      <c r="AB590" s="1"/>
      <c r="AD590" s="3"/>
      <c r="AM590" s="86"/>
      <c r="AN590" s="87"/>
      <c r="AO590" s="87"/>
      <c r="AP590" s="87"/>
      <c r="AQ590" s="87"/>
      <c r="AR590" s="87"/>
      <c r="AS590" s="85"/>
      <c r="AT590" s="21"/>
      <c r="AV590" s="3"/>
    </row>
    <row r="591" spans="3:48" x14ac:dyDescent="0.3">
      <c r="C591" s="85"/>
      <c r="D591" s="85"/>
      <c r="E591" s="85"/>
      <c r="F591" s="85"/>
      <c r="G591" s="85"/>
      <c r="H591" s="85"/>
      <c r="I591" s="85"/>
      <c r="J591" s="25"/>
      <c r="K591" s="3"/>
      <c r="L591" s="85"/>
      <c r="M591" s="85"/>
      <c r="N591" s="85"/>
      <c r="O591" s="85"/>
      <c r="P591" s="85"/>
      <c r="Q591" s="85"/>
      <c r="R591" s="85"/>
      <c r="S591" s="1"/>
      <c r="U591" s="1"/>
      <c r="V591" s="1"/>
      <c r="W591" s="1"/>
      <c r="X591" s="1"/>
      <c r="Y591" s="1"/>
      <c r="Z591" s="1"/>
      <c r="AA591" s="1"/>
      <c r="AB591" s="1"/>
      <c r="AD591" s="3"/>
      <c r="AM591" s="86"/>
      <c r="AN591" s="87"/>
      <c r="AO591" s="87"/>
      <c r="AP591" s="87"/>
      <c r="AQ591" s="87"/>
      <c r="AR591" s="87"/>
      <c r="AS591" s="85"/>
      <c r="AT591" s="21"/>
      <c r="AV591" s="3"/>
    </row>
    <row r="592" spans="3:48" x14ac:dyDescent="0.3">
      <c r="C592" s="85"/>
      <c r="D592" s="85"/>
      <c r="E592" s="85"/>
      <c r="F592" s="85"/>
      <c r="G592" s="85"/>
      <c r="H592" s="85"/>
      <c r="I592" s="85"/>
      <c r="J592" s="25"/>
      <c r="K592" s="3"/>
      <c r="L592" s="85"/>
      <c r="M592" s="85"/>
      <c r="N592" s="85"/>
      <c r="O592" s="85"/>
      <c r="P592" s="85"/>
      <c r="Q592" s="85"/>
      <c r="R592" s="85"/>
      <c r="S592" s="1"/>
      <c r="U592" s="1"/>
      <c r="V592" s="1"/>
      <c r="W592" s="1"/>
      <c r="X592" s="1"/>
      <c r="Y592" s="1"/>
      <c r="Z592" s="1"/>
      <c r="AA592" s="1"/>
      <c r="AB592" s="1"/>
      <c r="AD592" s="3"/>
      <c r="AM592" s="86"/>
      <c r="AN592" s="87"/>
      <c r="AO592" s="87"/>
      <c r="AP592" s="87"/>
      <c r="AQ592" s="87"/>
      <c r="AR592" s="87"/>
      <c r="AS592" s="85"/>
      <c r="AT592" s="21"/>
      <c r="AV592" s="3"/>
    </row>
    <row r="593" spans="3:48" x14ac:dyDescent="0.3">
      <c r="C593" s="85"/>
      <c r="D593" s="85"/>
      <c r="E593" s="85"/>
      <c r="F593" s="85"/>
      <c r="G593" s="85"/>
      <c r="H593" s="85"/>
      <c r="I593" s="85"/>
      <c r="J593" s="25"/>
      <c r="K593" s="3"/>
      <c r="L593" s="85"/>
      <c r="M593" s="85"/>
      <c r="N593" s="85"/>
      <c r="O593" s="85"/>
      <c r="P593" s="85"/>
      <c r="Q593" s="85"/>
      <c r="R593" s="85"/>
      <c r="S593" s="1"/>
      <c r="U593" s="1"/>
      <c r="V593" s="1"/>
      <c r="W593" s="1"/>
      <c r="X593" s="1"/>
      <c r="Y593" s="1"/>
      <c r="Z593" s="1"/>
      <c r="AA593" s="1"/>
      <c r="AB593" s="1"/>
      <c r="AD593" s="3"/>
      <c r="AM593" s="86"/>
      <c r="AN593" s="87"/>
      <c r="AO593" s="87"/>
      <c r="AP593" s="87"/>
      <c r="AQ593" s="87"/>
      <c r="AR593" s="87"/>
      <c r="AS593" s="85"/>
      <c r="AT593" s="21"/>
      <c r="AV593" s="3"/>
    </row>
    <row r="594" spans="3:48" x14ac:dyDescent="0.3">
      <c r="C594" s="85"/>
      <c r="D594" s="85"/>
      <c r="E594" s="85"/>
      <c r="F594" s="85"/>
      <c r="G594" s="85"/>
      <c r="H594" s="85"/>
      <c r="I594" s="85"/>
      <c r="J594" s="25"/>
      <c r="K594" s="3"/>
      <c r="L594" s="85"/>
      <c r="M594" s="85"/>
      <c r="N594" s="85"/>
      <c r="O594" s="85"/>
      <c r="P594" s="85"/>
      <c r="Q594" s="85"/>
      <c r="R594" s="85"/>
      <c r="S594" s="1"/>
      <c r="U594" s="1"/>
      <c r="V594" s="1"/>
      <c r="W594" s="1"/>
      <c r="X594" s="1"/>
      <c r="Y594" s="1"/>
      <c r="Z594" s="1"/>
      <c r="AA594" s="1"/>
      <c r="AB594" s="1"/>
      <c r="AD594" s="3"/>
      <c r="AM594" s="86"/>
      <c r="AN594" s="87"/>
      <c r="AO594" s="87"/>
      <c r="AP594" s="87"/>
      <c r="AQ594" s="87"/>
      <c r="AR594" s="87"/>
      <c r="AS594" s="85"/>
      <c r="AT594" s="21"/>
      <c r="AV594" s="3"/>
    </row>
    <row r="595" spans="3:48" x14ac:dyDescent="0.3">
      <c r="C595" s="85"/>
      <c r="D595" s="85"/>
      <c r="E595" s="85"/>
      <c r="F595" s="85"/>
      <c r="G595" s="85"/>
      <c r="H595" s="85"/>
      <c r="I595" s="85"/>
      <c r="J595" s="25"/>
      <c r="K595" s="3"/>
      <c r="L595" s="85"/>
      <c r="M595" s="85"/>
      <c r="N595" s="85"/>
      <c r="O595" s="85"/>
      <c r="P595" s="85"/>
      <c r="Q595" s="85"/>
      <c r="R595" s="85"/>
      <c r="S595" s="1"/>
      <c r="U595" s="1"/>
      <c r="V595" s="1"/>
      <c r="W595" s="1"/>
      <c r="X595" s="1"/>
      <c r="Y595" s="1"/>
      <c r="Z595" s="1"/>
      <c r="AA595" s="1"/>
      <c r="AB595" s="1"/>
      <c r="AD595" s="3"/>
      <c r="AM595" s="86"/>
      <c r="AN595" s="87"/>
      <c r="AO595" s="87"/>
      <c r="AP595" s="87"/>
      <c r="AQ595" s="87"/>
      <c r="AR595" s="87"/>
      <c r="AS595" s="85"/>
      <c r="AT595" s="21"/>
      <c r="AV595" s="3"/>
    </row>
    <row r="596" spans="3:48" x14ac:dyDescent="0.3">
      <c r="C596" s="85"/>
      <c r="D596" s="85"/>
      <c r="E596" s="85"/>
      <c r="F596" s="85"/>
      <c r="G596" s="85"/>
      <c r="H596" s="85"/>
      <c r="I596" s="85"/>
      <c r="J596" s="25"/>
      <c r="K596" s="3"/>
      <c r="L596" s="85"/>
      <c r="M596" s="85"/>
      <c r="N596" s="85"/>
      <c r="O596" s="85"/>
      <c r="P596" s="85"/>
      <c r="Q596" s="85"/>
      <c r="R596" s="85"/>
      <c r="S596" s="1"/>
      <c r="U596" s="1"/>
      <c r="V596" s="1"/>
      <c r="W596" s="1"/>
      <c r="X596" s="1"/>
      <c r="Y596" s="1"/>
      <c r="Z596" s="1"/>
      <c r="AA596" s="1"/>
      <c r="AB596" s="1"/>
      <c r="AD596" s="3"/>
      <c r="AM596" s="86"/>
      <c r="AN596" s="87"/>
      <c r="AO596" s="87"/>
      <c r="AP596" s="87"/>
      <c r="AQ596" s="87"/>
      <c r="AR596" s="87"/>
      <c r="AS596" s="85"/>
      <c r="AT596" s="21"/>
      <c r="AV596" s="3"/>
    </row>
    <row r="597" spans="3:48" x14ac:dyDescent="0.3">
      <c r="C597" s="85"/>
      <c r="D597" s="85"/>
      <c r="E597" s="85"/>
      <c r="F597" s="85"/>
      <c r="G597" s="85"/>
      <c r="H597" s="85"/>
      <c r="I597" s="85"/>
      <c r="J597" s="25"/>
      <c r="K597" s="3"/>
      <c r="L597" s="85"/>
      <c r="M597" s="85"/>
      <c r="N597" s="85"/>
      <c r="O597" s="85"/>
      <c r="P597" s="85"/>
      <c r="Q597" s="85"/>
      <c r="R597" s="85"/>
      <c r="S597" s="1"/>
      <c r="U597" s="1"/>
      <c r="V597" s="1"/>
      <c r="W597" s="1"/>
      <c r="X597" s="1"/>
      <c r="Y597" s="1"/>
      <c r="Z597" s="1"/>
      <c r="AA597" s="1"/>
      <c r="AB597" s="1"/>
      <c r="AD597" s="3"/>
      <c r="AM597" s="86"/>
      <c r="AN597" s="87"/>
      <c r="AO597" s="87"/>
      <c r="AP597" s="87"/>
      <c r="AQ597" s="87"/>
      <c r="AR597" s="87"/>
      <c r="AS597" s="85"/>
      <c r="AT597" s="21"/>
      <c r="AV597" s="3"/>
    </row>
    <row r="598" spans="3:48" x14ac:dyDescent="0.3">
      <c r="C598" s="85"/>
      <c r="D598" s="85"/>
      <c r="E598" s="85"/>
      <c r="F598" s="85"/>
      <c r="G598" s="85"/>
      <c r="H598" s="85"/>
      <c r="I598" s="85"/>
      <c r="J598" s="25"/>
      <c r="K598" s="3"/>
      <c r="L598" s="85"/>
      <c r="M598" s="85"/>
      <c r="N598" s="85"/>
      <c r="O598" s="85"/>
      <c r="P598" s="85"/>
      <c r="Q598" s="85"/>
      <c r="R598" s="85"/>
      <c r="S598" s="1"/>
      <c r="U598" s="1"/>
      <c r="V598" s="1"/>
      <c r="W598" s="1"/>
      <c r="X598" s="1"/>
      <c r="Y598" s="1"/>
      <c r="Z598" s="1"/>
      <c r="AA598" s="1"/>
      <c r="AB598" s="1"/>
      <c r="AD598" s="3"/>
      <c r="AM598" s="86"/>
      <c r="AN598" s="87"/>
      <c r="AO598" s="87"/>
      <c r="AP598" s="87"/>
      <c r="AQ598" s="87"/>
      <c r="AR598" s="87"/>
      <c r="AS598" s="85"/>
      <c r="AT598" s="21"/>
      <c r="AV598" s="3"/>
    </row>
    <row r="599" spans="3:48" x14ac:dyDescent="0.3">
      <c r="C599" s="85"/>
      <c r="D599" s="85"/>
      <c r="E599" s="85"/>
      <c r="F599" s="85"/>
      <c r="G599" s="85"/>
      <c r="H599" s="85"/>
      <c r="I599" s="85"/>
      <c r="J599" s="25"/>
      <c r="K599" s="3"/>
      <c r="L599" s="85"/>
      <c r="M599" s="85"/>
      <c r="N599" s="85"/>
      <c r="O599" s="85"/>
      <c r="P599" s="85"/>
      <c r="Q599" s="85"/>
      <c r="R599" s="85"/>
      <c r="S599" s="1"/>
      <c r="U599" s="1"/>
      <c r="V599" s="1"/>
      <c r="W599" s="1"/>
      <c r="X599" s="1"/>
      <c r="Y599" s="1"/>
      <c r="Z599" s="1"/>
      <c r="AA599" s="1"/>
      <c r="AB599" s="1"/>
      <c r="AD599" s="3"/>
      <c r="AM599" s="86"/>
      <c r="AN599" s="87"/>
      <c r="AO599" s="87"/>
      <c r="AP599" s="87"/>
      <c r="AQ599" s="87"/>
      <c r="AR599" s="87"/>
      <c r="AS599" s="85"/>
      <c r="AT599" s="21"/>
      <c r="AV599" s="3"/>
    </row>
    <row r="600" spans="3:48" x14ac:dyDescent="0.3">
      <c r="C600" s="85"/>
      <c r="D600" s="85"/>
      <c r="E600" s="85"/>
      <c r="F600" s="85"/>
      <c r="G600" s="85"/>
      <c r="H600" s="85"/>
      <c r="I600" s="85"/>
      <c r="J600" s="25"/>
      <c r="K600" s="3"/>
      <c r="L600" s="85"/>
      <c r="M600" s="85"/>
      <c r="N600" s="85"/>
      <c r="O600" s="85"/>
      <c r="P600" s="85"/>
      <c r="Q600" s="85"/>
      <c r="R600" s="85"/>
      <c r="S600" s="1"/>
      <c r="U600" s="1"/>
      <c r="V600" s="1"/>
      <c r="W600" s="1"/>
      <c r="X600" s="1"/>
      <c r="Y600" s="1"/>
      <c r="Z600" s="1"/>
      <c r="AA600" s="1"/>
      <c r="AB600" s="1"/>
      <c r="AD600" s="3"/>
      <c r="AM600" s="86"/>
      <c r="AN600" s="87"/>
      <c r="AO600" s="87"/>
      <c r="AP600" s="87"/>
      <c r="AQ600" s="87"/>
      <c r="AR600" s="87"/>
      <c r="AS600" s="85"/>
      <c r="AT600" s="21"/>
      <c r="AV600" s="3"/>
    </row>
    <row r="601" spans="3:48" x14ac:dyDescent="0.3">
      <c r="C601" s="85"/>
      <c r="D601" s="85"/>
      <c r="E601" s="85"/>
      <c r="F601" s="85"/>
      <c r="G601" s="85"/>
      <c r="H601" s="85"/>
      <c r="I601" s="85"/>
      <c r="J601" s="25"/>
      <c r="K601" s="3"/>
      <c r="L601" s="85"/>
      <c r="M601" s="85"/>
      <c r="N601" s="85"/>
      <c r="O601" s="85"/>
      <c r="P601" s="85"/>
      <c r="Q601" s="85"/>
      <c r="R601" s="85"/>
      <c r="S601" s="1"/>
      <c r="U601" s="1"/>
      <c r="V601" s="1"/>
      <c r="W601" s="1"/>
      <c r="X601" s="1"/>
      <c r="Y601" s="1"/>
      <c r="Z601" s="1"/>
      <c r="AA601" s="1"/>
      <c r="AB601" s="1"/>
      <c r="AD601" s="3"/>
      <c r="AM601" s="86"/>
      <c r="AN601" s="87"/>
      <c r="AO601" s="87"/>
      <c r="AP601" s="87"/>
      <c r="AQ601" s="87"/>
      <c r="AR601" s="87"/>
      <c r="AS601" s="85"/>
      <c r="AT601" s="21"/>
      <c r="AV601" s="3"/>
    </row>
    <row r="602" spans="3:48" x14ac:dyDescent="0.3">
      <c r="C602" s="85"/>
      <c r="D602" s="85"/>
      <c r="E602" s="85"/>
      <c r="F602" s="85"/>
      <c r="G602" s="85"/>
      <c r="H602" s="85"/>
      <c r="I602" s="85"/>
      <c r="J602" s="25"/>
      <c r="K602" s="3"/>
      <c r="L602" s="85"/>
      <c r="M602" s="85"/>
      <c r="N602" s="85"/>
      <c r="O602" s="85"/>
      <c r="P602" s="85"/>
      <c r="Q602" s="85"/>
      <c r="R602" s="85"/>
      <c r="S602" s="1"/>
      <c r="U602" s="1"/>
      <c r="V602" s="1"/>
      <c r="W602" s="1"/>
      <c r="X602" s="1"/>
      <c r="Y602" s="1"/>
      <c r="Z602" s="1"/>
      <c r="AA602" s="1"/>
      <c r="AB602" s="1"/>
      <c r="AD602" s="3"/>
      <c r="AM602" s="86"/>
      <c r="AN602" s="87"/>
      <c r="AO602" s="87"/>
      <c r="AP602" s="87"/>
      <c r="AQ602" s="87"/>
      <c r="AR602" s="87"/>
      <c r="AS602" s="85"/>
      <c r="AT602" s="21"/>
      <c r="AV602" s="3"/>
    </row>
    <row r="603" spans="3:48" x14ac:dyDescent="0.3">
      <c r="C603" s="85"/>
      <c r="D603" s="85"/>
      <c r="E603" s="85"/>
      <c r="F603" s="85"/>
      <c r="G603" s="85"/>
      <c r="H603" s="85"/>
      <c r="I603" s="85"/>
      <c r="J603" s="25"/>
      <c r="K603" s="3"/>
      <c r="L603" s="85"/>
      <c r="M603" s="85"/>
      <c r="N603" s="85"/>
      <c r="O603" s="85"/>
      <c r="P603" s="85"/>
      <c r="Q603" s="85"/>
      <c r="R603" s="85"/>
      <c r="S603" s="1"/>
      <c r="U603" s="1"/>
      <c r="V603" s="1"/>
      <c r="W603" s="1"/>
      <c r="X603" s="1"/>
      <c r="Y603" s="1"/>
      <c r="Z603" s="1"/>
      <c r="AA603" s="1"/>
      <c r="AB603" s="1"/>
      <c r="AD603" s="3"/>
      <c r="AM603" s="86"/>
      <c r="AN603" s="87"/>
      <c r="AO603" s="87"/>
      <c r="AP603" s="87"/>
      <c r="AQ603" s="87"/>
      <c r="AR603" s="87"/>
      <c r="AS603" s="85"/>
      <c r="AT603" s="21"/>
      <c r="AV603" s="3"/>
    </row>
    <row r="604" spans="3:48" x14ac:dyDescent="0.3">
      <c r="C604" s="85"/>
      <c r="D604" s="85"/>
      <c r="E604" s="85"/>
      <c r="F604" s="85"/>
      <c r="G604" s="85"/>
      <c r="H604" s="85"/>
      <c r="I604" s="85"/>
      <c r="J604" s="25"/>
      <c r="K604" s="3"/>
      <c r="L604" s="85"/>
      <c r="M604" s="85"/>
      <c r="N604" s="85"/>
      <c r="O604" s="85"/>
      <c r="P604" s="85"/>
      <c r="Q604" s="85"/>
      <c r="R604" s="85"/>
      <c r="S604" s="1"/>
      <c r="U604" s="1"/>
      <c r="V604" s="1"/>
      <c r="W604" s="1"/>
      <c r="X604" s="1"/>
      <c r="Y604" s="1"/>
      <c r="Z604" s="1"/>
      <c r="AA604" s="1"/>
      <c r="AB604" s="1"/>
      <c r="AD604" s="3"/>
      <c r="AM604" s="86"/>
      <c r="AN604" s="87"/>
      <c r="AO604" s="87"/>
      <c r="AP604" s="87"/>
      <c r="AQ604" s="87"/>
      <c r="AR604" s="87"/>
      <c r="AS604" s="85"/>
      <c r="AT604" s="21"/>
      <c r="AV604" s="3"/>
    </row>
    <row r="605" spans="3:48" x14ac:dyDescent="0.3">
      <c r="C605" s="85"/>
      <c r="D605" s="85"/>
      <c r="E605" s="85"/>
      <c r="F605" s="85"/>
      <c r="G605" s="85"/>
      <c r="H605" s="85"/>
      <c r="I605" s="85"/>
      <c r="J605" s="25"/>
      <c r="K605" s="3"/>
      <c r="L605" s="85"/>
      <c r="M605" s="85"/>
      <c r="N605" s="85"/>
      <c r="O605" s="85"/>
      <c r="P605" s="85"/>
      <c r="Q605" s="85"/>
      <c r="R605" s="85"/>
      <c r="S605" s="1"/>
      <c r="U605" s="1"/>
      <c r="V605" s="1"/>
      <c r="W605" s="1"/>
      <c r="X605" s="1"/>
      <c r="Y605" s="1"/>
      <c r="Z605" s="1"/>
      <c r="AA605" s="1"/>
      <c r="AB605" s="1"/>
      <c r="AD605" s="3"/>
      <c r="AM605" s="86"/>
      <c r="AN605" s="87"/>
      <c r="AO605" s="87"/>
      <c r="AP605" s="87"/>
      <c r="AQ605" s="87"/>
      <c r="AR605" s="87"/>
      <c r="AS605" s="85"/>
      <c r="AT605" s="21"/>
      <c r="AV605" s="3"/>
    </row>
    <row r="606" spans="3:48" x14ac:dyDescent="0.3">
      <c r="C606" s="85"/>
      <c r="D606" s="85"/>
      <c r="E606" s="85"/>
      <c r="F606" s="85"/>
      <c r="G606" s="85"/>
      <c r="H606" s="85"/>
      <c r="I606" s="85"/>
      <c r="J606" s="25"/>
      <c r="K606" s="3"/>
      <c r="L606" s="85"/>
      <c r="M606" s="85"/>
      <c r="N606" s="85"/>
      <c r="O606" s="85"/>
      <c r="P606" s="85"/>
      <c r="Q606" s="85"/>
      <c r="R606" s="85"/>
      <c r="S606" s="1"/>
      <c r="U606" s="1"/>
      <c r="V606" s="1"/>
      <c r="W606" s="1"/>
      <c r="X606" s="1"/>
      <c r="Y606" s="1"/>
      <c r="Z606" s="1"/>
      <c r="AA606" s="1"/>
      <c r="AB606" s="1"/>
      <c r="AD606" s="3"/>
      <c r="AM606" s="86"/>
      <c r="AN606" s="87"/>
      <c r="AO606" s="87"/>
      <c r="AP606" s="87"/>
      <c r="AQ606" s="87"/>
      <c r="AR606" s="87"/>
      <c r="AS606" s="85"/>
      <c r="AT606" s="21"/>
      <c r="AV606" s="3"/>
    </row>
    <row r="607" spans="3:48" x14ac:dyDescent="0.3">
      <c r="C607" s="85"/>
      <c r="D607" s="85"/>
      <c r="E607" s="85"/>
      <c r="F607" s="85"/>
      <c r="G607" s="85"/>
      <c r="H607" s="85"/>
      <c r="I607" s="85"/>
      <c r="J607" s="25"/>
      <c r="K607" s="3"/>
      <c r="L607" s="85"/>
      <c r="M607" s="85"/>
      <c r="N607" s="85"/>
      <c r="O607" s="85"/>
      <c r="P607" s="85"/>
      <c r="Q607" s="85"/>
      <c r="R607" s="85"/>
      <c r="S607" s="1"/>
      <c r="U607" s="1"/>
      <c r="V607" s="1"/>
      <c r="W607" s="1"/>
      <c r="X607" s="1"/>
      <c r="Y607" s="1"/>
      <c r="Z607" s="1"/>
      <c r="AA607" s="1"/>
      <c r="AB607" s="1"/>
      <c r="AD607" s="3"/>
      <c r="AM607" s="86"/>
      <c r="AN607" s="87"/>
      <c r="AO607" s="87"/>
      <c r="AP607" s="87"/>
      <c r="AQ607" s="87"/>
      <c r="AR607" s="87"/>
      <c r="AS607" s="85"/>
      <c r="AT607" s="21"/>
      <c r="AV607" s="3"/>
    </row>
    <row r="608" spans="3:48" x14ac:dyDescent="0.3">
      <c r="C608" s="85"/>
      <c r="D608" s="85"/>
      <c r="E608" s="85"/>
      <c r="F608" s="85"/>
      <c r="G608" s="85"/>
      <c r="H608" s="85"/>
      <c r="I608" s="85"/>
      <c r="J608" s="25"/>
      <c r="K608" s="3"/>
      <c r="L608" s="85"/>
      <c r="M608" s="85"/>
      <c r="N608" s="85"/>
      <c r="O608" s="85"/>
      <c r="P608" s="85"/>
      <c r="Q608" s="85"/>
      <c r="R608" s="85"/>
      <c r="S608" s="1"/>
      <c r="U608" s="1"/>
      <c r="V608" s="1"/>
      <c r="W608" s="1"/>
      <c r="X608" s="1"/>
      <c r="Y608" s="1"/>
      <c r="Z608" s="1"/>
      <c r="AA608" s="1"/>
      <c r="AB608" s="1"/>
      <c r="AD608" s="3"/>
      <c r="AM608" s="86"/>
      <c r="AN608" s="87"/>
      <c r="AO608" s="87"/>
      <c r="AP608" s="87"/>
      <c r="AQ608" s="87"/>
      <c r="AR608" s="87"/>
      <c r="AS608" s="85"/>
      <c r="AT608" s="21"/>
      <c r="AV608" s="3"/>
    </row>
    <row r="609" spans="3:48" x14ac:dyDescent="0.3">
      <c r="C609" s="85"/>
      <c r="D609" s="85"/>
      <c r="E609" s="85"/>
      <c r="F609" s="85"/>
      <c r="G609" s="85"/>
      <c r="H609" s="85"/>
      <c r="I609" s="85"/>
      <c r="J609" s="25"/>
      <c r="K609" s="3"/>
      <c r="L609" s="85"/>
      <c r="M609" s="85"/>
      <c r="N609" s="85"/>
      <c r="O609" s="85"/>
      <c r="P609" s="85"/>
      <c r="Q609" s="85"/>
      <c r="R609" s="85"/>
      <c r="S609" s="1"/>
      <c r="U609" s="1"/>
      <c r="V609" s="1"/>
      <c r="W609" s="1"/>
      <c r="X609" s="1"/>
      <c r="Y609" s="1"/>
      <c r="Z609" s="1"/>
      <c r="AA609" s="1"/>
      <c r="AB609" s="1"/>
      <c r="AD609" s="3"/>
      <c r="AM609" s="86"/>
      <c r="AN609" s="87"/>
      <c r="AO609" s="87"/>
      <c r="AP609" s="87"/>
      <c r="AQ609" s="87"/>
      <c r="AR609" s="87"/>
      <c r="AS609" s="85"/>
      <c r="AT609" s="21"/>
      <c r="AV609" s="3"/>
    </row>
    <row r="610" spans="3:48" x14ac:dyDescent="0.3">
      <c r="C610" s="85"/>
      <c r="D610" s="85"/>
      <c r="E610" s="85"/>
      <c r="F610" s="85"/>
      <c r="G610" s="85"/>
      <c r="H610" s="85"/>
      <c r="I610" s="85"/>
      <c r="J610" s="25"/>
      <c r="K610" s="3"/>
      <c r="L610" s="85"/>
      <c r="M610" s="85"/>
      <c r="N610" s="85"/>
      <c r="O610" s="85"/>
      <c r="P610" s="85"/>
      <c r="Q610" s="85"/>
      <c r="R610" s="85"/>
      <c r="S610" s="1"/>
      <c r="U610" s="1"/>
      <c r="V610" s="1"/>
      <c r="W610" s="1"/>
      <c r="X610" s="1"/>
      <c r="Y610" s="1"/>
      <c r="Z610" s="1"/>
      <c r="AA610" s="1"/>
      <c r="AB610" s="1"/>
      <c r="AD610" s="3"/>
      <c r="AM610" s="86"/>
      <c r="AN610" s="87"/>
      <c r="AO610" s="87"/>
      <c r="AP610" s="87"/>
      <c r="AQ610" s="87"/>
      <c r="AR610" s="87"/>
      <c r="AS610" s="85"/>
      <c r="AT610" s="21"/>
      <c r="AV610" s="3"/>
    </row>
    <row r="611" spans="3:48" x14ac:dyDescent="0.3">
      <c r="C611" s="85"/>
      <c r="D611" s="85"/>
      <c r="E611" s="85"/>
      <c r="F611" s="85"/>
      <c r="G611" s="85"/>
      <c r="H611" s="85"/>
      <c r="I611" s="85"/>
      <c r="J611" s="25"/>
      <c r="K611" s="3"/>
      <c r="L611" s="85"/>
      <c r="M611" s="85"/>
      <c r="N611" s="85"/>
      <c r="O611" s="85"/>
      <c r="P611" s="85"/>
      <c r="Q611" s="85"/>
      <c r="R611" s="85"/>
      <c r="S611" s="1"/>
      <c r="U611" s="1"/>
      <c r="V611" s="1"/>
      <c r="W611" s="1"/>
      <c r="X611" s="1"/>
      <c r="Y611" s="1"/>
      <c r="Z611" s="1"/>
      <c r="AA611" s="1"/>
      <c r="AB611" s="1"/>
      <c r="AD611" s="3"/>
      <c r="AM611" s="86"/>
      <c r="AN611" s="87"/>
      <c r="AO611" s="87"/>
      <c r="AP611" s="87"/>
      <c r="AQ611" s="87"/>
      <c r="AR611" s="87"/>
      <c r="AS611" s="85"/>
      <c r="AT611" s="21"/>
      <c r="AV611" s="3"/>
    </row>
    <row r="612" spans="3:48" x14ac:dyDescent="0.3">
      <c r="C612" s="85"/>
      <c r="D612" s="85"/>
      <c r="E612" s="85"/>
      <c r="F612" s="85"/>
      <c r="G612" s="85"/>
      <c r="H612" s="85"/>
      <c r="I612" s="85"/>
      <c r="J612" s="25"/>
      <c r="K612" s="3"/>
      <c r="L612" s="85"/>
      <c r="M612" s="85"/>
      <c r="N612" s="85"/>
      <c r="O612" s="85"/>
      <c r="P612" s="85"/>
      <c r="Q612" s="85"/>
      <c r="R612" s="85"/>
      <c r="S612" s="1"/>
      <c r="U612" s="1"/>
      <c r="V612" s="1"/>
      <c r="W612" s="1"/>
      <c r="X612" s="1"/>
      <c r="Y612" s="1"/>
      <c r="Z612" s="1"/>
      <c r="AA612" s="1"/>
      <c r="AB612" s="1"/>
      <c r="AD612" s="3"/>
      <c r="AM612" s="86"/>
      <c r="AN612" s="87"/>
      <c r="AO612" s="87"/>
      <c r="AP612" s="87"/>
      <c r="AQ612" s="87"/>
      <c r="AR612" s="87"/>
      <c r="AS612" s="85"/>
      <c r="AT612" s="21"/>
      <c r="AV612" s="3"/>
    </row>
    <row r="613" spans="3:48" x14ac:dyDescent="0.3">
      <c r="C613" s="85"/>
      <c r="D613" s="85"/>
      <c r="E613" s="85"/>
      <c r="F613" s="85"/>
      <c r="G613" s="85"/>
      <c r="H613" s="85"/>
      <c r="I613" s="85"/>
      <c r="J613" s="25"/>
      <c r="K613" s="3"/>
      <c r="L613" s="85"/>
      <c r="M613" s="85"/>
      <c r="N613" s="85"/>
      <c r="O613" s="85"/>
      <c r="P613" s="85"/>
      <c r="Q613" s="85"/>
      <c r="R613" s="85"/>
      <c r="S613" s="1"/>
      <c r="U613" s="1"/>
      <c r="V613" s="1"/>
      <c r="W613" s="1"/>
      <c r="X613" s="1"/>
      <c r="Y613" s="1"/>
      <c r="Z613" s="1"/>
      <c r="AA613" s="1"/>
      <c r="AB613" s="1"/>
      <c r="AD613" s="3"/>
      <c r="AM613" s="86"/>
      <c r="AN613" s="87"/>
      <c r="AO613" s="87"/>
      <c r="AP613" s="87"/>
      <c r="AQ613" s="87"/>
      <c r="AR613" s="87"/>
      <c r="AS613" s="85"/>
      <c r="AT613" s="21"/>
      <c r="AV613" s="3"/>
    </row>
    <row r="614" spans="3:48" x14ac:dyDescent="0.3">
      <c r="C614" s="85"/>
      <c r="D614" s="85"/>
      <c r="E614" s="85"/>
      <c r="F614" s="85"/>
      <c r="G614" s="85"/>
      <c r="H614" s="85"/>
      <c r="I614" s="85"/>
      <c r="J614" s="25"/>
      <c r="K614" s="3"/>
      <c r="L614" s="85"/>
      <c r="M614" s="85"/>
      <c r="N614" s="85"/>
      <c r="O614" s="85"/>
      <c r="P614" s="85"/>
      <c r="Q614" s="85"/>
      <c r="R614" s="85"/>
      <c r="S614" s="1"/>
      <c r="U614" s="1"/>
      <c r="V614" s="1"/>
      <c r="W614" s="1"/>
      <c r="X614" s="1"/>
      <c r="Y614" s="1"/>
      <c r="Z614" s="1"/>
      <c r="AA614" s="1"/>
      <c r="AB614" s="1"/>
      <c r="AD614" s="3"/>
      <c r="AM614" s="86"/>
      <c r="AN614" s="87"/>
      <c r="AO614" s="87"/>
      <c r="AP614" s="87"/>
      <c r="AQ614" s="87"/>
      <c r="AR614" s="87"/>
      <c r="AS614" s="85"/>
      <c r="AT614" s="21"/>
      <c r="AV614" s="3"/>
    </row>
    <row r="615" spans="3:48" x14ac:dyDescent="0.3">
      <c r="C615" s="85"/>
      <c r="D615" s="85"/>
      <c r="E615" s="85"/>
      <c r="F615" s="85"/>
      <c r="G615" s="85"/>
      <c r="H615" s="85"/>
      <c r="I615" s="85"/>
      <c r="J615" s="25"/>
      <c r="K615" s="3"/>
      <c r="L615" s="85"/>
      <c r="M615" s="85"/>
      <c r="N615" s="85"/>
      <c r="O615" s="85"/>
      <c r="P615" s="85"/>
      <c r="Q615" s="85"/>
      <c r="R615" s="85"/>
      <c r="S615" s="1"/>
      <c r="U615" s="1"/>
      <c r="V615" s="1"/>
      <c r="W615" s="1"/>
      <c r="X615" s="1"/>
      <c r="Y615" s="1"/>
      <c r="Z615" s="1"/>
      <c r="AA615" s="1"/>
      <c r="AB615" s="1"/>
      <c r="AD615" s="3"/>
      <c r="AM615" s="86"/>
      <c r="AN615" s="87"/>
      <c r="AO615" s="87"/>
      <c r="AP615" s="87"/>
      <c r="AQ615" s="87"/>
      <c r="AR615" s="87"/>
      <c r="AS615" s="85"/>
      <c r="AT615" s="21"/>
      <c r="AV615" s="3"/>
    </row>
    <row r="616" spans="3:48" x14ac:dyDescent="0.3">
      <c r="C616" s="85"/>
      <c r="D616" s="85"/>
      <c r="E616" s="85"/>
      <c r="F616" s="85"/>
      <c r="G616" s="85"/>
      <c r="H616" s="85"/>
      <c r="I616" s="85"/>
      <c r="J616" s="25"/>
      <c r="K616" s="3"/>
      <c r="L616" s="85"/>
      <c r="M616" s="85"/>
      <c r="N616" s="85"/>
      <c r="O616" s="85"/>
      <c r="P616" s="85"/>
      <c r="Q616" s="85"/>
      <c r="R616" s="85"/>
      <c r="S616" s="1"/>
      <c r="U616" s="1"/>
      <c r="V616" s="1"/>
      <c r="W616" s="1"/>
      <c r="X616" s="1"/>
      <c r="Y616" s="1"/>
      <c r="Z616" s="1"/>
      <c r="AA616" s="1"/>
      <c r="AB616" s="1"/>
      <c r="AD616" s="3"/>
      <c r="AM616" s="86"/>
      <c r="AN616" s="87"/>
      <c r="AO616" s="87"/>
      <c r="AP616" s="87"/>
      <c r="AQ616" s="87"/>
      <c r="AR616" s="87"/>
      <c r="AS616" s="85"/>
      <c r="AT616" s="21"/>
      <c r="AV616" s="3"/>
    </row>
    <row r="617" spans="3:48" x14ac:dyDescent="0.3">
      <c r="C617" s="85"/>
      <c r="D617" s="85"/>
      <c r="E617" s="85"/>
      <c r="F617" s="85"/>
      <c r="G617" s="85"/>
      <c r="H617" s="85"/>
      <c r="I617" s="85"/>
      <c r="J617" s="25"/>
      <c r="K617" s="3"/>
      <c r="L617" s="85"/>
      <c r="M617" s="85"/>
      <c r="N617" s="85"/>
      <c r="O617" s="85"/>
      <c r="P617" s="85"/>
      <c r="Q617" s="85"/>
      <c r="R617" s="85"/>
      <c r="S617" s="1"/>
      <c r="U617" s="1"/>
      <c r="V617" s="1"/>
      <c r="W617" s="1"/>
      <c r="X617" s="1"/>
      <c r="Y617" s="1"/>
      <c r="Z617" s="1"/>
      <c r="AA617" s="1"/>
      <c r="AB617" s="1"/>
      <c r="AD617" s="3"/>
      <c r="AM617" s="86"/>
      <c r="AN617" s="87"/>
      <c r="AO617" s="87"/>
      <c r="AP617" s="87"/>
      <c r="AQ617" s="87"/>
      <c r="AR617" s="87"/>
      <c r="AS617" s="85"/>
      <c r="AT617" s="21"/>
      <c r="AV617" s="3"/>
    </row>
    <row r="618" spans="3:48" x14ac:dyDescent="0.3">
      <c r="C618" s="85"/>
      <c r="D618" s="85"/>
      <c r="E618" s="85"/>
      <c r="F618" s="85"/>
      <c r="G618" s="85"/>
      <c r="H618" s="85"/>
      <c r="I618" s="85"/>
      <c r="J618" s="25"/>
      <c r="K618" s="3"/>
      <c r="L618" s="85"/>
      <c r="M618" s="85"/>
      <c r="N618" s="85"/>
      <c r="O618" s="85"/>
      <c r="P618" s="85"/>
      <c r="Q618" s="85"/>
      <c r="R618" s="85"/>
      <c r="S618" s="1"/>
      <c r="U618" s="1"/>
      <c r="V618" s="1"/>
      <c r="W618" s="1"/>
      <c r="X618" s="1"/>
      <c r="Y618" s="1"/>
      <c r="Z618" s="1"/>
      <c r="AA618" s="1"/>
      <c r="AB618" s="1"/>
      <c r="AD618" s="3"/>
      <c r="AM618" s="86"/>
      <c r="AN618" s="87"/>
      <c r="AO618" s="87"/>
      <c r="AP618" s="87"/>
      <c r="AQ618" s="87"/>
      <c r="AR618" s="87"/>
      <c r="AS618" s="85"/>
      <c r="AT618" s="21"/>
      <c r="AV618" s="3"/>
    </row>
    <row r="619" spans="3:48" x14ac:dyDescent="0.3">
      <c r="C619" s="85"/>
      <c r="D619" s="85"/>
      <c r="E619" s="85"/>
      <c r="F619" s="85"/>
      <c r="G619" s="85"/>
      <c r="H619" s="85"/>
      <c r="I619" s="85"/>
      <c r="J619" s="25"/>
      <c r="K619" s="3"/>
      <c r="L619" s="85"/>
      <c r="M619" s="85"/>
      <c r="N619" s="85"/>
      <c r="O619" s="85"/>
      <c r="P619" s="85"/>
      <c r="Q619" s="85"/>
      <c r="R619" s="85"/>
      <c r="S619" s="1"/>
      <c r="U619" s="1"/>
      <c r="V619" s="1"/>
      <c r="W619" s="1"/>
      <c r="X619" s="1"/>
      <c r="Y619" s="1"/>
      <c r="Z619" s="1"/>
      <c r="AA619" s="1"/>
      <c r="AB619" s="1"/>
      <c r="AD619" s="3"/>
      <c r="AM619" s="86"/>
      <c r="AN619" s="87"/>
      <c r="AO619" s="87"/>
      <c r="AP619" s="87"/>
      <c r="AQ619" s="87"/>
      <c r="AR619" s="87"/>
      <c r="AS619" s="85"/>
      <c r="AT619" s="21"/>
      <c r="AV619" s="3"/>
    </row>
    <row r="620" spans="3:48" x14ac:dyDescent="0.3">
      <c r="C620" s="85"/>
      <c r="D620" s="85"/>
      <c r="E620" s="85"/>
      <c r="F620" s="85"/>
      <c r="G620" s="85"/>
      <c r="H620" s="85"/>
      <c r="I620" s="85"/>
      <c r="J620" s="25"/>
      <c r="K620" s="3"/>
      <c r="L620" s="85"/>
      <c r="M620" s="85"/>
      <c r="N620" s="85"/>
      <c r="O620" s="85"/>
      <c r="P620" s="85"/>
      <c r="Q620" s="85"/>
      <c r="R620" s="85"/>
      <c r="S620" s="1"/>
      <c r="U620" s="1"/>
      <c r="V620" s="1"/>
      <c r="W620" s="1"/>
      <c r="X620" s="1"/>
      <c r="Y620" s="1"/>
      <c r="Z620" s="1"/>
      <c r="AA620" s="1"/>
      <c r="AB620" s="1"/>
      <c r="AD620" s="3"/>
      <c r="AM620" s="86"/>
      <c r="AN620" s="87"/>
      <c r="AO620" s="87"/>
      <c r="AP620" s="87"/>
      <c r="AQ620" s="87"/>
      <c r="AR620" s="87"/>
      <c r="AS620" s="85"/>
      <c r="AT620" s="21"/>
      <c r="AV620" s="3"/>
    </row>
    <row r="621" spans="3:48" x14ac:dyDescent="0.3">
      <c r="C621" s="85"/>
      <c r="D621" s="85"/>
      <c r="E621" s="85"/>
      <c r="F621" s="85"/>
      <c r="G621" s="85"/>
      <c r="H621" s="85"/>
      <c r="I621" s="85"/>
      <c r="J621" s="25"/>
      <c r="K621" s="3"/>
      <c r="L621" s="85"/>
      <c r="M621" s="85"/>
      <c r="N621" s="85"/>
      <c r="O621" s="85"/>
      <c r="P621" s="85"/>
      <c r="Q621" s="85"/>
      <c r="R621" s="85"/>
      <c r="S621" s="1"/>
      <c r="U621" s="1"/>
      <c r="V621" s="1"/>
      <c r="W621" s="1"/>
      <c r="X621" s="1"/>
      <c r="Y621" s="1"/>
      <c r="Z621" s="1"/>
      <c r="AA621" s="1"/>
      <c r="AB621" s="1"/>
      <c r="AD621" s="3"/>
      <c r="AM621" s="86"/>
      <c r="AN621" s="87"/>
      <c r="AO621" s="87"/>
      <c r="AP621" s="87"/>
      <c r="AQ621" s="87"/>
      <c r="AR621" s="87"/>
      <c r="AS621" s="85"/>
      <c r="AT621" s="21"/>
      <c r="AV621" s="3"/>
    </row>
    <row r="622" spans="3:48" x14ac:dyDescent="0.3">
      <c r="C622" s="85"/>
      <c r="D622" s="85"/>
      <c r="E622" s="85"/>
      <c r="F622" s="85"/>
      <c r="G622" s="85"/>
      <c r="H622" s="85"/>
      <c r="I622" s="85"/>
      <c r="J622" s="25"/>
      <c r="K622" s="3"/>
      <c r="L622" s="85"/>
      <c r="M622" s="85"/>
      <c r="N622" s="85"/>
      <c r="O622" s="85"/>
      <c r="P622" s="85"/>
      <c r="Q622" s="85"/>
      <c r="R622" s="85"/>
      <c r="S622" s="1"/>
      <c r="U622" s="1"/>
      <c r="V622" s="1"/>
      <c r="W622" s="1"/>
      <c r="X622" s="1"/>
      <c r="Y622" s="1"/>
      <c r="Z622" s="1"/>
      <c r="AA622" s="1"/>
      <c r="AB622" s="1"/>
      <c r="AD622" s="3"/>
      <c r="AM622" s="86"/>
      <c r="AN622" s="87"/>
      <c r="AO622" s="87"/>
      <c r="AP622" s="87"/>
      <c r="AQ622" s="87"/>
      <c r="AR622" s="87"/>
      <c r="AS622" s="85"/>
      <c r="AT622" s="21"/>
      <c r="AV622" s="3"/>
    </row>
    <row r="623" spans="3:48" x14ac:dyDescent="0.3">
      <c r="C623" s="85"/>
      <c r="D623" s="85"/>
      <c r="E623" s="85"/>
      <c r="F623" s="85"/>
      <c r="G623" s="85"/>
      <c r="H623" s="85"/>
      <c r="I623" s="85"/>
      <c r="J623" s="25"/>
      <c r="K623" s="3"/>
      <c r="L623" s="85"/>
      <c r="M623" s="85"/>
      <c r="N623" s="85"/>
      <c r="O623" s="85"/>
      <c r="P623" s="85"/>
      <c r="Q623" s="85"/>
      <c r="R623" s="85"/>
      <c r="S623" s="1"/>
      <c r="U623" s="1"/>
      <c r="V623" s="1"/>
      <c r="W623" s="1"/>
      <c r="X623" s="1"/>
      <c r="Y623" s="1"/>
      <c r="Z623" s="1"/>
      <c r="AA623" s="1"/>
      <c r="AB623" s="1"/>
      <c r="AD623" s="3"/>
      <c r="AM623" s="86"/>
      <c r="AN623" s="87"/>
      <c r="AO623" s="87"/>
      <c r="AP623" s="87"/>
      <c r="AQ623" s="87"/>
      <c r="AR623" s="87"/>
      <c r="AS623" s="85"/>
      <c r="AT623" s="21"/>
      <c r="AV623" s="3"/>
    </row>
    <row r="624" spans="3:48" x14ac:dyDescent="0.3">
      <c r="C624" s="85"/>
      <c r="D624" s="85"/>
      <c r="E624" s="85"/>
      <c r="F624" s="85"/>
      <c r="G624" s="85"/>
      <c r="H624" s="85"/>
      <c r="I624" s="85"/>
      <c r="J624" s="25"/>
      <c r="K624" s="3"/>
      <c r="L624" s="85"/>
      <c r="M624" s="85"/>
      <c r="N624" s="85"/>
      <c r="O624" s="85"/>
      <c r="P624" s="85"/>
      <c r="Q624" s="85"/>
      <c r="R624" s="85"/>
      <c r="S624" s="1"/>
      <c r="U624" s="1"/>
      <c r="V624" s="1"/>
      <c r="W624" s="1"/>
      <c r="X624" s="1"/>
      <c r="Y624" s="1"/>
      <c r="Z624" s="1"/>
      <c r="AA624" s="1"/>
      <c r="AB624" s="1"/>
      <c r="AD624" s="3"/>
      <c r="AM624" s="86"/>
      <c r="AN624" s="87"/>
      <c r="AO624" s="87"/>
      <c r="AP624" s="87"/>
      <c r="AQ624" s="87"/>
      <c r="AR624" s="87"/>
      <c r="AS624" s="85"/>
      <c r="AT624" s="21"/>
      <c r="AV624" s="3"/>
    </row>
    <row r="625" spans="3:48" x14ac:dyDescent="0.3">
      <c r="C625" s="85"/>
      <c r="D625" s="85"/>
      <c r="E625" s="85"/>
      <c r="F625" s="85"/>
      <c r="G625" s="85"/>
      <c r="H625" s="85"/>
      <c r="I625" s="85"/>
      <c r="J625" s="25"/>
      <c r="K625" s="3"/>
      <c r="L625" s="85"/>
      <c r="M625" s="85"/>
      <c r="N625" s="85"/>
      <c r="O625" s="85"/>
      <c r="P625" s="85"/>
      <c r="Q625" s="85"/>
      <c r="R625" s="85"/>
      <c r="S625" s="1"/>
      <c r="U625" s="1"/>
      <c r="V625" s="1"/>
      <c r="W625" s="1"/>
      <c r="X625" s="1"/>
      <c r="Y625" s="1"/>
      <c r="Z625" s="1"/>
      <c r="AA625" s="1"/>
      <c r="AB625" s="1"/>
      <c r="AD625" s="3"/>
      <c r="AM625" s="86"/>
      <c r="AN625" s="87"/>
      <c r="AO625" s="87"/>
      <c r="AP625" s="87"/>
      <c r="AQ625" s="87"/>
      <c r="AR625" s="87"/>
      <c r="AS625" s="85"/>
      <c r="AT625" s="21"/>
      <c r="AV625" s="3"/>
    </row>
    <row r="626" spans="3:48" x14ac:dyDescent="0.3">
      <c r="C626" s="85"/>
      <c r="D626" s="85"/>
      <c r="E626" s="85"/>
      <c r="F626" s="85"/>
      <c r="G626" s="85"/>
      <c r="H626" s="85"/>
      <c r="I626" s="85"/>
      <c r="J626" s="25"/>
      <c r="K626" s="3"/>
      <c r="L626" s="85"/>
      <c r="M626" s="85"/>
      <c r="N626" s="85"/>
      <c r="O626" s="85"/>
      <c r="P626" s="85"/>
      <c r="Q626" s="85"/>
      <c r="R626" s="85"/>
      <c r="S626" s="1"/>
      <c r="U626" s="1"/>
      <c r="V626" s="1"/>
      <c r="W626" s="1"/>
      <c r="X626" s="1"/>
      <c r="Y626" s="1"/>
      <c r="Z626" s="1"/>
      <c r="AA626" s="1"/>
      <c r="AB626" s="1"/>
      <c r="AD626" s="3"/>
      <c r="AM626" s="86"/>
      <c r="AN626" s="87"/>
      <c r="AO626" s="87"/>
      <c r="AP626" s="87"/>
      <c r="AQ626" s="87"/>
      <c r="AR626" s="87"/>
      <c r="AS626" s="85"/>
      <c r="AT626" s="21"/>
      <c r="AV626" s="3"/>
    </row>
    <row r="627" spans="3:48" x14ac:dyDescent="0.3">
      <c r="C627" s="85"/>
      <c r="D627" s="85"/>
      <c r="E627" s="85"/>
      <c r="F627" s="85"/>
      <c r="G627" s="85"/>
      <c r="H627" s="85"/>
      <c r="I627" s="85"/>
      <c r="J627" s="25"/>
      <c r="K627" s="3"/>
      <c r="L627" s="85"/>
      <c r="M627" s="85"/>
      <c r="N627" s="85"/>
      <c r="O627" s="85"/>
      <c r="P627" s="85"/>
      <c r="Q627" s="85"/>
      <c r="R627" s="85"/>
      <c r="S627" s="1"/>
      <c r="U627" s="1"/>
      <c r="V627" s="1"/>
      <c r="W627" s="1"/>
      <c r="X627" s="1"/>
      <c r="Y627" s="1"/>
      <c r="Z627" s="1"/>
      <c r="AA627" s="1"/>
      <c r="AB627" s="1"/>
      <c r="AD627" s="3"/>
      <c r="AM627" s="86"/>
      <c r="AN627" s="87"/>
      <c r="AO627" s="87"/>
      <c r="AP627" s="87"/>
      <c r="AQ627" s="87"/>
      <c r="AR627" s="87"/>
      <c r="AS627" s="85"/>
      <c r="AT627" s="21"/>
      <c r="AV627" s="3"/>
    </row>
    <row r="628" spans="3:48" x14ac:dyDescent="0.3">
      <c r="C628" s="85"/>
      <c r="D628" s="85"/>
      <c r="E628" s="85"/>
      <c r="F628" s="85"/>
      <c r="G628" s="85"/>
      <c r="H628" s="85"/>
      <c r="I628" s="85"/>
      <c r="J628" s="25"/>
      <c r="K628" s="3"/>
      <c r="L628" s="85"/>
      <c r="M628" s="85"/>
      <c r="N628" s="85"/>
      <c r="O628" s="85"/>
      <c r="P628" s="85"/>
      <c r="Q628" s="85"/>
      <c r="R628" s="85"/>
      <c r="S628" s="1"/>
      <c r="U628" s="1"/>
      <c r="V628" s="1"/>
      <c r="W628" s="1"/>
      <c r="X628" s="1"/>
      <c r="Y628" s="1"/>
      <c r="Z628" s="1"/>
      <c r="AA628" s="1"/>
      <c r="AB628" s="1"/>
      <c r="AD628" s="3"/>
      <c r="AM628" s="86"/>
      <c r="AN628" s="87"/>
      <c r="AO628" s="87"/>
      <c r="AP628" s="87"/>
      <c r="AQ628" s="87"/>
      <c r="AR628" s="87"/>
      <c r="AS628" s="85"/>
      <c r="AT628" s="21"/>
      <c r="AV628" s="3"/>
    </row>
    <row r="629" spans="3:48" x14ac:dyDescent="0.3">
      <c r="C629" s="85"/>
      <c r="D629" s="85"/>
      <c r="E629" s="85"/>
      <c r="F629" s="85"/>
      <c r="G629" s="85"/>
      <c r="H629" s="85"/>
      <c r="I629" s="85"/>
      <c r="J629" s="25"/>
      <c r="K629" s="3"/>
      <c r="L629" s="85"/>
      <c r="M629" s="85"/>
      <c r="N629" s="85"/>
      <c r="O629" s="85"/>
      <c r="P629" s="85"/>
      <c r="Q629" s="85"/>
      <c r="R629" s="85"/>
      <c r="S629" s="1"/>
      <c r="U629" s="1"/>
      <c r="V629" s="1"/>
      <c r="W629" s="1"/>
      <c r="X629" s="1"/>
      <c r="Y629" s="1"/>
      <c r="Z629" s="1"/>
      <c r="AA629" s="1"/>
      <c r="AB629" s="1"/>
      <c r="AD629" s="3"/>
      <c r="AM629" s="86"/>
      <c r="AN629" s="87"/>
      <c r="AO629" s="87"/>
      <c r="AP629" s="87"/>
      <c r="AQ629" s="87"/>
      <c r="AR629" s="87"/>
      <c r="AS629" s="85"/>
      <c r="AT629" s="21"/>
      <c r="AV629" s="3"/>
    </row>
    <row r="630" spans="3:48" x14ac:dyDescent="0.3">
      <c r="C630" s="85"/>
      <c r="D630" s="85"/>
      <c r="E630" s="85"/>
      <c r="F630" s="85"/>
      <c r="G630" s="85"/>
      <c r="H630" s="85"/>
      <c r="I630" s="85"/>
      <c r="J630" s="25"/>
      <c r="K630" s="3"/>
      <c r="L630" s="85"/>
      <c r="M630" s="85"/>
      <c r="N630" s="85"/>
      <c r="O630" s="85"/>
      <c r="P630" s="85"/>
      <c r="Q630" s="85"/>
      <c r="R630" s="85"/>
      <c r="S630" s="1"/>
      <c r="U630" s="1"/>
      <c r="V630" s="1"/>
      <c r="W630" s="1"/>
      <c r="X630" s="1"/>
      <c r="Y630" s="1"/>
      <c r="Z630" s="1"/>
      <c r="AA630" s="1"/>
      <c r="AB630" s="1"/>
      <c r="AD630" s="3"/>
      <c r="AM630" s="86"/>
      <c r="AN630" s="87"/>
      <c r="AO630" s="87"/>
      <c r="AP630" s="87"/>
      <c r="AQ630" s="87"/>
      <c r="AR630" s="87"/>
      <c r="AS630" s="85"/>
      <c r="AT630" s="21"/>
      <c r="AV630" s="3"/>
    </row>
    <row r="631" spans="3:48" x14ac:dyDescent="0.3">
      <c r="C631" s="85"/>
      <c r="D631" s="85"/>
      <c r="E631" s="85"/>
      <c r="F631" s="85"/>
      <c r="G631" s="85"/>
      <c r="H631" s="85"/>
      <c r="I631" s="85"/>
      <c r="J631" s="25"/>
      <c r="K631" s="3"/>
      <c r="L631" s="85"/>
      <c r="M631" s="85"/>
      <c r="N631" s="85"/>
      <c r="O631" s="85"/>
      <c r="P631" s="85"/>
      <c r="Q631" s="85"/>
      <c r="R631" s="85"/>
      <c r="S631" s="1"/>
      <c r="U631" s="1"/>
      <c r="V631" s="1"/>
      <c r="W631" s="1"/>
      <c r="X631" s="1"/>
      <c r="Y631" s="1"/>
      <c r="Z631" s="1"/>
      <c r="AA631" s="1"/>
      <c r="AB631" s="1"/>
      <c r="AD631" s="3"/>
      <c r="AM631" s="86"/>
      <c r="AN631" s="87"/>
      <c r="AO631" s="87"/>
      <c r="AP631" s="87"/>
      <c r="AQ631" s="87"/>
      <c r="AR631" s="87"/>
      <c r="AS631" s="85"/>
      <c r="AT631" s="21"/>
      <c r="AV631" s="3"/>
    </row>
    <row r="632" spans="3:48" x14ac:dyDescent="0.3">
      <c r="C632" s="85"/>
      <c r="D632" s="85"/>
      <c r="E632" s="85"/>
      <c r="F632" s="85"/>
      <c r="G632" s="85"/>
      <c r="H632" s="85"/>
      <c r="I632" s="85"/>
      <c r="J632" s="25"/>
      <c r="K632" s="3"/>
      <c r="L632" s="85"/>
      <c r="M632" s="85"/>
      <c r="N632" s="85"/>
      <c r="O632" s="85"/>
      <c r="P632" s="85"/>
      <c r="Q632" s="85"/>
      <c r="R632" s="85"/>
      <c r="S632" s="1"/>
      <c r="U632" s="1"/>
      <c r="V632" s="1"/>
      <c r="W632" s="1"/>
      <c r="X632" s="1"/>
      <c r="Y632" s="1"/>
      <c r="Z632" s="1"/>
      <c r="AA632" s="1"/>
      <c r="AB632" s="1"/>
      <c r="AD632" s="3"/>
      <c r="AM632" s="86"/>
      <c r="AN632" s="87"/>
      <c r="AO632" s="87"/>
      <c r="AP632" s="87"/>
      <c r="AQ632" s="87"/>
      <c r="AR632" s="87"/>
      <c r="AS632" s="85"/>
      <c r="AT632" s="21"/>
      <c r="AV632" s="3"/>
    </row>
    <row r="633" spans="3:48" x14ac:dyDescent="0.3">
      <c r="C633" s="85"/>
      <c r="D633" s="85"/>
      <c r="E633" s="85"/>
      <c r="F633" s="85"/>
      <c r="G633" s="85"/>
      <c r="H633" s="85"/>
      <c r="I633" s="85"/>
      <c r="J633" s="25"/>
      <c r="K633" s="3"/>
      <c r="L633" s="85"/>
      <c r="M633" s="85"/>
      <c r="N633" s="85"/>
      <c r="O633" s="85"/>
      <c r="P633" s="85"/>
      <c r="Q633" s="85"/>
      <c r="R633" s="85"/>
      <c r="S633" s="1"/>
      <c r="U633" s="1"/>
      <c r="V633" s="1"/>
      <c r="W633" s="1"/>
      <c r="X633" s="1"/>
      <c r="Y633" s="1"/>
      <c r="Z633" s="1"/>
      <c r="AA633" s="1"/>
      <c r="AB633" s="1"/>
      <c r="AD633" s="3"/>
      <c r="AM633" s="86"/>
      <c r="AN633" s="87"/>
      <c r="AO633" s="87"/>
      <c r="AP633" s="87"/>
      <c r="AQ633" s="87"/>
      <c r="AR633" s="87"/>
      <c r="AS633" s="85"/>
      <c r="AT633" s="21"/>
      <c r="AV633" s="3"/>
    </row>
    <row r="634" spans="3:48" x14ac:dyDescent="0.3">
      <c r="C634" s="85"/>
      <c r="D634" s="85"/>
      <c r="E634" s="85"/>
      <c r="F634" s="85"/>
      <c r="G634" s="85"/>
      <c r="H634" s="85"/>
      <c r="I634" s="85"/>
      <c r="J634" s="25"/>
      <c r="K634" s="3"/>
      <c r="L634" s="85"/>
      <c r="M634" s="85"/>
      <c r="N634" s="85"/>
      <c r="O634" s="85"/>
      <c r="P634" s="85"/>
      <c r="Q634" s="85"/>
      <c r="R634" s="85"/>
      <c r="S634" s="1"/>
      <c r="U634" s="1"/>
      <c r="V634" s="1"/>
      <c r="W634" s="1"/>
      <c r="X634" s="1"/>
      <c r="Y634" s="1"/>
      <c r="Z634" s="1"/>
      <c r="AA634" s="1"/>
      <c r="AB634" s="1"/>
      <c r="AD634" s="3"/>
      <c r="AM634" s="86"/>
      <c r="AN634" s="87"/>
      <c r="AO634" s="87"/>
      <c r="AP634" s="87"/>
      <c r="AQ634" s="87"/>
      <c r="AR634" s="87"/>
      <c r="AS634" s="85"/>
      <c r="AT634" s="21"/>
      <c r="AV634" s="3"/>
    </row>
    <row r="635" spans="3:48" x14ac:dyDescent="0.3">
      <c r="C635" s="85"/>
      <c r="D635" s="85"/>
      <c r="E635" s="85"/>
      <c r="F635" s="85"/>
      <c r="G635" s="85"/>
      <c r="H635" s="85"/>
      <c r="I635" s="85"/>
      <c r="J635" s="25"/>
      <c r="K635" s="3"/>
      <c r="L635" s="85"/>
      <c r="M635" s="85"/>
      <c r="N635" s="85"/>
      <c r="O635" s="85"/>
      <c r="P635" s="85"/>
      <c r="Q635" s="85"/>
      <c r="R635" s="85"/>
      <c r="S635" s="1"/>
      <c r="U635" s="1"/>
      <c r="V635" s="1"/>
      <c r="W635" s="1"/>
      <c r="X635" s="1"/>
      <c r="Y635" s="1"/>
      <c r="Z635" s="1"/>
      <c r="AA635" s="1"/>
      <c r="AB635" s="1"/>
      <c r="AD635" s="3"/>
      <c r="AM635" s="86"/>
      <c r="AN635" s="87"/>
      <c r="AO635" s="87"/>
      <c r="AP635" s="87"/>
      <c r="AQ635" s="87"/>
      <c r="AR635" s="87"/>
      <c r="AS635" s="85"/>
      <c r="AT635" s="21"/>
      <c r="AV635" s="3"/>
    </row>
    <row r="636" spans="3:48" x14ac:dyDescent="0.3">
      <c r="C636" s="85"/>
      <c r="D636" s="85"/>
      <c r="E636" s="85"/>
      <c r="F636" s="85"/>
      <c r="G636" s="85"/>
      <c r="H636" s="85"/>
      <c r="I636" s="85"/>
      <c r="J636" s="25"/>
      <c r="K636" s="3"/>
      <c r="L636" s="85"/>
      <c r="M636" s="85"/>
      <c r="N636" s="85"/>
      <c r="O636" s="85"/>
      <c r="P636" s="85"/>
      <c r="Q636" s="85"/>
      <c r="R636" s="85"/>
      <c r="S636" s="1"/>
      <c r="U636" s="1"/>
      <c r="V636" s="1"/>
      <c r="W636" s="1"/>
      <c r="X636" s="1"/>
      <c r="Y636" s="1"/>
      <c r="Z636" s="1"/>
      <c r="AA636" s="1"/>
      <c r="AB636" s="1"/>
      <c r="AD636" s="3"/>
      <c r="AM636" s="86"/>
      <c r="AN636" s="87"/>
      <c r="AO636" s="87"/>
      <c r="AP636" s="87"/>
      <c r="AQ636" s="87"/>
      <c r="AR636" s="87"/>
      <c r="AS636" s="85"/>
      <c r="AT636" s="21"/>
      <c r="AV636" s="3"/>
    </row>
    <row r="637" spans="3:48" x14ac:dyDescent="0.3">
      <c r="C637" s="85"/>
      <c r="D637" s="85"/>
      <c r="E637" s="85"/>
      <c r="F637" s="85"/>
      <c r="G637" s="85"/>
      <c r="H637" s="85"/>
      <c r="I637" s="85"/>
      <c r="J637" s="25"/>
      <c r="K637" s="3"/>
      <c r="L637" s="85"/>
      <c r="M637" s="85"/>
      <c r="N637" s="85"/>
      <c r="O637" s="85"/>
      <c r="P637" s="85"/>
      <c r="Q637" s="85"/>
      <c r="R637" s="85"/>
      <c r="S637" s="1"/>
      <c r="U637" s="1"/>
      <c r="V637" s="1"/>
      <c r="W637" s="1"/>
      <c r="X637" s="1"/>
      <c r="Y637" s="1"/>
      <c r="Z637" s="1"/>
      <c r="AA637" s="1"/>
      <c r="AB637" s="1"/>
      <c r="AD637" s="3"/>
      <c r="AM637" s="86"/>
      <c r="AN637" s="87"/>
      <c r="AO637" s="87"/>
      <c r="AP637" s="87"/>
      <c r="AQ637" s="87"/>
      <c r="AR637" s="87"/>
      <c r="AS637" s="85"/>
      <c r="AT637" s="21"/>
      <c r="AV637" s="3"/>
    </row>
    <row r="638" spans="3:48" x14ac:dyDescent="0.3">
      <c r="C638" s="85"/>
      <c r="D638" s="85"/>
      <c r="E638" s="85"/>
      <c r="F638" s="85"/>
      <c r="G638" s="85"/>
      <c r="H638" s="85"/>
      <c r="I638" s="85"/>
      <c r="J638" s="25"/>
      <c r="K638" s="3"/>
      <c r="L638" s="85"/>
      <c r="M638" s="85"/>
      <c r="N638" s="85"/>
      <c r="O638" s="85"/>
      <c r="P638" s="85"/>
      <c r="Q638" s="85"/>
      <c r="R638" s="85"/>
      <c r="S638" s="1"/>
      <c r="U638" s="1"/>
      <c r="V638" s="1"/>
      <c r="W638" s="1"/>
      <c r="X638" s="1"/>
      <c r="Y638" s="1"/>
      <c r="Z638" s="1"/>
      <c r="AA638" s="1"/>
      <c r="AB638" s="1"/>
      <c r="AD638" s="3"/>
      <c r="AM638" s="86"/>
      <c r="AN638" s="87"/>
      <c r="AO638" s="87"/>
      <c r="AP638" s="87"/>
      <c r="AQ638" s="87"/>
      <c r="AR638" s="87"/>
      <c r="AS638" s="85"/>
      <c r="AT638" s="21"/>
      <c r="AV638" s="3"/>
    </row>
    <row r="639" spans="3:48" x14ac:dyDescent="0.3">
      <c r="C639" s="85"/>
      <c r="D639" s="85"/>
      <c r="E639" s="85"/>
      <c r="F639" s="85"/>
      <c r="G639" s="85"/>
      <c r="H639" s="85"/>
      <c r="I639" s="85"/>
      <c r="J639" s="25"/>
      <c r="K639" s="3"/>
      <c r="L639" s="85"/>
      <c r="M639" s="85"/>
      <c r="N639" s="85"/>
      <c r="O639" s="85"/>
      <c r="P639" s="85"/>
      <c r="Q639" s="85"/>
      <c r="R639" s="85"/>
      <c r="S639" s="1"/>
      <c r="U639" s="1"/>
      <c r="V639" s="1"/>
      <c r="W639" s="1"/>
      <c r="X639" s="1"/>
      <c r="Y639" s="1"/>
      <c r="Z639" s="1"/>
      <c r="AA639" s="1"/>
      <c r="AB639" s="1"/>
      <c r="AD639" s="3"/>
      <c r="AM639" s="86"/>
      <c r="AN639" s="87"/>
      <c r="AO639" s="87"/>
      <c r="AP639" s="87"/>
      <c r="AQ639" s="87"/>
      <c r="AR639" s="87"/>
      <c r="AS639" s="85"/>
      <c r="AT639" s="21"/>
      <c r="AV639" s="3"/>
    </row>
    <row r="640" spans="3:48" x14ac:dyDescent="0.3">
      <c r="C640" s="85"/>
      <c r="D640" s="85"/>
      <c r="E640" s="85"/>
      <c r="F640" s="85"/>
      <c r="G640" s="85"/>
      <c r="H640" s="85"/>
      <c r="I640" s="85"/>
      <c r="J640" s="25"/>
      <c r="K640" s="3"/>
      <c r="L640" s="85"/>
      <c r="M640" s="85"/>
      <c r="N640" s="85"/>
      <c r="O640" s="85"/>
      <c r="P640" s="85"/>
      <c r="Q640" s="85"/>
      <c r="R640" s="85"/>
      <c r="S640" s="1"/>
      <c r="U640" s="1"/>
      <c r="V640" s="1"/>
      <c r="W640" s="1"/>
      <c r="X640" s="1"/>
      <c r="Y640" s="1"/>
      <c r="Z640" s="1"/>
      <c r="AA640" s="1"/>
      <c r="AB640" s="1"/>
      <c r="AD640" s="3"/>
      <c r="AM640" s="86"/>
      <c r="AN640" s="87"/>
      <c r="AO640" s="87"/>
      <c r="AP640" s="87"/>
      <c r="AQ640" s="87"/>
      <c r="AR640" s="87"/>
      <c r="AS640" s="85"/>
      <c r="AT640" s="21"/>
      <c r="AV640" s="3"/>
    </row>
    <row r="641" spans="3:48" x14ac:dyDescent="0.3">
      <c r="C641" s="85"/>
      <c r="D641" s="85"/>
      <c r="E641" s="85"/>
      <c r="F641" s="85"/>
      <c r="G641" s="85"/>
      <c r="H641" s="85"/>
      <c r="I641" s="85"/>
      <c r="J641" s="25"/>
      <c r="K641" s="3"/>
      <c r="L641" s="85"/>
      <c r="M641" s="85"/>
      <c r="N641" s="85"/>
      <c r="O641" s="85"/>
      <c r="P641" s="85"/>
      <c r="Q641" s="85"/>
      <c r="R641" s="85"/>
      <c r="S641" s="1"/>
      <c r="U641" s="1"/>
      <c r="V641" s="1"/>
      <c r="W641" s="1"/>
      <c r="X641" s="1"/>
      <c r="Y641" s="1"/>
      <c r="Z641" s="1"/>
      <c r="AA641" s="1"/>
      <c r="AB641" s="1"/>
      <c r="AD641" s="3"/>
      <c r="AM641" s="86"/>
      <c r="AN641" s="87"/>
      <c r="AO641" s="87"/>
      <c r="AP641" s="87"/>
      <c r="AQ641" s="87"/>
      <c r="AR641" s="87"/>
      <c r="AS641" s="85"/>
      <c r="AT641" s="21"/>
      <c r="AV641" s="3"/>
    </row>
    <row r="642" spans="3:48" x14ac:dyDescent="0.3">
      <c r="C642" s="85"/>
      <c r="D642" s="85"/>
      <c r="E642" s="85"/>
      <c r="F642" s="85"/>
      <c r="G642" s="85"/>
      <c r="H642" s="85"/>
      <c r="I642" s="85"/>
      <c r="J642" s="25"/>
      <c r="K642" s="3"/>
      <c r="L642" s="85"/>
      <c r="M642" s="85"/>
      <c r="N642" s="85"/>
      <c r="O642" s="85"/>
      <c r="P642" s="85"/>
      <c r="Q642" s="85"/>
      <c r="R642" s="85"/>
      <c r="S642" s="1"/>
      <c r="U642" s="1"/>
      <c r="V642" s="1"/>
      <c r="W642" s="1"/>
      <c r="X642" s="1"/>
      <c r="Y642" s="1"/>
      <c r="Z642" s="1"/>
      <c r="AA642" s="1"/>
      <c r="AB642" s="1"/>
      <c r="AD642" s="3"/>
      <c r="AM642" s="86"/>
      <c r="AN642" s="87"/>
      <c r="AO642" s="87"/>
      <c r="AP642" s="87"/>
      <c r="AQ642" s="87"/>
      <c r="AR642" s="87"/>
      <c r="AS642" s="85"/>
      <c r="AT642" s="21"/>
      <c r="AV642" s="3"/>
    </row>
    <row r="643" spans="3:48" x14ac:dyDescent="0.3">
      <c r="C643" s="85"/>
      <c r="D643" s="85"/>
      <c r="E643" s="85"/>
      <c r="F643" s="85"/>
      <c r="G643" s="85"/>
      <c r="H643" s="85"/>
      <c r="I643" s="85"/>
      <c r="J643" s="25"/>
      <c r="K643" s="3"/>
      <c r="L643" s="85"/>
      <c r="M643" s="85"/>
      <c r="N643" s="85"/>
      <c r="O643" s="85"/>
      <c r="P643" s="85"/>
      <c r="Q643" s="85"/>
      <c r="R643" s="85"/>
      <c r="S643" s="1"/>
      <c r="U643" s="1"/>
      <c r="V643" s="1"/>
      <c r="W643" s="1"/>
      <c r="X643" s="1"/>
      <c r="Y643" s="1"/>
      <c r="Z643" s="1"/>
      <c r="AA643" s="1"/>
      <c r="AB643" s="1"/>
      <c r="AD643" s="3"/>
      <c r="AM643" s="86"/>
      <c r="AN643" s="87"/>
      <c r="AO643" s="87"/>
      <c r="AP643" s="87"/>
      <c r="AQ643" s="87"/>
      <c r="AR643" s="87"/>
      <c r="AS643" s="85"/>
      <c r="AT643" s="21"/>
      <c r="AV643" s="3"/>
    </row>
    <row r="644" spans="3:48" x14ac:dyDescent="0.3">
      <c r="C644" s="85"/>
      <c r="D644" s="85"/>
      <c r="E644" s="85"/>
      <c r="F644" s="85"/>
      <c r="G644" s="85"/>
      <c r="H644" s="85"/>
      <c r="I644" s="85"/>
      <c r="J644" s="25"/>
      <c r="K644" s="3"/>
      <c r="L644" s="85"/>
      <c r="M644" s="85"/>
      <c r="N644" s="85"/>
      <c r="O644" s="85"/>
      <c r="P644" s="85"/>
      <c r="Q644" s="85"/>
      <c r="R644" s="85"/>
      <c r="S644" s="1"/>
      <c r="U644" s="1"/>
      <c r="V644" s="1"/>
      <c r="W644" s="1"/>
      <c r="X644" s="1"/>
      <c r="Y644" s="1"/>
      <c r="Z644" s="1"/>
      <c r="AA644" s="1"/>
      <c r="AB644" s="1"/>
      <c r="AD644" s="3"/>
      <c r="AM644" s="86"/>
      <c r="AN644" s="87"/>
      <c r="AO644" s="87"/>
      <c r="AP644" s="87"/>
      <c r="AQ644" s="87"/>
      <c r="AR644" s="87"/>
      <c r="AS644" s="85"/>
      <c r="AT644" s="21"/>
      <c r="AV644" s="3"/>
    </row>
    <row r="645" spans="3:48" x14ac:dyDescent="0.3">
      <c r="C645" s="85"/>
      <c r="D645" s="85"/>
      <c r="E645" s="85"/>
      <c r="F645" s="85"/>
      <c r="G645" s="85"/>
      <c r="H645" s="85"/>
      <c r="I645" s="85"/>
      <c r="J645" s="25"/>
      <c r="K645" s="3"/>
      <c r="L645" s="85"/>
      <c r="M645" s="85"/>
      <c r="N645" s="85"/>
      <c r="O645" s="85"/>
      <c r="P645" s="85"/>
      <c r="Q645" s="85"/>
      <c r="R645" s="85"/>
      <c r="S645" s="1"/>
      <c r="U645" s="1"/>
      <c r="V645" s="1"/>
      <c r="W645" s="1"/>
      <c r="X645" s="1"/>
      <c r="Y645" s="1"/>
      <c r="Z645" s="1"/>
      <c r="AA645" s="1"/>
      <c r="AB645" s="1"/>
      <c r="AD645" s="3"/>
      <c r="AM645" s="86"/>
      <c r="AN645" s="87"/>
      <c r="AO645" s="87"/>
      <c r="AP645" s="87"/>
      <c r="AQ645" s="87"/>
      <c r="AR645" s="87"/>
      <c r="AS645" s="85"/>
      <c r="AT645" s="21"/>
      <c r="AV645" s="3"/>
    </row>
    <row r="646" spans="3:48" x14ac:dyDescent="0.3">
      <c r="C646" s="85"/>
      <c r="D646" s="85"/>
      <c r="E646" s="85"/>
      <c r="F646" s="85"/>
      <c r="G646" s="85"/>
      <c r="H646" s="85"/>
      <c r="I646" s="85"/>
      <c r="J646" s="25"/>
      <c r="K646" s="3"/>
      <c r="L646" s="85"/>
      <c r="M646" s="85"/>
      <c r="N646" s="85"/>
      <c r="O646" s="85"/>
      <c r="P646" s="85"/>
      <c r="Q646" s="85"/>
      <c r="R646" s="85"/>
      <c r="S646" s="1"/>
      <c r="U646" s="1"/>
      <c r="V646" s="1"/>
      <c r="W646" s="1"/>
      <c r="X646" s="1"/>
      <c r="Y646" s="1"/>
      <c r="Z646" s="1"/>
      <c r="AA646" s="1"/>
      <c r="AB646" s="1"/>
      <c r="AD646" s="3"/>
      <c r="AM646" s="86"/>
      <c r="AN646" s="87"/>
      <c r="AO646" s="87"/>
      <c r="AP646" s="87"/>
      <c r="AQ646" s="87"/>
      <c r="AR646" s="87"/>
      <c r="AS646" s="85"/>
      <c r="AT646" s="21"/>
      <c r="AV646" s="3"/>
    </row>
    <row r="647" spans="3:48" x14ac:dyDescent="0.3">
      <c r="C647" s="85"/>
      <c r="D647" s="85"/>
      <c r="E647" s="85"/>
      <c r="F647" s="85"/>
      <c r="G647" s="85"/>
      <c r="H647" s="85"/>
      <c r="I647" s="85"/>
      <c r="J647" s="25"/>
      <c r="K647" s="3"/>
      <c r="L647" s="85"/>
      <c r="M647" s="85"/>
      <c r="N647" s="85"/>
      <c r="O647" s="85"/>
      <c r="P647" s="85"/>
      <c r="Q647" s="85"/>
      <c r="R647" s="85"/>
      <c r="S647" s="1"/>
      <c r="U647" s="1"/>
      <c r="V647" s="1"/>
      <c r="W647" s="1"/>
      <c r="X647" s="1"/>
      <c r="Y647" s="1"/>
      <c r="Z647" s="1"/>
      <c r="AA647" s="1"/>
      <c r="AB647" s="1"/>
      <c r="AD647" s="3"/>
      <c r="AM647" s="86"/>
      <c r="AN647" s="87"/>
      <c r="AO647" s="87"/>
      <c r="AP647" s="87"/>
      <c r="AQ647" s="87"/>
      <c r="AR647" s="87"/>
      <c r="AS647" s="85"/>
      <c r="AT647" s="21"/>
      <c r="AV647" s="3"/>
    </row>
    <row r="648" spans="3:48" x14ac:dyDescent="0.3">
      <c r="C648" s="85"/>
      <c r="D648" s="85"/>
      <c r="E648" s="85"/>
      <c r="F648" s="85"/>
      <c r="G648" s="85"/>
      <c r="H648" s="85"/>
      <c r="I648" s="85"/>
      <c r="J648" s="25"/>
      <c r="K648" s="3"/>
      <c r="L648" s="85"/>
      <c r="M648" s="85"/>
      <c r="N648" s="85"/>
      <c r="O648" s="85"/>
      <c r="P648" s="85"/>
      <c r="Q648" s="85"/>
      <c r="R648" s="85"/>
      <c r="S648" s="1"/>
      <c r="U648" s="1"/>
      <c r="V648" s="1"/>
      <c r="W648" s="1"/>
      <c r="X648" s="1"/>
      <c r="Y648" s="1"/>
      <c r="Z648" s="1"/>
      <c r="AA648" s="1"/>
      <c r="AB648" s="1"/>
      <c r="AD648" s="3"/>
      <c r="AM648" s="86"/>
      <c r="AN648" s="87"/>
      <c r="AO648" s="87"/>
      <c r="AP648" s="87"/>
      <c r="AQ648" s="87"/>
      <c r="AR648" s="87"/>
      <c r="AS648" s="85"/>
      <c r="AT648" s="21"/>
      <c r="AV648" s="3"/>
    </row>
    <row r="649" spans="3:48" x14ac:dyDescent="0.3">
      <c r="C649" s="85"/>
      <c r="D649" s="85"/>
      <c r="E649" s="85"/>
      <c r="F649" s="85"/>
      <c r="G649" s="85"/>
      <c r="H649" s="85"/>
      <c r="I649" s="85"/>
      <c r="J649" s="25"/>
      <c r="K649" s="3"/>
      <c r="L649" s="85"/>
      <c r="M649" s="85"/>
      <c r="N649" s="85"/>
      <c r="O649" s="85"/>
      <c r="P649" s="85"/>
      <c r="Q649" s="85"/>
      <c r="R649" s="85"/>
      <c r="S649" s="1"/>
      <c r="U649" s="1"/>
      <c r="V649" s="1"/>
      <c r="W649" s="1"/>
      <c r="X649" s="1"/>
      <c r="Y649" s="1"/>
      <c r="Z649" s="1"/>
      <c r="AA649" s="1"/>
      <c r="AB649" s="1"/>
      <c r="AD649" s="3"/>
      <c r="AM649" s="86"/>
      <c r="AN649" s="87"/>
      <c r="AO649" s="87"/>
      <c r="AP649" s="87"/>
      <c r="AQ649" s="87"/>
      <c r="AR649" s="87"/>
      <c r="AS649" s="85"/>
      <c r="AT649" s="21"/>
      <c r="AV649" s="3"/>
    </row>
    <row r="650" spans="3:48" x14ac:dyDescent="0.3">
      <c r="C650" s="85"/>
      <c r="D650" s="85"/>
      <c r="E650" s="85"/>
      <c r="F650" s="85"/>
      <c r="G650" s="85"/>
      <c r="H650" s="85"/>
      <c r="I650" s="85"/>
      <c r="J650" s="25"/>
      <c r="K650" s="3"/>
      <c r="L650" s="85"/>
      <c r="M650" s="85"/>
      <c r="N650" s="85"/>
      <c r="O650" s="85"/>
      <c r="P650" s="85"/>
      <c r="Q650" s="85"/>
      <c r="R650" s="85"/>
      <c r="S650" s="1"/>
      <c r="U650" s="1"/>
      <c r="V650" s="1"/>
      <c r="W650" s="1"/>
      <c r="X650" s="1"/>
      <c r="Y650" s="1"/>
      <c r="Z650" s="1"/>
      <c r="AA650" s="1"/>
      <c r="AB650" s="1"/>
      <c r="AD650" s="3"/>
      <c r="AM650" s="86"/>
      <c r="AN650" s="87"/>
      <c r="AO650" s="87"/>
      <c r="AP650" s="87"/>
      <c r="AQ650" s="87"/>
      <c r="AR650" s="87"/>
      <c r="AS650" s="85"/>
      <c r="AT650" s="21"/>
      <c r="AV650" s="3"/>
    </row>
    <row r="651" spans="3:48" x14ac:dyDescent="0.3">
      <c r="C651" s="85"/>
      <c r="D651" s="85"/>
      <c r="E651" s="85"/>
      <c r="F651" s="85"/>
      <c r="G651" s="85"/>
      <c r="H651" s="85"/>
      <c r="I651" s="85"/>
      <c r="J651" s="25"/>
      <c r="K651" s="3"/>
      <c r="L651" s="85"/>
      <c r="M651" s="85"/>
      <c r="N651" s="85"/>
      <c r="O651" s="85"/>
      <c r="P651" s="85"/>
      <c r="Q651" s="85"/>
      <c r="R651" s="85"/>
      <c r="S651" s="1"/>
      <c r="U651" s="1"/>
      <c r="V651" s="1"/>
      <c r="W651" s="1"/>
      <c r="X651" s="1"/>
      <c r="Y651" s="1"/>
      <c r="Z651" s="1"/>
      <c r="AA651" s="1"/>
      <c r="AB651" s="1"/>
      <c r="AD651" s="3"/>
      <c r="AM651" s="86"/>
      <c r="AN651" s="87"/>
      <c r="AO651" s="87"/>
      <c r="AP651" s="87"/>
      <c r="AQ651" s="87"/>
      <c r="AR651" s="87"/>
      <c r="AS651" s="85"/>
      <c r="AT651" s="21"/>
      <c r="AV651" s="3"/>
    </row>
    <row r="652" spans="3:48" x14ac:dyDescent="0.3">
      <c r="C652" s="85"/>
      <c r="D652" s="85"/>
      <c r="E652" s="85"/>
      <c r="F652" s="85"/>
      <c r="G652" s="85"/>
      <c r="H652" s="85"/>
      <c r="I652" s="85"/>
      <c r="J652" s="25"/>
      <c r="K652" s="3"/>
      <c r="L652" s="85"/>
      <c r="M652" s="85"/>
      <c r="N652" s="85"/>
      <c r="O652" s="85"/>
      <c r="P652" s="85"/>
      <c r="Q652" s="85"/>
      <c r="R652" s="85"/>
      <c r="S652" s="1"/>
      <c r="U652" s="1"/>
      <c r="V652" s="1"/>
      <c r="W652" s="1"/>
      <c r="X652" s="1"/>
      <c r="Y652" s="1"/>
      <c r="Z652" s="1"/>
      <c r="AA652" s="1"/>
      <c r="AB652" s="1"/>
      <c r="AD652" s="3"/>
      <c r="AM652" s="86"/>
      <c r="AN652" s="87"/>
      <c r="AO652" s="87"/>
      <c r="AP652" s="87"/>
      <c r="AQ652" s="87"/>
      <c r="AR652" s="87"/>
      <c r="AS652" s="85"/>
      <c r="AT652" s="21"/>
      <c r="AV652" s="3"/>
    </row>
    <row r="653" spans="3:48" x14ac:dyDescent="0.3">
      <c r="C653" s="85"/>
      <c r="D653" s="85"/>
      <c r="E653" s="85"/>
      <c r="F653" s="85"/>
      <c r="G653" s="85"/>
      <c r="H653" s="85"/>
      <c r="I653" s="85"/>
      <c r="J653" s="25"/>
      <c r="K653" s="3"/>
      <c r="L653" s="85"/>
      <c r="M653" s="85"/>
      <c r="N653" s="85"/>
      <c r="O653" s="85"/>
      <c r="P653" s="85"/>
      <c r="Q653" s="85"/>
      <c r="R653" s="85"/>
      <c r="S653" s="1"/>
      <c r="U653" s="1"/>
      <c r="V653" s="1"/>
      <c r="W653" s="1"/>
      <c r="X653" s="1"/>
      <c r="Y653" s="1"/>
      <c r="Z653" s="1"/>
      <c r="AA653" s="1"/>
      <c r="AB653" s="1"/>
      <c r="AD653" s="3"/>
      <c r="AM653" s="86"/>
      <c r="AN653" s="87"/>
      <c r="AO653" s="87"/>
      <c r="AP653" s="87"/>
      <c r="AQ653" s="87"/>
      <c r="AR653" s="87"/>
      <c r="AS653" s="85"/>
      <c r="AT653" s="21"/>
      <c r="AV653" s="3"/>
    </row>
    <row r="654" spans="3:48" x14ac:dyDescent="0.3">
      <c r="C654" s="85"/>
      <c r="D654" s="85"/>
      <c r="E654" s="85"/>
      <c r="F654" s="85"/>
      <c r="G654" s="85"/>
      <c r="H654" s="85"/>
      <c r="I654" s="85"/>
      <c r="J654" s="25"/>
      <c r="K654" s="3"/>
      <c r="L654" s="85"/>
      <c r="M654" s="85"/>
      <c r="N654" s="85"/>
      <c r="O654" s="85"/>
      <c r="P654" s="85"/>
      <c r="Q654" s="85"/>
      <c r="R654" s="85"/>
      <c r="S654" s="1"/>
      <c r="U654" s="1"/>
      <c r="V654" s="1"/>
      <c r="W654" s="1"/>
      <c r="X654" s="1"/>
      <c r="Y654" s="1"/>
      <c r="Z654" s="1"/>
      <c r="AA654" s="1"/>
      <c r="AB654" s="1"/>
      <c r="AD654" s="3"/>
      <c r="AM654" s="86"/>
      <c r="AN654" s="87"/>
      <c r="AO654" s="87"/>
      <c r="AP654" s="87"/>
      <c r="AQ654" s="87"/>
      <c r="AR654" s="87"/>
      <c r="AS654" s="85"/>
      <c r="AT654" s="21"/>
      <c r="AV654" s="3"/>
    </row>
    <row r="655" spans="3:48" x14ac:dyDescent="0.3">
      <c r="C655" s="85"/>
      <c r="D655" s="85"/>
      <c r="E655" s="85"/>
      <c r="F655" s="85"/>
      <c r="G655" s="85"/>
      <c r="H655" s="85"/>
      <c r="I655" s="85"/>
      <c r="J655" s="25"/>
      <c r="K655" s="3"/>
      <c r="L655" s="85"/>
      <c r="M655" s="85"/>
      <c r="N655" s="85"/>
      <c r="O655" s="85"/>
      <c r="P655" s="85"/>
      <c r="Q655" s="85"/>
      <c r="R655" s="85"/>
      <c r="S655" s="1"/>
      <c r="U655" s="1"/>
      <c r="V655" s="1"/>
      <c r="W655" s="1"/>
      <c r="X655" s="1"/>
      <c r="Y655" s="1"/>
      <c r="Z655" s="1"/>
      <c r="AA655" s="1"/>
      <c r="AB655" s="1"/>
      <c r="AD655" s="3"/>
      <c r="AM655" s="86"/>
      <c r="AN655" s="87"/>
      <c r="AO655" s="87"/>
      <c r="AP655" s="87"/>
      <c r="AQ655" s="87"/>
      <c r="AR655" s="87"/>
      <c r="AS655" s="85"/>
      <c r="AT655" s="21"/>
      <c r="AV655" s="3"/>
    </row>
    <row r="656" spans="3:48" x14ac:dyDescent="0.3">
      <c r="C656" s="85"/>
      <c r="D656" s="85"/>
      <c r="E656" s="85"/>
      <c r="F656" s="85"/>
      <c r="G656" s="85"/>
      <c r="H656" s="85"/>
      <c r="I656" s="85"/>
      <c r="J656" s="25"/>
      <c r="K656" s="3"/>
      <c r="L656" s="85"/>
      <c r="M656" s="85"/>
      <c r="N656" s="85"/>
      <c r="O656" s="85"/>
      <c r="P656" s="85"/>
      <c r="Q656" s="85"/>
      <c r="R656" s="85"/>
      <c r="S656" s="1"/>
      <c r="U656" s="1"/>
      <c r="V656" s="1"/>
      <c r="W656" s="1"/>
      <c r="X656" s="1"/>
      <c r="Y656" s="1"/>
      <c r="Z656" s="1"/>
      <c r="AA656" s="1"/>
      <c r="AB656" s="1"/>
      <c r="AD656" s="3"/>
      <c r="AM656" s="86"/>
      <c r="AN656" s="87"/>
      <c r="AO656" s="87"/>
      <c r="AP656" s="87"/>
      <c r="AQ656" s="87"/>
      <c r="AR656" s="87"/>
      <c r="AS656" s="85"/>
      <c r="AT656" s="21"/>
      <c r="AV656" s="3"/>
    </row>
    <row r="657" spans="3:48" x14ac:dyDescent="0.3">
      <c r="C657" s="85"/>
      <c r="D657" s="85"/>
      <c r="E657" s="85"/>
      <c r="F657" s="85"/>
      <c r="G657" s="85"/>
      <c r="H657" s="85"/>
      <c r="I657" s="85"/>
      <c r="J657" s="25"/>
      <c r="K657" s="3"/>
      <c r="L657" s="85"/>
      <c r="M657" s="85"/>
      <c r="N657" s="85"/>
      <c r="O657" s="85"/>
      <c r="P657" s="85"/>
      <c r="Q657" s="85"/>
      <c r="R657" s="85"/>
      <c r="S657" s="1"/>
      <c r="U657" s="1"/>
      <c r="V657" s="1"/>
      <c r="W657" s="1"/>
      <c r="X657" s="1"/>
      <c r="Y657" s="1"/>
      <c r="Z657" s="1"/>
      <c r="AA657" s="1"/>
      <c r="AB657" s="1"/>
      <c r="AD657" s="3"/>
      <c r="AM657" s="86"/>
      <c r="AN657" s="87"/>
      <c r="AO657" s="87"/>
      <c r="AP657" s="87"/>
      <c r="AQ657" s="87"/>
      <c r="AR657" s="87"/>
      <c r="AS657" s="85"/>
      <c r="AT657" s="21"/>
      <c r="AV657" s="3"/>
    </row>
    <row r="658" spans="3:48" x14ac:dyDescent="0.3">
      <c r="C658" s="85"/>
      <c r="D658" s="85"/>
      <c r="E658" s="85"/>
      <c r="F658" s="85"/>
      <c r="G658" s="85"/>
      <c r="H658" s="85"/>
      <c r="I658" s="85"/>
      <c r="J658" s="25"/>
      <c r="K658" s="3"/>
      <c r="L658" s="85"/>
      <c r="M658" s="85"/>
      <c r="N658" s="85"/>
      <c r="O658" s="85"/>
      <c r="P658" s="85"/>
      <c r="Q658" s="85"/>
      <c r="R658" s="85"/>
      <c r="S658" s="1"/>
      <c r="U658" s="1"/>
      <c r="V658" s="1"/>
      <c r="W658" s="1"/>
      <c r="X658" s="1"/>
      <c r="Y658" s="1"/>
      <c r="Z658" s="1"/>
      <c r="AA658" s="1"/>
      <c r="AB658" s="1"/>
      <c r="AD658" s="3"/>
      <c r="AM658" s="86"/>
      <c r="AN658" s="87"/>
      <c r="AO658" s="87"/>
      <c r="AP658" s="87"/>
      <c r="AQ658" s="87"/>
      <c r="AR658" s="87"/>
      <c r="AS658" s="85"/>
      <c r="AT658" s="21"/>
      <c r="AV658" s="3"/>
    </row>
    <row r="659" spans="3:48" x14ac:dyDescent="0.3">
      <c r="C659" s="85"/>
      <c r="D659" s="85"/>
      <c r="E659" s="85"/>
      <c r="F659" s="85"/>
      <c r="G659" s="85"/>
      <c r="H659" s="85"/>
      <c r="I659" s="85"/>
      <c r="J659" s="25"/>
      <c r="K659" s="3"/>
      <c r="L659" s="85"/>
      <c r="M659" s="85"/>
      <c r="N659" s="85"/>
      <c r="O659" s="85"/>
      <c r="P659" s="85"/>
      <c r="Q659" s="85"/>
      <c r="R659" s="85"/>
      <c r="S659" s="1"/>
      <c r="U659" s="1"/>
      <c r="V659" s="1"/>
      <c r="W659" s="1"/>
      <c r="X659" s="1"/>
      <c r="Y659" s="1"/>
      <c r="Z659" s="1"/>
      <c r="AA659" s="1"/>
      <c r="AB659" s="1"/>
      <c r="AD659" s="3"/>
      <c r="AM659" s="86"/>
      <c r="AN659" s="87"/>
      <c r="AO659" s="87"/>
      <c r="AP659" s="87"/>
      <c r="AQ659" s="87"/>
      <c r="AR659" s="87"/>
      <c r="AS659" s="85"/>
      <c r="AT659" s="21"/>
      <c r="AV659" s="3"/>
    </row>
    <row r="660" spans="3:48" x14ac:dyDescent="0.3">
      <c r="C660" s="85"/>
      <c r="D660" s="85"/>
      <c r="E660" s="85"/>
      <c r="F660" s="85"/>
      <c r="G660" s="85"/>
      <c r="H660" s="85"/>
      <c r="I660" s="85"/>
      <c r="J660" s="25"/>
      <c r="K660" s="3"/>
      <c r="L660" s="85"/>
      <c r="M660" s="85"/>
      <c r="N660" s="85"/>
      <c r="O660" s="85"/>
      <c r="P660" s="85"/>
      <c r="Q660" s="85"/>
      <c r="R660" s="85"/>
      <c r="S660" s="1"/>
      <c r="U660" s="1"/>
      <c r="V660" s="1"/>
      <c r="W660" s="1"/>
      <c r="X660" s="1"/>
      <c r="Y660" s="1"/>
      <c r="Z660" s="1"/>
      <c r="AA660" s="1"/>
      <c r="AB660" s="1"/>
      <c r="AD660" s="3"/>
      <c r="AM660" s="86"/>
      <c r="AN660" s="87"/>
      <c r="AO660" s="87"/>
      <c r="AP660" s="87"/>
      <c r="AQ660" s="87"/>
      <c r="AR660" s="87"/>
      <c r="AS660" s="85"/>
      <c r="AT660" s="21"/>
      <c r="AV660" s="3"/>
    </row>
    <row r="661" spans="3:48" x14ac:dyDescent="0.3">
      <c r="C661" s="85"/>
      <c r="D661" s="85"/>
      <c r="E661" s="85"/>
      <c r="F661" s="85"/>
      <c r="G661" s="85"/>
      <c r="H661" s="85"/>
      <c r="I661" s="85"/>
      <c r="J661" s="25"/>
      <c r="K661" s="3"/>
      <c r="L661" s="85"/>
      <c r="M661" s="85"/>
      <c r="N661" s="85"/>
      <c r="O661" s="85"/>
      <c r="P661" s="85"/>
      <c r="Q661" s="85"/>
      <c r="R661" s="85"/>
      <c r="S661" s="1"/>
      <c r="U661" s="1"/>
      <c r="V661" s="1"/>
      <c r="W661" s="1"/>
      <c r="X661" s="1"/>
      <c r="Y661" s="1"/>
      <c r="Z661" s="1"/>
      <c r="AA661" s="1"/>
      <c r="AB661" s="1"/>
      <c r="AD661" s="3"/>
      <c r="AM661" s="86"/>
      <c r="AN661" s="87"/>
      <c r="AO661" s="87"/>
      <c r="AP661" s="87"/>
      <c r="AQ661" s="87"/>
      <c r="AR661" s="87"/>
      <c r="AS661" s="85"/>
      <c r="AT661" s="21"/>
      <c r="AV661" s="3"/>
    </row>
    <row r="662" spans="3:48" x14ac:dyDescent="0.3">
      <c r="C662" s="85"/>
      <c r="D662" s="85"/>
      <c r="E662" s="85"/>
      <c r="F662" s="85"/>
      <c r="G662" s="85"/>
      <c r="H662" s="85"/>
      <c r="I662" s="85"/>
      <c r="J662" s="25"/>
      <c r="K662" s="3"/>
      <c r="L662" s="85"/>
      <c r="M662" s="85"/>
      <c r="N662" s="85"/>
      <c r="O662" s="85"/>
      <c r="P662" s="85"/>
      <c r="Q662" s="85"/>
      <c r="R662" s="85"/>
      <c r="S662" s="1"/>
      <c r="U662" s="1"/>
      <c r="V662" s="1"/>
      <c r="W662" s="1"/>
      <c r="X662" s="1"/>
      <c r="Y662" s="1"/>
      <c r="Z662" s="1"/>
      <c r="AA662" s="1"/>
      <c r="AB662" s="1"/>
      <c r="AD662" s="3"/>
      <c r="AM662" s="86"/>
      <c r="AN662" s="87"/>
      <c r="AO662" s="87"/>
      <c r="AP662" s="87"/>
      <c r="AQ662" s="87"/>
      <c r="AR662" s="87"/>
      <c r="AS662" s="85"/>
      <c r="AT662" s="21"/>
      <c r="AV662" s="3"/>
    </row>
    <row r="663" spans="3:48" x14ac:dyDescent="0.3">
      <c r="C663" s="85"/>
      <c r="D663" s="85"/>
      <c r="E663" s="85"/>
      <c r="F663" s="85"/>
      <c r="G663" s="85"/>
      <c r="H663" s="85"/>
      <c r="I663" s="85"/>
      <c r="J663" s="25"/>
      <c r="K663" s="3"/>
      <c r="L663" s="85"/>
      <c r="M663" s="85"/>
      <c r="N663" s="85"/>
      <c r="O663" s="85"/>
      <c r="P663" s="85"/>
      <c r="Q663" s="85"/>
      <c r="R663" s="85"/>
      <c r="S663" s="1"/>
      <c r="U663" s="1"/>
      <c r="V663" s="1"/>
      <c r="W663" s="1"/>
      <c r="X663" s="1"/>
      <c r="Y663" s="1"/>
      <c r="Z663" s="1"/>
      <c r="AA663" s="1"/>
      <c r="AB663" s="1"/>
      <c r="AD663" s="3"/>
      <c r="AM663" s="86"/>
      <c r="AN663" s="87"/>
      <c r="AO663" s="87"/>
      <c r="AP663" s="87"/>
      <c r="AQ663" s="87"/>
      <c r="AR663" s="87"/>
      <c r="AS663" s="85"/>
      <c r="AT663" s="21"/>
      <c r="AV663" s="3"/>
    </row>
    <row r="664" spans="3:48" x14ac:dyDescent="0.3">
      <c r="C664" s="85"/>
      <c r="D664" s="85"/>
      <c r="E664" s="85"/>
      <c r="F664" s="85"/>
      <c r="G664" s="85"/>
      <c r="H664" s="85"/>
      <c r="I664" s="85"/>
      <c r="J664" s="25"/>
      <c r="K664" s="3"/>
      <c r="L664" s="85"/>
      <c r="M664" s="85"/>
      <c r="N664" s="85"/>
      <c r="O664" s="85"/>
      <c r="P664" s="85"/>
      <c r="Q664" s="85"/>
      <c r="R664" s="85"/>
      <c r="S664" s="1"/>
      <c r="U664" s="1"/>
      <c r="V664" s="1"/>
      <c r="W664" s="1"/>
      <c r="X664" s="1"/>
      <c r="Y664" s="1"/>
      <c r="Z664" s="1"/>
      <c r="AA664" s="1"/>
      <c r="AB664" s="1"/>
      <c r="AD664" s="3"/>
      <c r="AM664" s="86"/>
      <c r="AN664" s="87"/>
      <c r="AO664" s="87"/>
      <c r="AP664" s="87"/>
      <c r="AQ664" s="87"/>
      <c r="AR664" s="87"/>
      <c r="AS664" s="85"/>
      <c r="AT664" s="21"/>
      <c r="AV664" s="3"/>
    </row>
    <row r="665" spans="3:48" x14ac:dyDescent="0.3">
      <c r="C665" s="85"/>
      <c r="D665" s="85"/>
      <c r="E665" s="85"/>
      <c r="F665" s="85"/>
      <c r="G665" s="85"/>
      <c r="H665" s="85"/>
      <c r="I665" s="85"/>
      <c r="J665" s="25"/>
      <c r="K665" s="3"/>
      <c r="L665" s="85"/>
      <c r="M665" s="85"/>
      <c r="N665" s="85"/>
      <c r="O665" s="85"/>
      <c r="P665" s="85"/>
      <c r="Q665" s="85"/>
      <c r="R665" s="85"/>
      <c r="S665" s="1"/>
      <c r="U665" s="1"/>
      <c r="V665" s="1"/>
      <c r="W665" s="1"/>
      <c r="X665" s="1"/>
      <c r="Y665" s="1"/>
      <c r="Z665" s="1"/>
      <c r="AA665" s="1"/>
      <c r="AB665" s="1"/>
      <c r="AD665" s="3"/>
      <c r="AM665" s="86"/>
      <c r="AN665" s="87"/>
      <c r="AO665" s="87"/>
      <c r="AP665" s="87"/>
      <c r="AQ665" s="87"/>
      <c r="AR665" s="87"/>
      <c r="AS665" s="85"/>
      <c r="AT665" s="21"/>
      <c r="AV665" s="3"/>
    </row>
    <row r="666" spans="3:48" x14ac:dyDescent="0.3">
      <c r="C666" s="85"/>
      <c r="D666" s="85"/>
      <c r="E666" s="85"/>
      <c r="F666" s="85"/>
      <c r="G666" s="85"/>
      <c r="H666" s="85"/>
      <c r="I666" s="85"/>
      <c r="J666" s="25"/>
      <c r="K666" s="3"/>
      <c r="L666" s="85"/>
      <c r="M666" s="85"/>
      <c r="N666" s="85"/>
      <c r="O666" s="85"/>
      <c r="P666" s="85"/>
      <c r="Q666" s="85"/>
      <c r="R666" s="85"/>
      <c r="S666" s="1"/>
      <c r="U666" s="1"/>
      <c r="V666" s="1"/>
      <c r="W666" s="1"/>
      <c r="X666" s="1"/>
      <c r="Y666" s="1"/>
      <c r="Z666" s="1"/>
      <c r="AA666" s="1"/>
      <c r="AB666" s="1"/>
      <c r="AD666" s="3"/>
      <c r="AM666" s="86"/>
      <c r="AN666" s="87"/>
      <c r="AO666" s="87"/>
      <c r="AP666" s="87"/>
      <c r="AQ666" s="87"/>
      <c r="AR666" s="87"/>
      <c r="AS666" s="85"/>
      <c r="AT666" s="21"/>
      <c r="AV666" s="3"/>
    </row>
    <row r="667" spans="3:48" x14ac:dyDescent="0.3">
      <c r="C667" s="85"/>
      <c r="D667" s="85"/>
      <c r="E667" s="85"/>
      <c r="F667" s="85"/>
      <c r="G667" s="85"/>
      <c r="H667" s="85"/>
      <c r="I667" s="85"/>
      <c r="J667" s="25"/>
      <c r="K667" s="3"/>
      <c r="L667" s="85"/>
      <c r="M667" s="85"/>
      <c r="N667" s="85"/>
      <c r="O667" s="85"/>
      <c r="P667" s="85"/>
      <c r="Q667" s="85"/>
      <c r="R667" s="85"/>
      <c r="S667" s="1"/>
      <c r="U667" s="1"/>
      <c r="V667" s="1"/>
      <c r="W667" s="1"/>
      <c r="X667" s="1"/>
      <c r="Y667" s="1"/>
      <c r="Z667" s="1"/>
      <c r="AA667" s="1"/>
      <c r="AB667" s="1"/>
      <c r="AD667" s="3"/>
      <c r="AM667" s="86"/>
      <c r="AN667" s="87"/>
      <c r="AO667" s="87"/>
      <c r="AP667" s="87"/>
      <c r="AQ667" s="87"/>
      <c r="AR667" s="87"/>
      <c r="AS667" s="85"/>
      <c r="AT667" s="21"/>
      <c r="AV667" s="3"/>
    </row>
    <row r="668" spans="3:48" x14ac:dyDescent="0.3">
      <c r="C668" s="85"/>
      <c r="D668" s="85"/>
      <c r="E668" s="85"/>
      <c r="F668" s="85"/>
      <c r="G668" s="85"/>
      <c r="H668" s="85"/>
      <c r="I668" s="85"/>
      <c r="J668" s="25"/>
      <c r="K668" s="3"/>
      <c r="L668" s="85"/>
      <c r="M668" s="85"/>
      <c r="N668" s="85"/>
      <c r="O668" s="85"/>
      <c r="P668" s="85"/>
      <c r="Q668" s="85"/>
      <c r="R668" s="85"/>
      <c r="S668" s="1"/>
      <c r="U668" s="1"/>
      <c r="V668" s="1"/>
      <c r="W668" s="1"/>
      <c r="X668" s="1"/>
      <c r="Y668" s="1"/>
      <c r="Z668" s="1"/>
      <c r="AA668" s="1"/>
      <c r="AB668" s="1"/>
      <c r="AD668" s="3"/>
      <c r="AM668" s="86"/>
      <c r="AN668" s="87"/>
      <c r="AO668" s="87"/>
      <c r="AP668" s="87"/>
      <c r="AQ668" s="87"/>
      <c r="AR668" s="87"/>
      <c r="AS668" s="85"/>
      <c r="AT668" s="21"/>
      <c r="AV668" s="3"/>
    </row>
    <row r="669" spans="3:48" x14ac:dyDescent="0.3">
      <c r="C669" s="85"/>
      <c r="D669" s="85"/>
      <c r="E669" s="85"/>
      <c r="F669" s="85"/>
      <c r="G669" s="85"/>
      <c r="H669" s="85"/>
      <c r="I669" s="85"/>
      <c r="J669" s="25"/>
      <c r="K669" s="3"/>
      <c r="L669" s="85"/>
      <c r="M669" s="85"/>
      <c r="N669" s="85"/>
      <c r="O669" s="85"/>
      <c r="P669" s="85"/>
      <c r="Q669" s="85"/>
      <c r="R669" s="85"/>
      <c r="S669" s="1"/>
      <c r="U669" s="1"/>
      <c r="V669" s="1"/>
      <c r="W669" s="1"/>
      <c r="X669" s="1"/>
      <c r="Y669" s="1"/>
      <c r="Z669" s="1"/>
      <c r="AA669" s="1"/>
      <c r="AB669" s="1"/>
      <c r="AD669" s="3"/>
      <c r="AM669" s="86"/>
      <c r="AN669" s="87"/>
      <c r="AO669" s="87"/>
      <c r="AP669" s="87"/>
      <c r="AQ669" s="87"/>
      <c r="AR669" s="87"/>
      <c r="AS669" s="85"/>
      <c r="AT669" s="21"/>
      <c r="AV669" s="3"/>
    </row>
    <row r="670" spans="3:48" x14ac:dyDescent="0.3">
      <c r="C670" s="85"/>
      <c r="D670" s="85"/>
      <c r="E670" s="85"/>
      <c r="F670" s="85"/>
      <c r="G670" s="85"/>
      <c r="H670" s="85"/>
      <c r="I670" s="85"/>
      <c r="J670" s="25"/>
      <c r="K670" s="3"/>
      <c r="L670" s="85"/>
      <c r="M670" s="85"/>
      <c r="N670" s="85"/>
      <c r="O670" s="85"/>
      <c r="P670" s="85"/>
      <c r="Q670" s="85"/>
      <c r="R670" s="85"/>
      <c r="S670" s="1"/>
      <c r="U670" s="1"/>
      <c r="V670" s="1"/>
      <c r="W670" s="1"/>
      <c r="X670" s="1"/>
      <c r="Y670" s="1"/>
      <c r="Z670" s="1"/>
      <c r="AA670" s="1"/>
      <c r="AB670" s="1"/>
      <c r="AD670" s="3"/>
      <c r="AM670" s="86"/>
      <c r="AN670" s="87"/>
      <c r="AO670" s="87"/>
      <c r="AP670" s="87"/>
      <c r="AQ670" s="87"/>
      <c r="AR670" s="87"/>
      <c r="AS670" s="85"/>
      <c r="AT670" s="21"/>
      <c r="AV670" s="3"/>
    </row>
    <row r="671" spans="3:48" x14ac:dyDescent="0.3">
      <c r="C671" s="85"/>
      <c r="D671" s="85"/>
      <c r="E671" s="85"/>
      <c r="F671" s="85"/>
      <c r="G671" s="85"/>
      <c r="H671" s="85"/>
      <c r="I671" s="85"/>
      <c r="J671" s="25"/>
      <c r="K671" s="3"/>
      <c r="L671" s="85"/>
      <c r="M671" s="85"/>
      <c r="N671" s="85"/>
      <c r="O671" s="85"/>
      <c r="P671" s="85"/>
      <c r="Q671" s="85"/>
      <c r="R671" s="85"/>
      <c r="S671" s="1"/>
      <c r="U671" s="1"/>
      <c r="V671" s="1"/>
      <c r="W671" s="1"/>
      <c r="X671" s="1"/>
      <c r="Y671" s="1"/>
      <c r="Z671" s="1"/>
      <c r="AA671" s="1"/>
      <c r="AB671" s="1"/>
      <c r="AD671" s="3"/>
      <c r="AM671" s="86"/>
      <c r="AN671" s="87"/>
      <c r="AO671" s="87"/>
      <c r="AP671" s="87"/>
      <c r="AQ671" s="87"/>
      <c r="AR671" s="87"/>
      <c r="AS671" s="85"/>
      <c r="AT671" s="21"/>
      <c r="AV671" s="3"/>
    </row>
    <row r="672" spans="3:48" x14ac:dyDescent="0.3">
      <c r="C672" s="85"/>
      <c r="D672" s="85"/>
      <c r="E672" s="85"/>
      <c r="F672" s="85"/>
      <c r="G672" s="85"/>
      <c r="H672" s="85"/>
      <c r="I672" s="85"/>
      <c r="J672" s="25"/>
      <c r="K672" s="3"/>
      <c r="L672" s="85"/>
      <c r="M672" s="85"/>
      <c r="N672" s="85"/>
      <c r="O672" s="85"/>
      <c r="P672" s="85"/>
      <c r="Q672" s="85"/>
      <c r="R672" s="85"/>
      <c r="S672" s="1"/>
      <c r="U672" s="1"/>
      <c r="V672" s="1"/>
      <c r="W672" s="1"/>
      <c r="X672" s="1"/>
      <c r="Y672" s="1"/>
      <c r="Z672" s="1"/>
      <c r="AA672" s="1"/>
      <c r="AB672" s="1"/>
      <c r="AD672" s="3"/>
      <c r="AM672" s="86"/>
      <c r="AN672" s="87"/>
      <c r="AO672" s="87"/>
      <c r="AP672" s="87"/>
      <c r="AQ672" s="87"/>
      <c r="AR672" s="87"/>
      <c r="AS672" s="85"/>
      <c r="AT672" s="21"/>
      <c r="AV672" s="3"/>
    </row>
    <row r="673" spans="3:48" x14ac:dyDescent="0.3">
      <c r="C673" s="85"/>
      <c r="D673" s="85"/>
      <c r="E673" s="85"/>
      <c r="F673" s="85"/>
      <c r="G673" s="85"/>
      <c r="H673" s="85"/>
      <c r="I673" s="85"/>
      <c r="J673" s="25"/>
      <c r="K673" s="3"/>
      <c r="L673" s="85"/>
      <c r="M673" s="85"/>
      <c r="N673" s="85"/>
      <c r="O673" s="85"/>
      <c r="P673" s="85"/>
      <c r="Q673" s="85"/>
      <c r="R673" s="85"/>
      <c r="S673" s="1"/>
      <c r="U673" s="1"/>
      <c r="V673" s="1"/>
      <c r="W673" s="1"/>
      <c r="X673" s="1"/>
      <c r="Y673" s="1"/>
      <c r="Z673" s="1"/>
      <c r="AA673" s="1"/>
      <c r="AB673" s="1"/>
      <c r="AD673" s="3"/>
      <c r="AM673" s="86"/>
      <c r="AN673" s="87"/>
      <c r="AO673" s="87"/>
      <c r="AP673" s="87"/>
      <c r="AQ673" s="87"/>
      <c r="AR673" s="87"/>
      <c r="AS673" s="85"/>
      <c r="AT673" s="21"/>
      <c r="AV673" s="3"/>
    </row>
    <row r="674" spans="3:48" x14ac:dyDescent="0.3">
      <c r="C674" s="85"/>
      <c r="D674" s="85"/>
      <c r="E674" s="85"/>
      <c r="F674" s="85"/>
      <c r="G674" s="85"/>
      <c r="H674" s="85"/>
      <c r="I674" s="85"/>
      <c r="J674" s="25"/>
      <c r="K674" s="3"/>
      <c r="L674" s="85"/>
      <c r="M674" s="85"/>
      <c r="N674" s="85"/>
      <c r="O674" s="85"/>
      <c r="P674" s="85"/>
      <c r="Q674" s="85"/>
      <c r="R674" s="85"/>
      <c r="S674" s="1"/>
      <c r="U674" s="1"/>
      <c r="V674" s="1"/>
      <c r="W674" s="1"/>
      <c r="X674" s="1"/>
      <c r="Y674" s="1"/>
      <c r="Z674" s="1"/>
      <c r="AA674" s="1"/>
      <c r="AB674" s="1"/>
      <c r="AD674" s="3"/>
      <c r="AM674" s="86"/>
      <c r="AN674" s="87"/>
      <c r="AO674" s="87"/>
      <c r="AP674" s="87"/>
      <c r="AQ674" s="87"/>
      <c r="AR674" s="87"/>
      <c r="AS674" s="85"/>
      <c r="AT674" s="21"/>
      <c r="AV674" s="3"/>
    </row>
    <row r="675" spans="3:48" x14ac:dyDescent="0.3">
      <c r="C675" s="85"/>
      <c r="D675" s="85"/>
      <c r="E675" s="85"/>
      <c r="F675" s="85"/>
      <c r="G675" s="85"/>
      <c r="H675" s="85"/>
      <c r="I675" s="85"/>
      <c r="J675" s="25"/>
      <c r="K675" s="3"/>
      <c r="L675" s="85"/>
      <c r="M675" s="85"/>
      <c r="N675" s="85"/>
      <c r="O675" s="85"/>
      <c r="P675" s="85"/>
      <c r="Q675" s="85"/>
      <c r="R675" s="85"/>
      <c r="S675" s="1"/>
      <c r="U675" s="1"/>
      <c r="V675" s="1"/>
      <c r="W675" s="1"/>
      <c r="X675" s="1"/>
      <c r="Y675" s="1"/>
      <c r="Z675" s="1"/>
      <c r="AA675" s="1"/>
      <c r="AB675" s="1"/>
      <c r="AD675" s="3"/>
      <c r="AM675" s="86"/>
      <c r="AN675" s="87"/>
      <c r="AO675" s="87"/>
      <c r="AP675" s="87"/>
      <c r="AQ675" s="87"/>
      <c r="AR675" s="87"/>
      <c r="AS675" s="85"/>
      <c r="AT675" s="21"/>
      <c r="AV675" s="3"/>
    </row>
    <row r="676" spans="3:48" x14ac:dyDescent="0.3">
      <c r="C676" s="85"/>
      <c r="D676" s="85"/>
      <c r="E676" s="85"/>
      <c r="F676" s="85"/>
      <c r="G676" s="85"/>
      <c r="H676" s="85"/>
      <c r="I676" s="85"/>
      <c r="J676" s="25"/>
      <c r="K676" s="3"/>
      <c r="L676" s="85"/>
      <c r="M676" s="85"/>
      <c r="N676" s="85"/>
      <c r="O676" s="85"/>
      <c r="P676" s="85"/>
      <c r="Q676" s="85"/>
      <c r="R676" s="85"/>
      <c r="S676" s="1"/>
      <c r="U676" s="1"/>
      <c r="V676" s="1"/>
      <c r="W676" s="1"/>
      <c r="X676" s="1"/>
      <c r="Y676" s="1"/>
      <c r="Z676" s="1"/>
      <c r="AA676" s="1"/>
      <c r="AB676" s="1"/>
      <c r="AD676" s="3"/>
      <c r="AM676" s="86"/>
      <c r="AN676" s="87"/>
      <c r="AO676" s="87"/>
      <c r="AP676" s="87"/>
      <c r="AQ676" s="87"/>
      <c r="AR676" s="87"/>
      <c r="AS676" s="85"/>
      <c r="AT676" s="21"/>
      <c r="AV676" s="3"/>
    </row>
    <row r="677" spans="3:48" x14ac:dyDescent="0.3">
      <c r="C677" s="85"/>
      <c r="D677" s="85"/>
      <c r="E677" s="85"/>
      <c r="F677" s="85"/>
      <c r="G677" s="85"/>
      <c r="H677" s="85"/>
      <c r="I677" s="85"/>
      <c r="J677" s="25"/>
      <c r="K677" s="3"/>
      <c r="L677" s="85"/>
      <c r="M677" s="85"/>
      <c r="N677" s="85"/>
      <c r="O677" s="85"/>
      <c r="P677" s="85"/>
      <c r="Q677" s="85"/>
      <c r="R677" s="85"/>
      <c r="S677" s="1"/>
      <c r="U677" s="1"/>
      <c r="V677" s="1"/>
      <c r="W677" s="1"/>
      <c r="X677" s="1"/>
      <c r="Y677" s="1"/>
      <c r="Z677" s="1"/>
      <c r="AA677" s="1"/>
      <c r="AB677" s="1"/>
      <c r="AD677" s="3"/>
      <c r="AM677" s="86"/>
      <c r="AN677" s="87"/>
      <c r="AO677" s="87"/>
      <c r="AP677" s="87"/>
      <c r="AQ677" s="87"/>
      <c r="AR677" s="87"/>
      <c r="AS677" s="85"/>
      <c r="AT677" s="21"/>
      <c r="AV677" s="3"/>
    </row>
    <row r="678" spans="3:48" x14ac:dyDescent="0.3">
      <c r="C678" s="85"/>
      <c r="D678" s="85"/>
      <c r="E678" s="85"/>
      <c r="F678" s="85"/>
      <c r="G678" s="85"/>
      <c r="H678" s="85"/>
      <c r="I678" s="85"/>
      <c r="J678" s="25"/>
      <c r="K678" s="3"/>
      <c r="L678" s="85"/>
      <c r="M678" s="85"/>
      <c r="N678" s="85"/>
      <c r="O678" s="85"/>
      <c r="P678" s="85"/>
      <c r="Q678" s="85"/>
      <c r="R678" s="85"/>
      <c r="S678" s="1"/>
      <c r="U678" s="1"/>
      <c r="V678" s="1"/>
      <c r="W678" s="1"/>
      <c r="X678" s="1"/>
      <c r="Y678" s="1"/>
      <c r="Z678" s="1"/>
      <c r="AA678" s="1"/>
      <c r="AB678" s="1"/>
      <c r="AD678" s="3"/>
      <c r="AM678" s="86"/>
      <c r="AN678" s="87"/>
      <c r="AO678" s="87"/>
      <c r="AP678" s="87"/>
      <c r="AQ678" s="87"/>
      <c r="AR678" s="87"/>
      <c r="AS678" s="85"/>
      <c r="AT678" s="21"/>
      <c r="AV678" s="3"/>
    </row>
    <row r="679" spans="3:48" x14ac:dyDescent="0.3">
      <c r="C679" s="85"/>
      <c r="D679" s="85"/>
      <c r="E679" s="85"/>
      <c r="F679" s="85"/>
      <c r="G679" s="85"/>
      <c r="H679" s="85"/>
      <c r="I679" s="85"/>
      <c r="J679" s="25"/>
      <c r="K679" s="3"/>
      <c r="L679" s="85"/>
      <c r="M679" s="85"/>
      <c r="N679" s="85"/>
      <c r="O679" s="85"/>
      <c r="P679" s="85"/>
      <c r="Q679" s="85"/>
      <c r="R679" s="85"/>
      <c r="S679" s="1"/>
      <c r="U679" s="1"/>
      <c r="V679" s="1"/>
      <c r="W679" s="1"/>
      <c r="X679" s="1"/>
      <c r="Y679" s="1"/>
      <c r="Z679" s="1"/>
      <c r="AA679" s="1"/>
      <c r="AB679" s="1"/>
      <c r="AD679" s="3"/>
      <c r="AM679" s="86"/>
      <c r="AN679" s="87"/>
      <c r="AO679" s="87"/>
      <c r="AP679" s="87"/>
      <c r="AQ679" s="87"/>
      <c r="AR679" s="87"/>
      <c r="AS679" s="85"/>
      <c r="AT679" s="21"/>
      <c r="AV679" s="3"/>
    </row>
    <row r="680" spans="3:48" x14ac:dyDescent="0.3">
      <c r="C680" s="85"/>
      <c r="D680" s="85"/>
      <c r="E680" s="85"/>
      <c r="F680" s="85"/>
      <c r="G680" s="85"/>
      <c r="H680" s="85"/>
      <c r="I680" s="85"/>
      <c r="J680" s="25"/>
      <c r="K680" s="3"/>
      <c r="L680" s="85"/>
      <c r="M680" s="85"/>
      <c r="N680" s="85"/>
      <c r="O680" s="85"/>
      <c r="P680" s="85"/>
      <c r="Q680" s="85"/>
      <c r="R680" s="85"/>
      <c r="S680" s="1"/>
      <c r="U680" s="1"/>
      <c r="V680" s="1"/>
      <c r="W680" s="1"/>
      <c r="X680" s="1"/>
      <c r="Y680" s="1"/>
      <c r="Z680" s="1"/>
      <c r="AA680" s="1"/>
      <c r="AB680" s="1"/>
      <c r="AD680" s="3"/>
      <c r="AM680" s="86"/>
      <c r="AN680" s="87"/>
      <c r="AO680" s="87"/>
      <c r="AP680" s="87"/>
      <c r="AQ680" s="87"/>
      <c r="AR680" s="87"/>
      <c r="AS680" s="85"/>
      <c r="AT680" s="21"/>
      <c r="AV680" s="3"/>
    </row>
    <row r="681" spans="3:48" x14ac:dyDescent="0.3">
      <c r="C681" s="85"/>
      <c r="D681" s="85"/>
      <c r="E681" s="85"/>
      <c r="F681" s="85"/>
      <c r="G681" s="85"/>
      <c r="H681" s="85"/>
      <c r="I681" s="85"/>
      <c r="J681" s="25"/>
      <c r="K681" s="3"/>
      <c r="L681" s="85"/>
      <c r="M681" s="85"/>
      <c r="N681" s="85"/>
      <c r="O681" s="85"/>
      <c r="P681" s="85"/>
      <c r="Q681" s="85"/>
      <c r="R681" s="85"/>
      <c r="S681" s="1"/>
      <c r="U681" s="1"/>
      <c r="V681" s="1"/>
      <c r="W681" s="1"/>
      <c r="X681" s="1"/>
      <c r="Y681" s="1"/>
      <c r="Z681" s="1"/>
      <c r="AA681" s="1"/>
      <c r="AB681" s="1"/>
      <c r="AD681" s="3"/>
      <c r="AM681" s="86"/>
      <c r="AN681" s="87"/>
      <c r="AO681" s="87"/>
      <c r="AP681" s="87"/>
      <c r="AQ681" s="87"/>
      <c r="AR681" s="87"/>
      <c r="AS681" s="85"/>
      <c r="AT681" s="21"/>
      <c r="AV681" s="3"/>
    </row>
    <row r="682" spans="3:48" x14ac:dyDescent="0.3">
      <c r="C682" s="85"/>
      <c r="D682" s="85"/>
      <c r="E682" s="85"/>
      <c r="F682" s="85"/>
      <c r="G682" s="85"/>
      <c r="H682" s="85"/>
      <c r="I682" s="85"/>
      <c r="J682" s="25"/>
      <c r="K682" s="3"/>
      <c r="L682" s="85"/>
      <c r="M682" s="85"/>
      <c r="N682" s="85"/>
      <c r="O682" s="85"/>
      <c r="P682" s="85"/>
      <c r="Q682" s="85"/>
      <c r="R682" s="85"/>
      <c r="S682" s="1"/>
      <c r="U682" s="1"/>
      <c r="V682" s="1"/>
      <c r="W682" s="1"/>
      <c r="X682" s="1"/>
      <c r="Y682" s="1"/>
      <c r="Z682" s="1"/>
      <c r="AA682" s="1"/>
      <c r="AB682" s="1"/>
      <c r="AD682" s="3"/>
      <c r="AM682" s="86"/>
      <c r="AN682" s="87"/>
      <c r="AO682" s="87"/>
      <c r="AP682" s="87"/>
      <c r="AQ682" s="87"/>
      <c r="AR682" s="87"/>
      <c r="AS682" s="85"/>
      <c r="AT682" s="21"/>
      <c r="AV682" s="3"/>
    </row>
    <row r="683" spans="3:48" x14ac:dyDescent="0.3">
      <c r="C683" s="85"/>
      <c r="D683" s="85"/>
      <c r="E683" s="85"/>
      <c r="F683" s="85"/>
      <c r="G683" s="85"/>
      <c r="H683" s="85"/>
      <c r="I683" s="85"/>
      <c r="J683" s="25"/>
      <c r="K683" s="3"/>
      <c r="L683" s="85"/>
      <c r="M683" s="85"/>
      <c r="N683" s="85"/>
      <c r="O683" s="85"/>
      <c r="P683" s="85"/>
      <c r="Q683" s="85"/>
      <c r="R683" s="85"/>
      <c r="S683" s="1"/>
      <c r="U683" s="1"/>
      <c r="V683" s="1"/>
      <c r="W683" s="1"/>
      <c r="X683" s="1"/>
      <c r="Y683" s="1"/>
      <c r="Z683" s="1"/>
      <c r="AA683" s="1"/>
      <c r="AB683" s="1"/>
      <c r="AD683" s="3"/>
      <c r="AM683" s="86"/>
      <c r="AN683" s="87"/>
      <c r="AO683" s="87"/>
      <c r="AP683" s="87"/>
      <c r="AQ683" s="87"/>
      <c r="AR683" s="87"/>
      <c r="AS683" s="85"/>
      <c r="AT683" s="21"/>
      <c r="AV683" s="3"/>
    </row>
    <row r="684" spans="3:48" x14ac:dyDescent="0.3">
      <c r="C684" s="85"/>
      <c r="D684" s="85"/>
      <c r="E684" s="85"/>
      <c r="F684" s="85"/>
      <c r="G684" s="85"/>
      <c r="H684" s="85"/>
      <c r="I684" s="85"/>
      <c r="J684" s="25"/>
      <c r="K684" s="3"/>
      <c r="L684" s="85"/>
      <c r="M684" s="85"/>
      <c r="N684" s="85"/>
      <c r="O684" s="85"/>
      <c r="P684" s="85"/>
      <c r="Q684" s="85"/>
      <c r="R684" s="85"/>
      <c r="S684" s="1"/>
      <c r="U684" s="1"/>
      <c r="V684" s="1"/>
      <c r="W684" s="1"/>
      <c r="X684" s="1"/>
      <c r="Y684" s="1"/>
      <c r="Z684" s="1"/>
      <c r="AA684" s="1"/>
      <c r="AB684" s="1"/>
      <c r="AD684" s="3"/>
      <c r="AM684" s="86"/>
      <c r="AN684" s="87"/>
      <c r="AO684" s="87"/>
      <c r="AP684" s="87"/>
      <c r="AQ684" s="87"/>
      <c r="AR684" s="87"/>
      <c r="AS684" s="85"/>
      <c r="AT684" s="21"/>
      <c r="AV684" s="3"/>
    </row>
    <row r="685" spans="3:48" x14ac:dyDescent="0.3">
      <c r="C685" s="85"/>
      <c r="D685" s="85"/>
      <c r="E685" s="85"/>
      <c r="F685" s="85"/>
      <c r="G685" s="85"/>
      <c r="H685" s="85"/>
      <c r="I685" s="85"/>
      <c r="J685" s="25"/>
      <c r="K685" s="3"/>
      <c r="L685" s="85"/>
      <c r="M685" s="85"/>
      <c r="N685" s="85"/>
      <c r="O685" s="85"/>
      <c r="P685" s="85"/>
      <c r="Q685" s="85"/>
      <c r="R685" s="85"/>
      <c r="S685" s="1"/>
      <c r="U685" s="1"/>
      <c r="V685" s="1"/>
      <c r="W685" s="1"/>
      <c r="X685" s="1"/>
      <c r="Y685" s="1"/>
      <c r="Z685" s="1"/>
      <c r="AA685" s="1"/>
      <c r="AB685" s="1"/>
      <c r="AD685" s="3"/>
      <c r="AM685" s="86"/>
      <c r="AN685" s="87"/>
      <c r="AO685" s="87"/>
      <c r="AP685" s="87"/>
      <c r="AQ685" s="87"/>
      <c r="AR685" s="87"/>
      <c r="AS685" s="85"/>
      <c r="AT685" s="21"/>
      <c r="AV685" s="3"/>
    </row>
    <row r="686" spans="3:48" x14ac:dyDescent="0.3">
      <c r="C686" s="85"/>
      <c r="D686" s="85"/>
      <c r="E686" s="85"/>
      <c r="F686" s="85"/>
      <c r="G686" s="85"/>
      <c r="H686" s="85"/>
      <c r="I686" s="85"/>
      <c r="J686" s="25"/>
      <c r="K686" s="3"/>
      <c r="L686" s="85"/>
      <c r="M686" s="85"/>
      <c r="N686" s="85"/>
      <c r="O686" s="85"/>
      <c r="P686" s="85"/>
      <c r="Q686" s="85"/>
      <c r="R686" s="85"/>
      <c r="S686" s="1"/>
      <c r="U686" s="1"/>
      <c r="V686" s="1"/>
      <c r="W686" s="1"/>
      <c r="X686" s="1"/>
      <c r="Y686" s="1"/>
      <c r="Z686" s="1"/>
      <c r="AA686" s="1"/>
      <c r="AB686" s="1"/>
      <c r="AD686" s="3"/>
      <c r="AM686" s="86"/>
      <c r="AN686" s="87"/>
      <c r="AO686" s="87"/>
      <c r="AP686" s="87"/>
      <c r="AQ686" s="87"/>
      <c r="AR686" s="87"/>
      <c r="AS686" s="85"/>
      <c r="AT686" s="21"/>
      <c r="AV686" s="3"/>
    </row>
    <row r="687" spans="3:48" x14ac:dyDescent="0.3">
      <c r="C687" s="85"/>
      <c r="D687" s="85"/>
      <c r="E687" s="85"/>
      <c r="F687" s="85"/>
      <c r="G687" s="85"/>
      <c r="H687" s="85"/>
      <c r="I687" s="85"/>
      <c r="J687" s="25"/>
      <c r="K687" s="3"/>
      <c r="L687" s="85"/>
      <c r="M687" s="85"/>
      <c r="N687" s="85"/>
      <c r="O687" s="85"/>
      <c r="P687" s="85"/>
      <c r="Q687" s="85"/>
      <c r="R687" s="85"/>
      <c r="S687" s="1"/>
      <c r="U687" s="1"/>
      <c r="V687" s="1"/>
      <c r="W687" s="1"/>
      <c r="X687" s="1"/>
      <c r="Y687" s="1"/>
      <c r="Z687" s="1"/>
      <c r="AA687" s="1"/>
      <c r="AB687" s="1"/>
      <c r="AD687" s="3"/>
      <c r="AM687" s="86"/>
      <c r="AN687" s="87"/>
      <c r="AO687" s="87"/>
      <c r="AP687" s="87"/>
      <c r="AQ687" s="87"/>
      <c r="AR687" s="87"/>
      <c r="AS687" s="85"/>
      <c r="AT687" s="21"/>
      <c r="AV687" s="3"/>
    </row>
    <row r="688" spans="3:48" x14ac:dyDescent="0.3">
      <c r="C688" s="85"/>
      <c r="D688" s="85"/>
      <c r="E688" s="85"/>
      <c r="F688" s="85"/>
      <c r="G688" s="85"/>
      <c r="H688" s="85"/>
      <c r="I688" s="85"/>
      <c r="J688" s="25"/>
      <c r="K688" s="3"/>
      <c r="L688" s="85"/>
      <c r="M688" s="85"/>
      <c r="N688" s="85"/>
      <c r="O688" s="85"/>
      <c r="P688" s="85"/>
      <c r="Q688" s="85"/>
      <c r="R688" s="85"/>
      <c r="S688" s="1"/>
      <c r="U688" s="1"/>
      <c r="V688" s="1"/>
      <c r="W688" s="1"/>
      <c r="X688" s="1"/>
      <c r="Y688" s="1"/>
      <c r="Z688" s="1"/>
      <c r="AA688" s="1"/>
      <c r="AB688" s="1"/>
      <c r="AD688" s="3"/>
      <c r="AM688" s="86"/>
      <c r="AN688" s="87"/>
      <c r="AO688" s="87"/>
      <c r="AP688" s="87"/>
      <c r="AQ688" s="87"/>
      <c r="AR688" s="87"/>
      <c r="AS688" s="85"/>
      <c r="AT688" s="21"/>
      <c r="AV688" s="3"/>
    </row>
    <row r="689" spans="3:48" x14ac:dyDescent="0.3">
      <c r="C689" s="85"/>
      <c r="D689" s="85"/>
      <c r="E689" s="85"/>
      <c r="F689" s="85"/>
      <c r="G689" s="85"/>
      <c r="H689" s="85"/>
      <c r="I689" s="85"/>
      <c r="J689" s="25"/>
      <c r="K689" s="3"/>
      <c r="L689" s="85"/>
      <c r="M689" s="85"/>
      <c r="N689" s="85"/>
      <c r="O689" s="85"/>
      <c r="P689" s="85"/>
      <c r="Q689" s="85"/>
      <c r="R689" s="85"/>
      <c r="S689" s="1"/>
      <c r="U689" s="1"/>
      <c r="V689" s="1"/>
      <c r="W689" s="1"/>
      <c r="X689" s="1"/>
      <c r="Y689" s="1"/>
      <c r="Z689" s="1"/>
      <c r="AA689" s="1"/>
      <c r="AB689" s="1"/>
      <c r="AD689" s="3"/>
      <c r="AM689" s="86"/>
      <c r="AN689" s="87"/>
      <c r="AO689" s="87"/>
      <c r="AP689" s="87"/>
      <c r="AQ689" s="87"/>
      <c r="AR689" s="87"/>
      <c r="AS689" s="85"/>
      <c r="AT689" s="21"/>
      <c r="AV689" s="3"/>
    </row>
    <row r="690" spans="3:48" x14ac:dyDescent="0.3">
      <c r="C690" s="85"/>
      <c r="D690" s="85"/>
      <c r="E690" s="85"/>
      <c r="F690" s="85"/>
      <c r="G690" s="85"/>
      <c r="H690" s="85"/>
      <c r="I690" s="85"/>
      <c r="J690" s="25"/>
      <c r="K690" s="3"/>
      <c r="L690" s="85"/>
      <c r="M690" s="85"/>
      <c r="N690" s="85"/>
      <c r="O690" s="85"/>
      <c r="P690" s="85"/>
      <c r="Q690" s="85"/>
      <c r="R690" s="85"/>
      <c r="S690" s="1"/>
      <c r="U690" s="1"/>
      <c r="V690" s="1"/>
      <c r="W690" s="1"/>
      <c r="X690" s="1"/>
      <c r="Y690" s="1"/>
      <c r="Z690" s="1"/>
      <c r="AA690" s="1"/>
      <c r="AB690" s="1"/>
      <c r="AD690" s="3"/>
      <c r="AM690" s="86"/>
      <c r="AN690" s="87"/>
      <c r="AO690" s="87"/>
      <c r="AP690" s="87"/>
      <c r="AQ690" s="87"/>
      <c r="AR690" s="87"/>
      <c r="AS690" s="85"/>
      <c r="AT690" s="21"/>
      <c r="AV690" s="3"/>
    </row>
    <row r="691" spans="3:48" x14ac:dyDescent="0.3">
      <c r="C691" s="85"/>
      <c r="D691" s="85"/>
      <c r="E691" s="85"/>
      <c r="F691" s="85"/>
      <c r="G691" s="85"/>
      <c r="H691" s="85"/>
      <c r="I691" s="85"/>
      <c r="J691" s="25"/>
      <c r="K691" s="3"/>
      <c r="L691" s="85"/>
      <c r="M691" s="85"/>
      <c r="N691" s="85"/>
      <c r="O691" s="85"/>
      <c r="P691" s="85"/>
      <c r="Q691" s="85"/>
      <c r="R691" s="85"/>
      <c r="S691" s="1"/>
      <c r="U691" s="1"/>
      <c r="V691" s="1"/>
      <c r="W691" s="1"/>
      <c r="X691" s="1"/>
      <c r="Y691" s="1"/>
      <c r="Z691" s="1"/>
      <c r="AA691" s="1"/>
      <c r="AB691" s="1"/>
      <c r="AD691" s="3"/>
      <c r="AM691" s="86"/>
      <c r="AN691" s="87"/>
      <c r="AO691" s="87"/>
      <c r="AP691" s="87"/>
      <c r="AQ691" s="87"/>
      <c r="AR691" s="87"/>
      <c r="AS691" s="85"/>
      <c r="AT691" s="21"/>
      <c r="AV691" s="3"/>
    </row>
    <row r="692" spans="3:48" x14ac:dyDescent="0.3">
      <c r="C692" s="85"/>
      <c r="D692" s="85"/>
      <c r="E692" s="85"/>
      <c r="F692" s="85"/>
      <c r="G692" s="85"/>
      <c r="H692" s="85"/>
      <c r="I692" s="85"/>
      <c r="J692" s="25"/>
      <c r="K692" s="3"/>
      <c r="L692" s="85"/>
      <c r="M692" s="85"/>
      <c r="N692" s="85"/>
      <c r="O692" s="85"/>
      <c r="P692" s="85"/>
      <c r="Q692" s="85"/>
      <c r="R692" s="85"/>
      <c r="S692" s="1"/>
      <c r="U692" s="1"/>
      <c r="V692" s="1"/>
      <c r="W692" s="1"/>
      <c r="X692" s="1"/>
      <c r="Y692" s="1"/>
      <c r="Z692" s="1"/>
      <c r="AA692" s="1"/>
      <c r="AB692" s="1"/>
      <c r="AD692" s="3"/>
      <c r="AM692" s="86"/>
      <c r="AN692" s="87"/>
      <c r="AO692" s="87"/>
      <c r="AP692" s="87"/>
      <c r="AQ692" s="87"/>
      <c r="AR692" s="87"/>
      <c r="AS692" s="85"/>
      <c r="AT692" s="21"/>
      <c r="AV692" s="3"/>
    </row>
    <row r="693" spans="3:48" x14ac:dyDescent="0.3">
      <c r="C693" s="85"/>
      <c r="D693" s="85"/>
      <c r="E693" s="85"/>
      <c r="F693" s="85"/>
      <c r="G693" s="85"/>
      <c r="H693" s="85"/>
      <c r="I693" s="85"/>
      <c r="J693" s="25"/>
      <c r="K693" s="3"/>
      <c r="L693" s="85"/>
      <c r="M693" s="85"/>
      <c r="N693" s="85"/>
      <c r="O693" s="85"/>
      <c r="P693" s="85"/>
      <c r="Q693" s="85"/>
      <c r="R693" s="85"/>
      <c r="S693" s="1"/>
      <c r="U693" s="1"/>
      <c r="V693" s="1"/>
      <c r="W693" s="1"/>
      <c r="X693" s="1"/>
      <c r="Y693" s="1"/>
      <c r="Z693" s="1"/>
      <c r="AA693" s="1"/>
      <c r="AB693" s="1"/>
      <c r="AD693" s="3"/>
      <c r="AM693" s="86"/>
      <c r="AN693" s="87"/>
      <c r="AO693" s="87"/>
      <c r="AP693" s="87"/>
      <c r="AQ693" s="87"/>
      <c r="AR693" s="87"/>
      <c r="AS693" s="85"/>
      <c r="AT693" s="21"/>
      <c r="AV693" s="3"/>
    </row>
    <row r="694" spans="3:48" x14ac:dyDescent="0.3">
      <c r="C694" s="85"/>
      <c r="D694" s="85"/>
      <c r="E694" s="85"/>
      <c r="F694" s="85"/>
      <c r="G694" s="85"/>
      <c r="H694" s="85"/>
      <c r="I694" s="85"/>
      <c r="J694" s="25"/>
      <c r="K694" s="3"/>
      <c r="L694" s="85"/>
      <c r="M694" s="85"/>
      <c r="N694" s="85"/>
      <c r="O694" s="85"/>
      <c r="P694" s="85"/>
      <c r="Q694" s="85"/>
      <c r="R694" s="85"/>
      <c r="S694" s="1"/>
      <c r="U694" s="1"/>
      <c r="V694" s="1"/>
      <c r="W694" s="1"/>
      <c r="X694" s="1"/>
      <c r="Y694" s="1"/>
      <c r="Z694" s="1"/>
      <c r="AA694" s="1"/>
      <c r="AB694" s="1"/>
      <c r="AD694" s="3"/>
      <c r="AM694" s="86"/>
      <c r="AN694" s="87"/>
      <c r="AO694" s="87"/>
      <c r="AP694" s="87"/>
      <c r="AQ694" s="87"/>
      <c r="AR694" s="87"/>
      <c r="AS694" s="85"/>
      <c r="AT694" s="21"/>
      <c r="AV694" s="3"/>
    </row>
    <row r="695" spans="3:48" x14ac:dyDescent="0.3">
      <c r="C695" s="85"/>
      <c r="D695" s="85"/>
      <c r="E695" s="85"/>
      <c r="F695" s="85"/>
      <c r="G695" s="85"/>
      <c r="H695" s="85"/>
      <c r="I695" s="85"/>
      <c r="J695" s="25"/>
      <c r="K695" s="3"/>
      <c r="L695" s="85"/>
      <c r="M695" s="85"/>
      <c r="N695" s="85"/>
      <c r="O695" s="85"/>
      <c r="P695" s="85"/>
      <c r="Q695" s="85"/>
      <c r="R695" s="85"/>
      <c r="S695" s="1"/>
      <c r="U695" s="1"/>
      <c r="V695" s="1"/>
      <c r="W695" s="1"/>
      <c r="X695" s="1"/>
      <c r="Y695" s="1"/>
      <c r="Z695" s="1"/>
      <c r="AA695" s="1"/>
      <c r="AB695" s="1"/>
      <c r="AD695" s="3"/>
      <c r="AM695" s="86"/>
      <c r="AN695" s="87"/>
      <c r="AO695" s="87"/>
      <c r="AP695" s="87"/>
      <c r="AQ695" s="87"/>
      <c r="AR695" s="87"/>
      <c r="AS695" s="85"/>
      <c r="AT695" s="21"/>
      <c r="AV695" s="3"/>
    </row>
    <row r="696" spans="3:48" x14ac:dyDescent="0.3">
      <c r="C696" s="85"/>
      <c r="D696" s="85"/>
      <c r="E696" s="85"/>
      <c r="F696" s="85"/>
      <c r="G696" s="85"/>
      <c r="H696" s="85"/>
      <c r="I696" s="85"/>
      <c r="J696" s="25"/>
      <c r="K696" s="3"/>
      <c r="L696" s="85"/>
      <c r="M696" s="85"/>
      <c r="N696" s="85"/>
      <c r="O696" s="85"/>
      <c r="P696" s="85"/>
      <c r="Q696" s="85"/>
      <c r="R696" s="85"/>
      <c r="S696" s="1"/>
      <c r="U696" s="1"/>
      <c r="V696" s="1"/>
      <c r="W696" s="1"/>
      <c r="X696" s="1"/>
      <c r="Y696" s="1"/>
      <c r="Z696" s="1"/>
      <c r="AA696" s="1"/>
      <c r="AB696" s="1"/>
      <c r="AD696" s="3"/>
      <c r="AM696" s="86"/>
      <c r="AN696" s="87"/>
      <c r="AO696" s="87"/>
      <c r="AP696" s="87"/>
      <c r="AQ696" s="87"/>
      <c r="AR696" s="87"/>
      <c r="AS696" s="85"/>
      <c r="AT696" s="21"/>
      <c r="AV696" s="3"/>
    </row>
    <row r="697" spans="3:48" x14ac:dyDescent="0.3">
      <c r="C697" s="85"/>
      <c r="D697" s="85"/>
      <c r="E697" s="85"/>
      <c r="F697" s="85"/>
      <c r="G697" s="85"/>
      <c r="H697" s="85"/>
      <c r="I697" s="85"/>
      <c r="J697" s="25"/>
      <c r="K697" s="3"/>
      <c r="L697" s="85"/>
      <c r="M697" s="85"/>
      <c r="N697" s="85"/>
      <c r="O697" s="85"/>
      <c r="P697" s="85"/>
      <c r="Q697" s="85"/>
      <c r="R697" s="85"/>
      <c r="S697" s="1"/>
      <c r="U697" s="1"/>
      <c r="V697" s="1"/>
      <c r="W697" s="1"/>
      <c r="X697" s="1"/>
      <c r="Y697" s="1"/>
      <c r="Z697" s="1"/>
      <c r="AA697" s="1"/>
      <c r="AB697" s="1"/>
      <c r="AD697" s="3"/>
      <c r="AM697" s="86"/>
      <c r="AN697" s="87"/>
      <c r="AO697" s="87"/>
      <c r="AP697" s="87"/>
      <c r="AQ697" s="87"/>
      <c r="AR697" s="87"/>
      <c r="AS697" s="85"/>
      <c r="AT697" s="21"/>
      <c r="AV697" s="3"/>
    </row>
    <row r="698" spans="3:48" x14ac:dyDescent="0.3">
      <c r="C698" s="85"/>
      <c r="D698" s="85"/>
      <c r="E698" s="85"/>
      <c r="F698" s="85"/>
      <c r="G698" s="85"/>
      <c r="H698" s="85"/>
      <c r="I698" s="85"/>
      <c r="J698" s="25"/>
      <c r="K698" s="3"/>
      <c r="L698" s="85"/>
      <c r="M698" s="85"/>
      <c r="N698" s="85"/>
      <c r="O698" s="85"/>
      <c r="P698" s="85"/>
      <c r="Q698" s="85"/>
      <c r="R698" s="85"/>
      <c r="S698" s="1"/>
      <c r="U698" s="1"/>
      <c r="V698" s="1"/>
      <c r="W698" s="1"/>
      <c r="X698" s="1"/>
      <c r="Y698" s="1"/>
      <c r="Z698" s="1"/>
      <c r="AA698" s="1"/>
      <c r="AB698" s="1"/>
      <c r="AD698" s="3"/>
      <c r="AM698" s="86"/>
      <c r="AN698" s="87"/>
      <c r="AO698" s="87"/>
      <c r="AP698" s="87"/>
      <c r="AQ698" s="87"/>
      <c r="AR698" s="87"/>
      <c r="AS698" s="85"/>
      <c r="AT698" s="21"/>
      <c r="AV698" s="3"/>
    </row>
    <row r="699" spans="3:48" x14ac:dyDescent="0.3">
      <c r="C699" s="85"/>
      <c r="D699" s="85"/>
      <c r="E699" s="85"/>
      <c r="F699" s="85"/>
      <c r="G699" s="85"/>
      <c r="H699" s="85"/>
      <c r="I699" s="85"/>
      <c r="J699" s="25"/>
      <c r="K699" s="3"/>
      <c r="L699" s="85"/>
      <c r="M699" s="85"/>
      <c r="N699" s="85"/>
      <c r="O699" s="85"/>
      <c r="P699" s="85"/>
      <c r="Q699" s="85"/>
      <c r="R699" s="85"/>
      <c r="S699" s="1"/>
      <c r="U699" s="1"/>
      <c r="V699" s="1"/>
      <c r="W699" s="1"/>
      <c r="X699" s="1"/>
      <c r="Y699" s="1"/>
      <c r="Z699" s="1"/>
      <c r="AA699" s="1"/>
      <c r="AB699" s="1"/>
      <c r="AD699" s="3"/>
      <c r="AM699" s="86"/>
      <c r="AN699" s="87"/>
      <c r="AO699" s="87"/>
      <c r="AP699" s="87"/>
      <c r="AQ699" s="87"/>
      <c r="AR699" s="87"/>
      <c r="AS699" s="85"/>
      <c r="AT699" s="21"/>
      <c r="AV699" s="3"/>
    </row>
    <row r="700" spans="3:48" x14ac:dyDescent="0.3">
      <c r="C700" s="85"/>
      <c r="D700" s="85"/>
      <c r="E700" s="85"/>
      <c r="F700" s="85"/>
      <c r="G700" s="85"/>
      <c r="H700" s="85"/>
      <c r="I700" s="85"/>
      <c r="J700" s="25"/>
      <c r="K700" s="3"/>
      <c r="L700" s="85"/>
      <c r="M700" s="85"/>
      <c r="N700" s="85"/>
      <c r="O700" s="85"/>
      <c r="P700" s="85"/>
      <c r="Q700" s="85"/>
      <c r="R700" s="85"/>
      <c r="S700" s="1"/>
      <c r="U700" s="1"/>
      <c r="V700" s="1"/>
      <c r="W700" s="1"/>
      <c r="X700" s="1"/>
      <c r="Y700" s="1"/>
      <c r="Z700" s="1"/>
      <c r="AA700" s="1"/>
      <c r="AB700" s="1"/>
      <c r="AD700" s="3"/>
      <c r="AM700" s="86"/>
      <c r="AN700" s="87"/>
      <c r="AO700" s="87"/>
      <c r="AP700" s="87"/>
      <c r="AQ700" s="87"/>
      <c r="AR700" s="87"/>
      <c r="AS700" s="85"/>
      <c r="AT700" s="21"/>
      <c r="AV700" s="3"/>
    </row>
    <row r="701" spans="3:48" x14ac:dyDescent="0.3">
      <c r="C701" s="85"/>
      <c r="D701" s="85"/>
      <c r="E701" s="85"/>
      <c r="F701" s="85"/>
      <c r="G701" s="85"/>
      <c r="H701" s="85"/>
      <c r="I701" s="85"/>
      <c r="J701" s="25"/>
      <c r="K701" s="3"/>
      <c r="L701" s="85"/>
      <c r="M701" s="85"/>
      <c r="N701" s="85"/>
      <c r="O701" s="85"/>
      <c r="P701" s="85"/>
      <c r="Q701" s="85"/>
      <c r="R701" s="85"/>
      <c r="S701" s="1"/>
      <c r="U701" s="1"/>
      <c r="V701" s="1"/>
      <c r="W701" s="1"/>
      <c r="X701" s="1"/>
      <c r="Y701" s="1"/>
      <c r="Z701" s="1"/>
      <c r="AA701" s="1"/>
      <c r="AB701" s="1"/>
      <c r="AD701" s="3"/>
      <c r="AM701" s="86"/>
      <c r="AN701" s="87"/>
      <c r="AO701" s="87"/>
      <c r="AP701" s="87"/>
      <c r="AQ701" s="87"/>
      <c r="AR701" s="87"/>
      <c r="AS701" s="85"/>
      <c r="AT701" s="21"/>
      <c r="AV701" s="3"/>
    </row>
    <row r="702" spans="3:48" x14ac:dyDescent="0.3">
      <c r="C702" s="85"/>
      <c r="D702" s="85"/>
      <c r="E702" s="85"/>
      <c r="F702" s="85"/>
      <c r="G702" s="85"/>
      <c r="H702" s="85"/>
      <c r="I702" s="85"/>
      <c r="J702" s="25"/>
      <c r="K702" s="3"/>
      <c r="L702" s="85"/>
      <c r="M702" s="85"/>
      <c r="N702" s="85"/>
      <c r="O702" s="85"/>
      <c r="P702" s="85"/>
      <c r="Q702" s="85"/>
      <c r="R702" s="85"/>
      <c r="S702" s="1"/>
      <c r="U702" s="1"/>
      <c r="V702" s="1"/>
      <c r="W702" s="1"/>
      <c r="X702" s="1"/>
      <c r="Y702" s="1"/>
      <c r="Z702" s="1"/>
      <c r="AA702" s="1"/>
      <c r="AB702" s="1"/>
      <c r="AE702" s="1"/>
      <c r="AF702" s="1"/>
      <c r="AG702" s="1"/>
      <c r="AH702" s="1"/>
      <c r="AI702" s="1"/>
      <c r="AJ702" s="1"/>
      <c r="AK702" s="3"/>
      <c r="AL702" s="3"/>
      <c r="AM702" s="21"/>
      <c r="AN702" s="1"/>
      <c r="AO702" s="1"/>
      <c r="AP702" s="1"/>
      <c r="AQ702" s="1"/>
      <c r="AR702" s="1"/>
      <c r="AS702" s="21"/>
      <c r="AT702" s="25"/>
    </row>
    <row r="703" spans="3:48" x14ac:dyDescent="0.3">
      <c r="C703" s="85"/>
      <c r="D703" s="85"/>
      <c r="E703" s="85"/>
      <c r="F703" s="85"/>
      <c r="G703" s="85"/>
      <c r="H703" s="85"/>
      <c r="I703" s="85"/>
      <c r="J703" s="25"/>
      <c r="K703" s="3"/>
      <c r="L703" s="85"/>
      <c r="M703" s="85"/>
      <c r="N703" s="85"/>
      <c r="O703" s="85"/>
      <c r="P703" s="85"/>
      <c r="Q703" s="85"/>
      <c r="R703" s="85"/>
      <c r="S703" s="1"/>
      <c r="U703" s="1"/>
      <c r="V703" s="1"/>
      <c r="W703" s="1"/>
      <c r="X703" s="1"/>
      <c r="Y703" s="1"/>
      <c r="Z703" s="1"/>
      <c r="AA703" s="1"/>
      <c r="AB703" s="1"/>
      <c r="AE703" s="1"/>
      <c r="AF703" s="1"/>
      <c r="AG703" s="1"/>
      <c r="AH703" s="1"/>
      <c r="AI703" s="1"/>
      <c r="AJ703" s="1"/>
      <c r="AK703" s="3"/>
      <c r="AL703" s="3"/>
      <c r="AM703" s="21"/>
      <c r="AN703" s="1"/>
      <c r="AO703" s="1"/>
      <c r="AP703" s="1"/>
      <c r="AQ703" s="1"/>
      <c r="AR703" s="1"/>
      <c r="AS703" s="21"/>
      <c r="AT703" s="25"/>
    </row>
    <row r="704" spans="3:48" x14ac:dyDescent="0.3">
      <c r="C704" s="85"/>
      <c r="D704" s="85"/>
      <c r="E704" s="85"/>
      <c r="F704" s="85"/>
      <c r="G704" s="85"/>
      <c r="H704" s="85"/>
      <c r="I704" s="85"/>
      <c r="J704" s="25"/>
      <c r="K704" s="3"/>
      <c r="L704" s="85"/>
      <c r="M704" s="85"/>
      <c r="N704" s="85"/>
      <c r="O704" s="85"/>
      <c r="P704" s="85"/>
      <c r="Q704" s="85"/>
      <c r="R704" s="85"/>
      <c r="S704" s="1"/>
      <c r="U704" s="1"/>
      <c r="V704" s="1"/>
      <c r="W704" s="1"/>
      <c r="X704" s="1"/>
      <c r="Y704" s="1"/>
      <c r="Z704" s="1"/>
      <c r="AA704" s="1"/>
      <c r="AB704" s="1"/>
      <c r="AE704" s="1"/>
      <c r="AF704" s="1"/>
      <c r="AG704" s="1"/>
      <c r="AH704" s="1"/>
      <c r="AI704" s="1"/>
      <c r="AJ704" s="1"/>
      <c r="AK704" s="3"/>
      <c r="AL704" s="3"/>
      <c r="AM704" s="21"/>
      <c r="AN704" s="1"/>
      <c r="AO704" s="1"/>
      <c r="AP704" s="1"/>
      <c r="AQ704" s="1"/>
      <c r="AR704" s="1"/>
      <c r="AS704" s="21"/>
      <c r="AT704" s="25"/>
    </row>
    <row r="705" spans="3:46" x14ac:dyDescent="0.3">
      <c r="C705" s="85"/>
      <c r="D705" s="85"/>
      <c r="E705" s="85"/>
      <c r="F705" s="85"/>
      <c r="G705" s="85"/>
      <c r="H705" s="85"/>
      <c r="I705" s="85"/>
      <c r="J705" s="25"/>
      <c r="K705" s="3"/>
      <c r="L705" s="85"/>
      <c r="M705" s="85"/>
      <c r="N705" s="85"/>
      <c r="O705" s="85"/>
      <c r="P705" s="85"/>
      <c r="Q705" s="85"/>
      <c r="R705" s="85"/>
      <c r="S705" s="1"/>
      <c r="U705" s="1"/>
      <c r="V705" s="1"/>
      <c r="W705" s="1"/>
      <c r="X705" s="1"/>
      <c r="Y705" s="1"/>
      <c r="Z705" s="1"/>
      <c r="AA705" s="1"/>
      <c r="AB705" s="1"/>
      <c r="AE705" s="1"/>
      <c r="AF705" s="1"/>
      <c r="AG705" s="1"/>
      <c r="AH705" s="1"/>
      <c r="AI705" s="1"/>
      <c r="AJ705" s="1"/>
      <c r="AK705" s="3"/>
      <c r="AL705" s="3"/>
      <c r="AM705" s="21"/>
      <c r="AN705" s="1"/>
      <c r="AO705" s="1"/>
      <c r="AP705" s="1"/>
      <c r="AQ705" s="1"/>
      <c r="AR705" s="1"/>
      <c r="AS705" s="21"/>
      <c r="AT705" s="25"/>
    </row>
    <row r="706" spans="3:46" x14ac:dyDescent="0.3">
      <c r="C706" s="85"/>
      <c r="D706" s="85"/>
      <c r="E706" s="85"/>
      <c r="F706" s="85"/>
      <c r="G706" s="85"/>
      <c r="H706" s="85"/>
      <c r="I706" s="85"/>
      <c r="J706" s="25"/>
      <c r="K706" s="3"/>
      <c r="L706" s="85"/>
      <c r="M706" s="85"/>
      <c r="N706" s="85"/>
      <c r="O706" s="85"/>
      <c r="P706" s="85"/>
      <c r="Q706" s="85"/>
      <c r="R706" s="85"/>
      <c r="S706" s="1"/>
      <c r="U706" s="1"/>
      <c r="V706" s="1"/>
      <c r="W706" s="1"/>
      <c r="X706" s="1"/>
      <c r="Y706" s="1"/>
      <c r="Z706" s="1"/>
      <c r="AA706" s="1"/>
      <c r="AB706" s="1"/>
      <c r="AE706" s="1"/>
      <c r="AF706" s="1"/>
      <c r="AG706" s="1"/>
      <c r="AH706" s="1"/>
      <c r="AI706" s="1"/>
      <c r="AJ706" s="1"/>
      <c r="AK706" s="3"/>
      <c r="AL706" s="3"/>
      <c r="AM706" s="21"/>
      <c r="AN706" s="1"/>
      <c r="AO706" s="1"/>
      <c r="AP706" s="1"/>
      <c r="AQ706" s="1"/>
      <c r="AR706" s="1"/>
      <c r="AS706" s="21"/>
      <c r="AT706" s="25"/>
    </row>
    <row r="707" spans="3:46" x14ac:dyDescent="0.3">
      <c r="C707" s="85"/>
      <c r="D707" s="85"/>
      <c r="E707" s="85"/>
      <c r="F707" s="85"/>
      <c r="G707" s="85"/>
      <c r="H707" s="85"/>
      <c r="I707" s="85"/>
      <c r="J707" s="25"/>
      <c r="K707" s="3"/>
      <c r="L707" s="85"/>
      <c r="M707" s="85"/>
      <c r="N707" s="85"/>
      <c r="O707" s="85"/>
      <c r="P707" s="85"/>
      <c r="Q707" s="85"/>
      <c r="R707" s="85"/>
      <c r="S707" s="1"/>
      <c r="U707" s="1"/>
      <c r="V707" s="1"/>
      <c r="W707" s="1"/>
      <c r="X707" s="1"/>
      <c r="Y707" s="1"/>
      <c r="Z707" s="1"/>
      <c r="AA707" s="1"/>
      <c r="AB707" s="1"/>
      <c r="AE707" s="1"/>
      <c r="AF707" s="1"/>
      <c r="AG707" s="1"/>
      <c r="AH707" s="1"/>
      <c r="AI707" s="1"/>
      <c r="AJ707" s="1"/>
      <c r="AK707" s="3"/>
      <c r="AL707" s="3"/>
      <c r="AM707" s="21"/>
      <c r="AN707" s="1"/>
      <c r="AO707" s="1"/>
      <c r="AP707" s="1"/>
      <c r="AQ707" s="1"/>
      <c r="AR707" s="1"/>
      <c r="AS707" s="21"/>
      <c r="AT707" s="25"/>
    </row>
    <row r="708" spans="3:46" x14ac:dyDescent="0.3">
      <c r="C708" s="85"/>
      <c r="D708" s="85"/>
      <c r="E708" s="85"/>
      <c r="F708" s="85"/>
      <c r="G708" s="85"/>
      <c r="H708" s="85"/>
      <c r="I708" s="85"/>
      <c r="J708" s="25"/>
      <c r="K708" s="3"/>
      <c r="L708" s="85"/>
      <c r="M708" s="85"/>
      <c r="N708" s="85"/>
      <c r="O708" s="85"/>
      <c r="P708" s="85"/>
      <c r="Q708" s="85"/>
      <c r="R708" s="85"/>
      <c r="S708" s="1"/>
      <c r="U708" s="1"/>
      <c r="V708" s="1"/>
      <c r="W708" s="1"/>
      <c r="X708" s="1"/>
      <c r="Y708" s="1"/>
      <c r="Z708" s="1"/>
      <c r="AA708" s="1"/>
      <c r="AB708" s="1"/>
      <c r="AE708" s="1"/>
      <c r="AF708" s="1"/>
      <c r="AG708" s="1"/>
      <c r="AH708" s="1"/>
      <c r="AI708" s="1"/>
      <c r="AJ708" s="1"/>
      <c r="AK708" s="3"/>
      <c r="AL708" s="3"/>
      <c r="AM708" s="21"/>
      <c r="AN708" s="1"/>
      <c r="AO708" s="1"/>
      <c r="AP708" s="1"/>
      <c r="AQ708" s="1"/>
      <c r="AR708" s="1"/>
      <c r="AS708" s="21"/>
      <c r="AT708" s="25"/>
    </row>
    <row r="709" spans="3:46" x14ac:dyDescent="0.3">
      <c r="C709" s="85"/>
      <c r="D709" s="85"/>
      <c r="E709" s="85"/>
      <c r="F709" s="85"/>
      <c r="G709" s="85"/>
      <c r="H709" s="85"/>
      <c r="I709" s="85"/>
      <c r="J709" s="25"/>
      <c r="K709" s="3"/>
      <c r="L709" s="85"/>
      <c r="M709" s="85"/>
      <c r="N709" s="85"/>
      <c r="O709" s="85"/>
      <c r="P709" s="85"/>
      <c r="Q709" s="85"/>
      <c r="R709" s="85"/>
      <c r="S709" s="1"/>
      <c r="U709" s="1"/>
      <c r="V709" s="1"/>
      <c r="W709" s="1"/>
      <c r="X709" s="1"/>
      <c r="Y709" s="1"/>
      <c r="Z709" s="1"/>
      <c r="AA709" s="1"/>
      <c r="AB709" s="1"/>
      <c r="AE709" s="1"/>
      <c r="AF709" s="1"/>
      <c r="AG709" s="1"/>
      <c r="AH709" s="1"/>
      <c r="AI709" s="1"/>
      <c r="AJ709" s="1"/>
      <c r="AK709" s="3"/>
      <c r="AL709" s="3"/>
      <c r="AM709" s="21"/>
      <c r="AN709" s="1"/>
      <c r="AO709" s="1"/>
      <c r="AP709" s="1"/>
      <c r="AQ709" s="1"/>
      <c r="AR709" s="1"/>
      <c r="AS709" s="21"/>
      <c r="AT709" s="25"/>
    </row>
    <row r="710" spans="3:46" x14ac:dyDescent="0.3">
      <c r="C710" s="85"/>
      <c r="D710" s="85"/>
      <c r="E710" s="85"/>
      <c r="F710" s="85"/>
      <c r="G710" s="85"/>
      <c r="H710" s="85"/>
      <c r="I710" s="85"/>
      <c r="J710" s="25"/>
      <c r="K710" s="3"/>
      <c r="L710" s="85"/>
      <c r="M710" s="85"/>
      <c r="N710" s="85"/>
      <c r="O710" s="85"/>
      <c r="P710" s="85"/>
      <c r="Q710" s="85"/>
      <c r="R710" s="85"/>
      <c r="S710" s="1"/>
      <c r="U710" s="1"/>
      <c r="V710" s="1"/>
      <c r="W710" s="1"/>
      <c r="X710" s="1"/>
      <c r="Y710" s="1"/>
      <c r="Z710" s="1"/>
      <c r="AA710" s="1"/>
      <c r="AB710" s="1"/>
      <c r="AE710" s="1"/>
      <c r="AF710" s="1"/>
      <c r="AG710" s="1"/>
      <c r="AH710" s="1"/>
      <c r="AI710" s="1"/>
      <c r="AJ710" s="1"/>
      <c r="AK710" s="3"/>
      <c r="AL710" s="3"/>
      <c r="AM710" s="21"/>
      <c r="AN710" s="1"/>
      <c r="AO710" s="1"/>
      <c r="AP710" s="1"/>
      <c r="AQ710" s="1"/>
      <c r="AR710" s="1"/>
      <c r="AS710" s="21"/>
      <c r="AT710" s="25"/>
    </row>
    <row r="711" spans="3:46" x14ac:dyDescent="0.3">
      <c r="C711" s="85"/>
      <c r="D711" s="85"/>
      <c r="E711" s="85"/>
      <c r="F711" s="85"/>
      <c r="G711" s="85"/>
      <c r="H711" s="85"/>
      <c r="I711" s="85"/>
      <c r="J711" s="25"/>
      <c r="K711" s="3"/>
      <c r="L711" s="85"/>
      <c r="M711" s="85"/>
      <c r="N711" s="85"/>
      <c r="O711" s="85"/>
      <c r="P711" s="85"/>
      <c r="Q711" s="85"/>
      <c r="R711" s="85"/>
      <c r="S711" s="1"/>
      <c r="U711" s="1"/>
      <c r="V711" s="1"/>
      <c r="W711" s="1"/>
      <c r="X711" s="1"/>
      <c r="Y711" s="1"/>
      <c r="Z711" s="1"/>
      <c r="AA711" s="1"/>
      <c r="AB711" s="1"/>
      <c r="AE711" s="1"/>
      <c r="AF711" s="1"/>
      <c r="AG711" s="1"/>
      <c r="AH711" s="1"/>
      <c r="AI711" s="1"/>
      <c r="AJ711" s="1"/>
      <c r="AK711" s="3"/>
      <c r="AL711" s="3"/>
      <c r="AM711" s="21"/>
      <c r="AN711" s="1"/>
      <c r="AO711" s="1"/>
      <c r="AP711" s="1"/>
      <c r="AQ711" s="1"/>
      <c r="AR711" s="1"/>
      <c r="AS711" s="21"/>
      <c r="AT711" s="25"/>
    </row>
    <row r="712" spans="3:46" x14ac:dyDescent="0.3">
      <c r="C712" s="85"/>
      <c r="D712" s="85"/>
      <c r="E712" s="85"/>
      <c r="F712" s="85"/>
      <c r="G712" s="85"/>
      <c r="H712" s="85"/>
      <c r="I712" s="85"/>
      <c r="J712" s="25"/>
      <c r="K712" s="3"/>
      <c r="L712" s="85"/>
      <c r="M712" s="85"/>
      <c r="N712" s="85"/>
      <c r="O712" s="85"/>
      <c r="P712" s="85"/>
      <c r="Q712" s="85"/>
      <c r="R712" s="85"/>
      <c r="S712" s="1"/>
      <c r="U712" s="1"/>
      <c r="V712" s="1"/>
      <c r="W712" s="1"/>
      <c r="X712" s="1"/>
      <c r="Y712" s="1"/>
      <c r="Z712" s="1"/>
      <c r="AA712" s="1"/>
      <c r="AB712" s="1"/>
      <c r="AE712" s="1"/>
      <c r="AF712" s="1"/>
      <c r="AG712" s="1"/>
      <c r="AH712" s="1"/>
      <c r="AI712" s="1"/>
      <c r="AJ712" s="1"/>
      <c r="AK712" s="3"/>
      <c r="AL712" s="3"/>
      <c r="AM712" s="21"/>
      <c r="AN712" s="1"/>
      <c r="AO712" s="1"/>
      <c r="AP712" s="1"/>
      <c r="AQ712" s="1"/>
      <c r="AR712" s="1"/>
      <c r="AS712" s="21"/>
      <c r="AT712" s="25"/>
    </row>
    <row r="713" spans="3:46" x14ac:dyDescent="0.3">
      <c r="C713" s="85"/>
      <c r="D713" s="85"/>
      <c r="E713" s="85"/>
      <c r="F713" s="85"/>
      <c r="G713" s="85"/>
      <c r="H713" s="85"/>
      <c r="I713" s="85"/>
      <c r="J713" s="25"/>
      <c r="K713" s="3"/>
      <c r="L713" s="85"/>
      <c r="M713" s="85"/>
      <c r="N713" s="85"/>
      <c r="O713" s="85"/>
      <c r="P713" s="85"/>
      <c r="Q713" s="85"/>
      <c r="R713" s="85"/>
      <c r="S713" s="1"/>
      <c r="U713" s="1"/>
      <c r="V713" s="1"/>
      <c r="W713" s="1"/>
      <c r="X713" s="1"/>
      <c r="Y713" s="1"/>
      <c r="Z713" s="1"/>
      <c r="AA713" s="1"/>
      <c r="AB713" s="1"/>
      <c r="AE713" s="1"/>
      <c r="AF713" s="1"/>
      <c r="AG713" s="1"/>
      <c r="AH713" s="1"/>
      <c r="AI713" s="1"/>
      <c r="AJ713" s="1"/>
      <c r="AK713" s="3"/>
      <c r="AL713" s="3"/>
      <c r="AM713" s="21"/>
      <c r="AN713" s="1"/>
      <c r="AO713" s="1"/>
      <c r="AP713" s="1"/>
      <c r="AQ713" s="1"/>
      <c r="AR713" s="1"/>
      <c r="AS713" s="21"/>
      <c r="AT713" s="25"/>
    </row>
    <row r="714" spans="3:46" x14ac:dyDescent="0.3">
      <c r="C714" s="85"/>
      <c r="D714" s="85"/>
      <c r="E714" s="85"/>
      <c r="F714" s="85"/>
      <c r="G714" s="85"/>
      <c r="H714" s="85"/>
      <c r="I714" s="85"/>
      <c r="J714" s="25"/>
      <c r="K714" s="3"/>
      <c r="L714" s="85"/>
      <c r="M714" s="85"/>
      <c r="N714" s="85"/>
      <c r="O714" s="85"/>
      <c r="P714" s="85"/>
      <c r="Q714" s="85"/>
      <c r="R714" s="85"/>
      <c r="S714" s="1"/>
      <c r="U714" s="1"/>
      <c r="V714" s="1"/>
      <c r="W714" s="1"/>
      <c r="X714" s="1"/>
      <c r="Y714" s="1"/>
      <c r="Z714" s="1"/>
      <c r="AA714" s="1"/>
      <c r="AB714" s="1"/>
      <c r="AE714" s="1"/>
      <c r="AF714" s="1"/>
      <c r="AG714" s="1"/>
      <c r="AH714" s="1"/>
      <c r="AI714" s="1"/>
      <c r="AJ714" s="1"/>
      <c r="AK714" s="3"/>
      <c r="AL714" s="3"/>
      <c r="AM714" s="21"/>
      <c r="AN714" s="1"/>
      <c r="AO714" s="1"/>
      <c r="AP714" s="1"/>
      <c r="AQ714" s="1"/>
      <c r="AR714" s="1"/>
      <c r="AS714" s="21"/>
      <c r="AT714" s="25"/>
    </row>
    <row r="715" spans="3:46" x14ac:dyDescent="0.3">
      <c r="C715" s="85"/>
      <c r="D715" s="85"/>
      <c r="E715" s="85"/>
      <c r="F715" s="85"/>
      <c r="G715" s="85"/>
      <c r="H715" s="85"/>
      <c r="I715" s="85"/>
      <c r="J715" s="25"/>
      <c r="K715" s="3"/>
      <c r="L715" s="85"/>
      <c r="M715" s="85"/>
      <c r="N715" s="85"/>
      <c r="O715" s="85"/>
      <c r="P715" s="85"/>
      <c r="Q715" s="85"/>
      <c r="R715" s="85"/>
      <c r="S715" s="1"/>
      <c r="U715" s="1"/>
      <c r="V715" s="1"/>
      <c r="W715" s="1"/>
      <c r="X715" s="1"/>
      <c r="Y715" s="1"/>
      <c r="Z715" s="1"/>
      <c r="AA715" s="1"/>
      <c r="AB715" s="1"/>
      <c r="AE715" s="1"/>
      <c r="AF715" s="1"/>
      <c r="AG715" s="1"/>
      <c r="AH715" s="1"/>
      <c r="AI715" s="1"/>
      <c r="AJ715" s="1"/>
      <c r="AK715" s="3"/>
      <c r="AL715" s="3"/>
      <c r="AM715" s="21"/>
      <c r="AN715" s="1"/>
      <c r="AO715" s="1"/>
      <c r="AP715" s="1"/>
      <c r="AQ715" s="1"/>
      <c r="AR715" s="1"/>
      <c r="AS715" s="21"/>
      <c r="AT715" s="25"/>
    </row>
    <row r="716" spans="3:46" x14ac:dyDescent="0.3">
      <c r="C716" s="85"/>
      <c r="D716" s="85"/>
      <c r="E716" s="85"/>
      <c r="F716" s="85"/>
      <c r="G716" s="85"/>
      <c r="H716" s="85"/>
      <c r="I716" s="85"/>
      <c r="J716" s="25"/>
      <c r="K716" s="3"/>
      <c r="L716" s="85"/>
      <c r="M716" s="85"/>
      <c r="N716" s="85"/>
      <c r="O716" s="85"/>
      <c r="P716" s="85"/>
      <c r="Q716" s="85"/>
      <c r="R716" s="85"/>
      <c r="S716" s="1"/>
      <c r="U716" s="1"/>
      <c r="V716" s="1"/>
      <c r="W716" s="1"/>
      <c r="X716" s="1"/>
      <c r="Y716" s="1"/>
      <c r="Z716" s="1"/>
      <c r="AA716" s="1"/>
      <c r="AB716" s="1"/>
      <c r="AE716" s="1"/>
      <c r="AF716" s="1"/>
      <c r="AG716" s="1"/>
      <c r="AH716" s="1"/>
      <c r="AI716" s="1"/>
      <c r="AJ716" s="1"/>
      <c r="AK716" s="3"/>
      <c r="AL716" s="3"/>
      <c r="AM716" s="21"/>
      <c r="AN716" s="1"/>
      <c r="AO716" s="1"/>
      <c r="AP716" s="1"/>
      <c r="AQ716" s="1"/>
      <c r="AR716" s="1"/>
      <c r="AS716" s="21"/>
      <c r="AT716" s="25"/>
    </row>
    <row r="717" spans="3:46" x14ac:dyDescent="0.3">
      <c r="C717" s="85"/>
      <c r="D717" s="85"/>
      <c r="E717" s="85"/>
      <c r="F717" s="85"/>
      <c r="G717" s="85"/>
      <c r="H717" s="85"/>
      <c r="I717" s="85"/>
      <c r="J717" s="25"/>
      <c r="K717" s="3"/>
      <c r="L717" s="85"/>
      <c r="M717" s="85"/>
      <c r="N717" s="85"/>
      <c r="O717" s="85"/>
      <c r="P717" s="85"/>
      <c r="Q717" s="85"/>
      <c r="R717" s="85"/>
      <c r="S717" s="1"/>
      <c r="U717" s="1"/>
      <c r="V717" s="1"/>
      <c r="W717" s="1"/>
      <c r="X717" s="1"/>
      <c r="Y717" s="1"/>
      <c r="Z717" s="1"/>
      <c r="AA717" s="1"/>
      <c r="AB717" s="1"/>
      <c r="AE717" s="1"/>
      <c r="AF717" s="1"/>
      <c r="AG717" s="1"/>
      <c r="AH717" s="1"/>
      <c r="AI717" s="1"/>
      <c r="AJ717" s="1"/>
      <c r="AK717" s="3"/>
      <c r="AL717" s="3"/>
      <c r="AM717" s="21"/>
      <c r="AN717" s="1"/>
      <c r="AO717" s="1"/>
      <c r="AP717" s="1"/>
      <c r="AQ717" s="1"/>
      <c r="AR717" s="1"/>
      <c r="AS717" s="21"/>
      <c r="AT717" s="25"/>
    </row>
    <row r="718" spans="3:46" x14ac:dyDescent="0.3">
      <c r="C718" s="85"/>
      <c r="D718" s="85"/>
      <c r="E718" s="85"/>
      <c r="F718" s="85"/>
      <c r="G718" s="85"/>
      <c r="H718" s="85"/>
      <c r="I718" s="85"/>
      <c r="J718" s="25"/>
      <c r="K718" s="3"/>
      <c r="L718" s="85"/>
      <c r="M718" s="85"/>
      <c r="N718" s="85"/>
      <c r="O718" s="85"/>
      <c r="P718" s="85"/>
      <c r="Q718" s="85"/>
      <c r="R718" s="85"/>
      <c r="S718" s="1"/>
      <c r="U718" s="1"/>
      <c r="V718" s="1"/>
      <c r="W718" s="1"/>
      <c r="X718" s="1"/>
      <c r="Y718" s="1"/>
      <c r="Z718" s="1"/>
      <c r="AA718" s="1"/>
      <c r="AB718" s="1"/>
      <c r="AE718" s="1"/>
      <c r="AF718" s="1"/>
      <c r="AG718" s="1"/>
      <c r="AH718" s="1"/>
      <c r="AI718" s="1"/>
      <c r="AJ718" s="1"/>
      <c r="AK718" s="3"/>
      <c r="AL718" s="3"/>
      <c r="AM718" s="21"/>
      <c r="AN718" s="1"/>
      <c r="AO718" s="1"/>
      <c r="AP718" s="1"/>
      <c r="AQ718" s="1"/>
      <c r="AR718" s="1"/>
      <c r="AS718" s="21"/>
      <c r="AT718" s="25"/>
    </row>
    <row r="719" spans="3:46" x14ac:dyDescent="0.3">
      <c r="C719" s="85"/>
      <c r="D719" s="85"/>
      <c r="E719" s="85"/>
      <c r="F719" s="85"/>
      <c r="G719" s="85"/>
      <c r="H719" s="85"/>
      <c r="I719" s="85"/>
      <c r="J719" s="25"/>
      <c r="K719" s="3"/>
      <c r="L719" s="85"/>
      <c r="M719" s="85"/>
      <c r="N719" s="85"/>
      <c r="O719" s="85"/>
      <c r="P719" s="85"/>
      <c r="Q719" s="85"/>
      <c r="R719" s="85"/>
      <c r="S719" s="1"/>
      <c r="U719" s="1"/>
      <c r="V719" s="1"/>
      <c r="W719" s="1"/>
      <c r="X719" s="1"/>
      <c r="Y719" s="1"/>
      <c r="Z719" s="1"/>
      <c r="AA719" s="1"/>
      <c r="AB719" s="1"/>
      <c r="AE719" s="1"/>
      <c r="AF719" s="1"/>
      <c r="AG719" s="1"/>
      <c r="AH719" s="1"/>
      <c r="AI719" s="1"/>
      <c r="AJ719" s="1"/>
      <c r="AK719" s="3"/>
      <c r="AL719" s="3"/>
      <c r="AM719" s="21"/>
      <c r="AN719" s="1"/>
      <c r="AO719" s="1"/>
      <c r="AP719" s="1"/>
      <c r="AQ719" s="1"/>
      <c r="AR719" s="1"/>
      <c r="AS719" s="21"/>
      <c r="AT719" s="25"/>
    </row>
    <row r="720" spans="3:46" x14ac:dyDescent="0.3">
      <c r="C720" s="85"/>
      <c r="D720" s="85"/>
      <c r="E720" s="85"/>
      <c r="F720" s="85"/>
      <c r="G720" s="85"/>
      <c r="H720" s="85"/>
      <c r="I720" s="85"/>
      <c r="J720" s="25"/>
      <c r="K720" s="3"/>
      <c r="L720" s="85"/>
      <c r="M720" s="85"/>
      <c r="N720" s="85"/>
      <c r="O720" s="85"/>
      <c r="P720" s="85"/>
      <c r="Q720" s="85"/>
      <c r="R720" s="85"/>
      <c r="S720" s="1"/>
      <c r="U720" s="1"/>
      <c r="V720" s="1"/>
      <c r="W720" s="1"/>
      <c r="X720" s="1"/>
      <c r="Y720" s="1"/>
      <c r="Z720" s="1"/>
      <c r="AA720" s="1"/>
      <c r="AB720" s="1"/>
      <c r="AE720" s="1"/>
      <c r="AF720" s="1"/>
      <c r="AG720" s="1"/>
      <c r="AH720" s="1"/>
      <c r="AI720" s="1"/>
      <c r="AJ720" s="1"/>
      <c r="AK720" s="3"/>
      <c r="AL720" s="3"/>
      <c r="AM720" s="21"/>
      <c r="AN720" s="1"/>
      <c r="AO720" s="1"/>
      <c r="AP720" s="1"/>
      <c r="AQ720" s="1"/>
      <c r="AR720" s="1"/>
      <c r="AS720" s="21"/>
      <c r="AT720" s="25"/>
    </row>
    <row r="721" spans="3:46" x14ac:dyDescent="0.3">
      <c r="C721" s="85"/>
      <c r="D721" s="85"/>
      <c r="E721" s="85"/>
      <c r="F721" s="85"/>
      <c r="G721" s="85"/>
      <c r="H721" s="85"/>
      <c r="I721" s="85"/>
      <c r="J721" s="25"/>
      <c r="K721" s="3"/>
      <c r="L721" s="85"/>
      <c r="M721" s="85"/>
      <c r="N721" s="85"/>
      <c r="O721" s="85"/>
      <c r="P721" s="85"/>
      <c r="Q721" s="85"/>
      <c r="R721" s="85"/>
      <c r="S721" s="1"/>
      <c r="U721" s="1"/>
      <c r="V721" s="1"/>
      <c r="W721" s="1"/>
      <c r="X721" s="1"/>
      <c r="Y721" s="1"/>
      <c r="Z721" s="1"/>
      <c r="AA721" s="1"/>
      <c r="AB721" s="1"/>
      <c r="AE721" s="1"/>
      <c r="AF721" s="1"/>
      <c r="AG721" s="1"/>
      <c r="AH721" s="1"/>
      <c r="AI721" s="1"/>
      <c r="AJ721" s="1"/>
      <c r="AK721" s="3"/>
      <c r="AL721" s="3"/>
      <c r="AM721" s="21"/>
      <c r="AN721" s="1"/>
      <c r="AO721" s="1"/>
      <c r="AP721" s="1"/>
      <c r="AQ721" s="1"/>
      <c r="AR721" s="1"/>
      <c r="AS721" s="21"/>
      <c r="AT721" s="25"/>
    </row>
    <row r="722" spans="3:46" x14ac:dyDescent="0.3">
      <c r="C722" s="85"/>
      <c r="D722" s="85"/>
      <c r="E722" s="85"/>
      <c r="F722" s="85"/>
      <c r="G722" s="85"/>
      <c r="H722" s="85"/>
      <c r="I722" s="85"/>
      <c r="J722" s="25"/>
      <c r="K722" s="3"/>
      <c r="L722" s="85"/>
      <c r="M722" s="85"/>
      <c r="N722" s="85"/>
      <c r="O722" s="85"/>
      <c r="P722" s="85"/>
      <c r="Q722" s="85"/>
      <c r="R722" s="85"/>
      <c r="S722" s="1"/>
      <c r="U722" s="1"/>
      <c r="V722" s="1"/>
      <c r="W722" s="1"/>
      <c r="X722" s="1"/>
      <c r="Y722" s="1"/>
      <c r="Z722" s="1"/>
      <c r="AA722" s="1"/>
      <c r="AB722" s="1"/>
      <c r="AE722" s="1"/>
      <c r="AF722" s="1"/>
      <c r="AG722" s="1"/>
      <c r="AH722" s="1"/>
      <c r="AI722" s="1"/>
      <c r="AJ722" s="1"/>
      <c r="AK722" s="3"/>
      <c r="AL722" s="3"/>
      <c r="AM722" s="21"/>
      <c r="AN722" s="1"/>
      <c r="AO722" s="1"/>
      <c r="AP722" s="1"/>
      <c r="AQ722" s="1"/>
      <c r="AR722" s="1"/>
      <c r="AS722" s="21"/>
      <c r="AT722" s="25"/>
    </row>
    <row r="723" spans="3:46" x14ac:dyDescent="0.3">
      <c r="C723" s="85"/>
      <c r="D723" s="85"/>
      <c r="E723" s="85"/>
      <c r="F723" s="85"/>
      <c r="G723" s="85"/>
      <c r="H723" s="85"/>
      <c r="I723" s="85"/>
      <c r="J723" s="25"/>
      <c r="K723" s="3"/>
      <c r="L723" s="85"/>
      <c r="M723" s="85"/>
      <c r="N723" s="85"/>
      <c r="O723" s="85"/>
      <c r="P723" s="85"/>
      <c r="Q723" s="85"/>
      <c r="R723" s="85"/>
      <c r="S723" s="1"/>
      <c r="U723" s="1"/>
      <c r="V723" s="1"/>
      <c r="W723" s="1"/>
      <c r="X723" s="1"/>
      <c r="Y723" s="1"/>
      <c r="Z723" s="1"/>
      <c r="AA723" s="1"/>
      <c r="AB723" s="1"/>
      <c r="AE723" s="1"/>
      <c r="AF723" s="1"/>
      <c r="AG723" s="1"/>
      <c r="AH723" s="1"/>
      <c r="AI723" s="1"/>
      <c r="AJ723" s="1"/>
      <c r="AK723" s="3"/>
      <c r="AL723" s="3"/>
      <c r="AM723" s="21"/>
      <c r="AN723" s="1"/>
      <c r="AO723" s="1"/>
      <c r="AP723" s="1"/>
      <c r="AQ723" s="1"/>
      <c r="AR723" s="1"/>
      <c r="AS723" s="21"/>
      <c r="AT723" s="25"/>
    </row>
    <row r="724" spans="3:46" x14ac:dyDescent="0.3">
      <c r="C724" s="85"/>
      <c r="D724" s="85"/>
      <c r="E724" s="85"/>
      <c r="F724" s="85"/>
      <c r="G724" s="85"/>
      <c r="H724" s="85"/>
      <c r="I724" s="85"/>
      <c r="J724" s="25"/>
      <c r="K724" s="3"/>
      <c r="L724" s="85"/>
      <c r="M724" s="85"/>
      <c r="N724" s="85"/>
      <c r="O724" s="85"/>
      <c r="P724" s="85"/>
      <c r="Q724" s="85"/>
      <c r="R724" s="85"/>
      <c r="S724" s="1"/>
      <c r="U724" s="1"/>
      <c r="V724" s="1"/>
      <c r="W724" s="1"/>
      <c r="X724" s="1"/>
      <c r="Y724" s="1"/>
      <c r="Z724" s="1"/>
      <c r="AA724" s="1"/>
      <c r="AB724" s="1"/>
      <c r="AE724" s="1"/>
      <c r="AF724" s="1"/>
      <c r="AG724" s="1"/>
      <c r="AH724" s="1"/>
      <c r="AI724" s="1"/>
      <c r="AJ724" s="1"/>
      <c r="AK724" s="3"/>
      <c r="AL724" s="3"/>
      <c r="AM724" s="21"/>
      <c r="AN724" s="1"/>
      <c r="AO724" s="1"/>
      <c r="AP724" s="1"/>
      <c r="AQ724" s="1"/>
      <c r="AR724" s="1"/>
      <c r="AS724" s="21"/>
      <c r="AT724" s="25"/>
    </row>
    <row r="725" spans="3:46" x14ac:dyDescent="0.3">
      <c r="C725" s="85"/>
      <c r="D725" s="85"/>
      <c r="E725" s="85"/>
      <c r="F725" s="85"/>
      <c r="G725" s="85"/>
      <c r="H725" s="85"/>
      <c r="I725" s="85"/>
      <c r="J725" s="25"/>
      <c r="K725" s="3"/>
      <c r="L725" s="85"/>
      <c r="M725" s="85"/>
      <c r="N725" s="85"/>
      <c r="O725" s="85"/>
      <c r="P725" s="85"/>
      <c r="Q725" s="85"/>
      <c r="R725" s="85"/>
      <c r="S725" s="1"/>
      <c r="U725" s="1"/>
      <c r="V725" s="1"/>
      <c r="W725" s="1"/>
      <c r="X725" s="1"/>
      <c r="Y725" s="1"/>
      <c r="Z725" s="1"/>
      <c r="AA725" s="1"/>
      <c r="AB725" s="1"/>
      <c r="AE725" s="1"/>
      <c r="AF725" s="1"/>
      <c r="AG725" s="1"/>
      <c r="AH725" s="1"/>
      <c r="AI725" s="1"/>
      <c r="AJ725" s="1"/>
      <c r="AK725" s="3"/>
      <c r="AL725" s="3"/>
      <c r="AM725" s="21"/>
      <c r="AN725" s="1"/>
      <c r="AO725" s="1"/>
      <c r="AP725" s="1"/>
      <c r="AQ725" s="1"/>
      <c r="AR725" s="1"/>
      <c r="AS725" s="21"/>
      <c r="AT725" s="25"/>
    </row>
    <row r="726" spans="3:46" x14ac:dyDescent="0.3">
      <c r="C726" s="85"/>
      <c r="D726" s="85"/>
      <c r="E726" s="85"/>
      <c r="F726" s="85"/>
      <c r="G726" s="85"/>
      <c r="H726" s="85"/>
      <c r="I726" s="85"/>
      <c r="J726" s="25"/>
      <c r="K726" s="3"/>
      <c r="L726" s="85"/>
      <c r="M726" s="85"/>
      <c r="N726" s="85"/>
      <c r="O726" s="85"/>
      <c r="P726" s="85"/>
      <c r="Q726" s="85"/>
      <c r="R726" s="85"/>
      <c r="S726" s="1"/>
      <c r="U726" s="1"/>
      <c r="V726" s="1"/>
      <c r="W726" s="1"/>
      <c r="X726" s="1"/>
      <c r="Y726" s="1"/>
      <c r="Z726" s="1"/>
      <c r="AA726" s="1"/>
      <c r="AB726" s="1"/>
      <c r="AE726" s="1"/>
      <c r="AF726" s="1"/>
      <c r="AG726" s="1"/>
      <c r="AH726" s="1"/>
      <c r="AI726" s="1"/>
      <c r="AJ726" s="1"/>
      <c r="AK726" s="3"/>
      <c r="AL726" s="3"/>
      <c r="AM726" s="21"/>
      <c r="AN726" s="1"/>
      <c r="AO726" s="1"/>
      <c r="AP726" s="1"/>
      <c r="AQ726" s="1"/>
      <c r="AR726" s="1"/>
      <c r="AS726" s="21"/>
      <c r="AT726" s="25"/>
    </row>
    <row r="727" spans="3:46" x14ac:dyDescent="0.3">
      <c r="C727" s="85"/>
      <c r="D727" s="85"/>
      <c r="E727" s="85"/>
      <c r="F727" s="85"/>
      <c r="G727" s="85"/>
      <c r="H727" s="85"/>
      <c r="I727" s="85"/>
      <c r="J727" s="25"/>
      <c r="K727" s="3"/>
      <c r="L727" s="85"/>
      <c r="M727" s="85"/>
      <c r="N727" s="85"/>
      <c r="O727" s="85"/>
      <c r="P727" s="85"/>
      <c r="Q727" s="85"/>
      <c r="R727" s="85"/>
      <c r="S727" s="1"/>
      <c r="U727" s="1"/>
      <c r="V727" s="1"/>
      <c r="W727" s="1"/>
      <c r="X727" s="1"/>
      <c r="Y727" s="1"/>
      <c r="Z727" s="1"/>
      <c r="AA727" s="1"/>
      <c r="AB727" s="1"/>
      <c r="AE727" s="1"/>
      <c r="AF727" s="1"/>
      <c r="AG727" s="1"/>
      <c r="AH727" s="1"/>
      <c r="AI727" s="1"/>
      <c r="AJ727" s="1"/>
      <c r="AK727" s="3"/>
      <c r="AL727" s="3"/>
      <c r="AM727" s="21"/>
      <c r="AN727" s="1"/>
      <c r="AO727" s="1"/>
      <c r="AP727" s="1"/>
      <c r="AQ727" s="1"/>
      <c r="AR727" s="1"/>
      <c r="AS727" s="21"/>
      <c r="AT727" s="25"/>
    </row>
    <row r="728" spans="3:46" x14ac:dyDescent="0.3">
      <c r="C728" s="85"/>
      <c r="D728" s="85"/>
      <c r="E728" s="85"/>
      <c r="F728" s="85"/>
      <c r="G728" s="85"/>
      <c r="H728" s="85"/>
      <c r="I728" s="85"/>
      <c r="J728" s="25"/>
      <c r="K728" s="3"/>
      <c r="L728" s="85"/>
      <c r="M728" s="85"/>
      <c r="N728" s="85"/>
      <c r="O728" s="85"/>
      <c r="P728" s="85"/>
      <c r="Q728" s="85"/>
      <c r="R728" s="85"/>
      <c r="S728" s="1"/>
      <c r="U728" s="1"/>
      <c r="V728" s="1"/>
      <c r="W728" s="1"/>
      <c r="X728" s="1"/>
      <c r="Y728" s="1"/>
      <c r="Z728" s="1"/>
      <c r="AA728" s="1"/>
      <c r="AB728" s="1"/>
      <c r="AE728" s="1"/>
      <c r="AF728" s="1"/>
      <c r="AG728" s="1"/>
      <c r="AH728" s="1"/>
      <c r="AI728" s="1"/>
      <c r="AJ728" s="1"/>
      <c r="AK728" s="3"/>
      <c r="AL728" s="3"/>
      <c r="AM728" s="21"/>
      <c r="AN728" s="1"/>
      <c r="AO728" s="1"/>
      <c r="AP728" s="1"/>
      <c r="AQ728" s="1"/>
      <c r="AR728" s="1"/>
      <c r="AS728" s="21"/>
      <c r="AT728" s="25"/>
    </row>
    <row r="729" spans="3:46" x14ac:dyDescent="0.3">
      <c r="C729" s="85"/>
      <c r="D729" s="85"/>
      <c r="E729" s="85"/>
      <c r="F729" s="85"/>
      <c r="G729" s="85"/>
      <c r="H729" s="85"/>
      <c r="I729" s="85"/>
      <c r="J729" s="25"/>
      <c r="K729" s="3"/>
      <c r="L729" s="85"/>
      <c r="M729" s="85"/>
      <c r="N729" s="85"/>
      <c r="O729" s="85"/>
      <c r="P729" s="85"/>
      <c r="Q729" s="85"/>
      <c r="R729" s="85"/>
      <c r="S729" s="1"/>
      <c r="U729" s="1"/>
      <c r="V729" s="1"/>
      <c r="W729" s="1"/>
      <c r="X729" s="1"/>
      <c r="Y729" s="1"/>
      <c r="Z729" s="1"/>
      <c r="AA729" s="1"/>
      <c r="AB729" s="1"/>
      <c r="AE729" s="1"/>
      <c r="AF729" s="1"/>
      <c r="AG729" s="1"/>
      <c r="AH729" s="1"/>
      <c r="AI729" s="1"/>
      <c r="AJ729" s="1"/>
      <c r="AK729" s="3"/>
      <c r="AL729" s="3"/>
      <c r="AM729" s="21"/>
      <c r="AN729" s="1"/>
      <c r="AO729" s="1"/>
      <c r="AP729" s="1"/>
      <c r="AQ729" s="1"/>
      <c r="AR729" s="1"/>
      <c r="AS729" s="21"/>
      <c r="AT729" s="25"/>
    </row>
    <row r="730" spans="3:46" x14ac:dyDescent="0.3">
      <c r="C730" s="85"/>
      <c r="D730" s="85"/>
      <c r="E730" s="85"/>
      <c r="F730" s="85"/>
      <c r="G730" s="85"/>
      <c r="H730" s="85"/>
      <c r="I730" s="85"/>
      <c r="J730" s="25"/>
      <c r="K730" s="3"/>
      <c r="L730" s="85"/>
      <c r="M730" s="85"/>
      <c r="N730" s="85"/>
      <c r="O730" s="85"/>
      <c r="P730" s="85"/>
      <c r="Q730" s="85"/>
      <c r="R730" s="85"/>
      <c r="S730" s="1"/>
      <c r="U730" s="1"/>
      <c r="V730" s="1"/>
      <c r="W730" s="1"/>
      <c r="X730" s="1"/>
      <c r="Y730" s="1"/>
      <c r="Z730" s="1"/>
      <c r="AA730" s="1"/>
      <c r="AB730" s="1"/>
      <c r="AE730" s="1"/>
      <c r="AF730" s="1"/>
      <c r="AG730" s="1"/>
      <c r="AH730" s="1"/>
      <c r="AI730" s="1"/>
      <c r="AJ730" s="1"/>
      <c r="AK730" s="3"/>
      <c r="AL730" s="3"/>
      <c r="AM730" s="21"/>
      <c r="AN730" s="1"/>
      <c r="AO730" s="1"/>
      <c r="AP730" s="1"/>
      <c r="AQ730" s="1"/>
      <c r="AR730" s="1"/>
      <c r="AS730" s="21"/>
      <c r="AT730" s="25"/>
    </row>
    <row r="731" spans="3:46" x14ac:dyDescent="0.3">
      <c r="C731" s="85"/>
      <c r="D731" s="85"/>
      <c r="E731" s="85"/>
      <c r="F731" s="85"/>
      <c r="G731" s="85"/>
      <c r="H731" s="85"/>
      <c r="I731" s="85"/>
      <c r="J731" s="25"/>
      <c r="K731" s="3"/>
      <c r="L731" s="85"/>
      <c r="M731" s="85"/>
      <c r="N731" s="85"/>
      <c r="O731" s="85"/>
      <c r="P731" s="85"/>
      <c r="Q731" s="85"/>
      <c r="R731" s="85"/>
      <c r="S731" s="1"/>
      <c r="U731" s="1"/>
      <c r="V731" s="1"/>
      <c r="W731" s="1"/>
      <c r="X731" s="1"/>
      <c r="Y731" s="1"/>
      <c r="Z731" s="1"/>
      <c r="AA731" s="1"/>
      <c r="AB731" s="1"/>
      <c r="AE731" s="1"/>
      <c r="AF731" s="1"/>
      <c r="AG731" s="1"/>
      <c r="AH731" s="1"/>
      <c r="AI731" s="1"/>
      <c r="AJ731" s="1"/>
      <c r="AK731" s="3"/>
      <c r="AL731" s="3"/>
      <c r="AM731" s="21"/>
      <c r="AN731" s="1"/>
      <c r="AO731" s="1"/>
      <c r="AP731" s="1"/>
      <c r="AQ731" s="1"/>
      <c r="AR731" s="1"/>
      <c r="AS731" s="21"/>
      <c r="AT731" s="25"/>
    </row>
    <row r="732" spans="3:46" x14ac:dyDescent="0.3">
      <c r="C732" s="85"/>
      <c r="D732" s="85"/>
      <c r="E732" s="85"/>
      <c r="F732" s="85"/>
      <c r="G732" s="85"/>
      <c r="H732" s="85"/>
      <c r="I732" s="85"/>
      <c r="J732" s="25"/>
      <c r="K732" s="3"/>
      <c r="L732" s="85"/>
      <c r="M732" s="85"/>
      <c r="N732" s="85"/>
      <c r="O732" s="85"/>
      <c r="P732" s="85"/>
      <c r="Q732" s="85"/>
      <c r="R732" s="85"/>
      <c r="S732" s="1"/>
      <c r="U732" s="1"/>
      <c r="V732" s="1"/>
      <c r="W732" s="1"/>
      <c r="X732" s="1"/>
      <c r="Y732" s="1"/>
      <c r="Z732" s="1"/>
      <c r="AA732" s="1"/>
      <c r="AB732" s="1"/>
      <c r="AE732" s="1"/>
      <c r="AF732" s="1"/>
      <c r="AG732" s="1"/>
      <c r="AH732" s="1"/>
      <c r="AI732" s="1"/>
      <c r="AJ732" s="1"/>
      <c r="AK732" s="3"/>
      <c r="AL732" s="3"/>
      <c r="AM732" s="21"/>
      <c r="AN732" s="1"/>
      <c r="AO732" s="1"/>
      <c r="AP732" s="1"/>
      <c r="AQ732" s="1"/>
      <c r="AR732" s="1"/>
      <c r="AS732" s="21"/>
      <c r="AT732" s="25"/>
    </row>
    <row r="733" spans="3:46" x14ac:dyDescent="0.3">
      <c r="C733" s="85"/>
      <c r="D733" s="85"/>
      <c r="E733" s="85"/>
      <c r="F733" s="85"/>
      <c r="G733" s="85"/>
      <c r="H733" s="85"/>
      <c r="I733" s="85"/>
      <c r="J733" s="25"/>
      <c r="K733" s="3"/>
      <c r="L733" s="85"/>
      <c r="M733" s="85"/>
      <c r="N733" s="85"/>
      <c r="O733" s="85"/>
      <c r="P733" s="85"/>
      <c r="Q733" s="85"/>
      <c r="R733" s="85"/>
      <c r="S733" s="1"/>
      <c r="U733" s="1"/>
      <c r="V733" s="1"/>
      <c r="W733" s="1"/>
      <c r="X733" s="1"/>
      <c r="Y733" s="1"/>
      <c r="Z733" s="1"/>
      <c r="AA733" s="1"/>
      <c r="AB733" s="1"/>
      <c r="AE733" s="1"/>
      <c r="AF733" s="1"/>
      <c r="AG733" s="1"/>
      <c r="AH733" s="1"/>
      <c r="AI733" s="1"/>
      <c r="AJ733" s="1"/>
      <c r="AK733" s="3"/>
      <c r="AL733" s="3"/>
      <c r="AM733" s="21"/>
      <c r="AN733" s="1"/>
      <c r="AO733" s="1"/>
      <c r="AP733" s="1"/>
      <c r="AQ733" s="1"/>
      <c r="AR733" s="1"/>
      <c r="AS733" s="21"/>
      <c r="AT733" s="25"/>
    </row>
    <row r="734" spans="3:46" x14ac:dyDescent="0.3">
      <c r="C734" s="85"/>
      <c r="D734" s="85"/>
      <c r="E734" s="85"/>
      <c r="F734" s="85"/>
      <c r="G734" s="85"/>
      <c r="H734" s="85"/>
      <c r="I734" s="85"/>
      <c r="J734" s="25"/>
      <c r="K734" s="3"/>
      <c r="L734" s="85"/>
      <c r="M734" s="85"/>
      <c r="N734" s="85"/>
      <c r="O734" s="85"/>
      <c r="P734" s="85"/>
      <c r="Q734" s="85"/>
      <c r="R734" s="85"/>
      <c r="S734" s="1"/>
      <c r="U734" s="1"/>
      <c r="V734" s="1"/>
      <c r="W734" s="1"/>
      <c r="X734" s="1"/>
      <c r="Y734" s="1"/>
      <c r="Z734" s="1"/>
      <c r="AA734" s="1"/>
      <c r="AB734" s="1"/>
      <c r="AE734" s="1"/>
      <c r="AF734" s="1"/>
      <c r="AG734" s="1"/>
      <c r="AH734" s="1"/>
      <c r="AI734" s="1"/>
      <c r="AJ734" s="1"/>
      <c r="AK734" s="3"/>
      <c r="AL734" s="3"/>
      <c r="AM734" s="21"/>
      <c r="AN734" s="1"/>
      <c r="AO734" s="1"/>
      <c r="AP734" s="1"/>
      <c r="AQ734" s="1"/>
      <c r="AR734" s="1"/>
      <c r="AS734" s="21"/>
      <c r="AT734" s="25"/>
    </row>
    <row r="735" spans="3:46" x14ac:dyDescent="0.3">
      <c r="C735" s="85"/>
      <c r="D735" s="85"/>
      <c r="E735" s="85"/>
      <c r="F735" s="85"/>
      <c r="G735" s="85"/>
      <c r="H735" s="85"/>
      <c r="I735" s="85"/>
      <c r="J735" s="25"/>
      <c r="K735" s="3"/>
      <c r="L735" s="85"/>
      <c r="M735" s="85"/>
      <c r="N735" s="85"/>
      <c r="O735" s="85"/>
      <c r="P735" s="85"/>
      <c r="Q735" s="85"/>
      <c r="R735" s="85"/>
      <c r="S735" s="1"/>
      <c r="U735" s="1"/>
      <c r="V735" s="1"/>
      <c r="W735" s="1"/>
      <c r="X735" s="1"/>
      <c r="Y735" s="1"/>
      <c r="Z735" s="1"/>
      <c r="AA735" s="1"/>
      <c r="AB735" s="1"/>
      <c r="AE735" s="1"/>
      <c r="AF735" s="1"/>
      <c r="AG735" s="1"/>
      <c r="AH735" s="1"/>
      <c r="AI735" s="1"/>
      <c r="AJ735" s="1"/>
      <c r="AK735" s="3"/>
      <c r="AL735" s="3"/>
      <c r="AM735" s="21"/>
      <c r="AN735" s="1"/>
      <c r="AO735" s="1"/>
      <c r="AP735" s="1"/>
      <c r="AQ735" s="1"/>
      <c r="AR735" s="1"/>
      <c r="AS735" s="21"/>
      <c r="AT735" s="25"/>
    </row>
    <row r="736" spans="3:46" x14ac:dyDescent="0.3">
      <c r="C736" s="85"/>
      <c r="D736" s="85"/>
      <c r="E736" s="85"/>
      <c r="F736" s="85"/>
      <c r="G736" s="85"/>
      <c r="H736" s="85"/>
      <c r="I736" s="85"/>
      <c r="J736" s="25"/>
      <c r="K736" s="3"/>
      <c r="L736" s="85"/>
      <c r="M736" s="85"/>
      <c r="N736" s="85"/>
      <c r="O736" s="85"/>
      <c r="P736" s="85"/>
      <c r="Q736" s="85"/>
      <c r="R736" s="85"/>
      <c r="S736" s="1"/>
      <c r="U736" s="1"/>
      <c r="V736" s="1"/>
      <c r="W736" s="1"/>
      <c r="X736" s="1"/>
      <c r="Y736" s="1"/>
      <c r="Z736" s="1"/>
      <c r="AA736" s="1"/>
      <c r="AB736" s="1"/>
      <c r="AE736" s="1"/>
      <c r="AF736" s="1"/>
      <c r="AG736" s="1"/>
      <c r="AH736" s="1"/>
      <c r="AI736" s="1"/>
      <c r="AJ736" s="1"/>
      <c r="AK736" s="3"/>
      <c r="AL736" s="3"/>
      <c r="AM736" s="21"/>
      <c r="AN736" s="1"/>
      <c r="AO736" s="1"/>
      <c r="AP736" s="1"/>
      <c r="AQ736" s="1"/>
      <c r="AR736" s="1"/>
      <c r="AS736" s="21"/>
      <c r="AT736" s="25"/>
    </row>
    <row r="737" spans="3:51" x14ac:dyDescent="0.3">
      <c r="C737" s="85"/>
      <c r="D737" s="85"/>
      <c r="E737" s="85"/>
      <c r="F737" s="85"/>
      <c r="G737" s="85"/>
      <c r="H737" s="85"/>
      <c r="I737" s="85"/>
      <c r="J737" s="25"/>
      <c r="K737" s="3"/>
      <c r="L737" s="85"/>
      <c r="M737" s="85"/>
      <c r="N737" s="85"/>
      <c r="O737" s="85"/>
      <c r="P737" s="85"/>
      <c r="Q737" s="85"/>
      <c r="R737" s="85"/>
      <c r="S737" s="1"/>
      <c r="U737" s="1"/>
      <c r="V737" s="1"/>
      <c r="W737" s="1"/>
      <c r="X737" s="1"/>
      <c r="Y737" s="1"/>
      <c r="Z737" s="1"/>
      <c r="AA737" s="1"/>
      <c r="AB737" s="1"/>
      <c r="AE737" s="1"/>
      <c r="AF737" s="1"/>
      <c r="AG737" s="1"/>
      <c r="AH737" s="1"/>
      <c r="AI737" s="1"/>
      <c r="AJ737" s="1"/>
      <c r="AK737" s="3"/>
      <c r="AL737" s="3"/>
      <c r="AM737" s="21"/>
      <c r="AN737" s="1"/>
      <c r="AO737" s="1"/>
      <c r="AP737" s="1"/>
      <c r="AQ737" s="1"/>
      <c r="AR737" s="1"/>
      <c r="AS737" s="21"/>
      <c r="AT737" s="25"/>
    </row>
    <row r="738" spans="3:51" x14ac:dyDescent="0.3">
      <c r="C738" s="85"/>
      <c r="D738" s="85"/>
      <c r="E738" s="85"/>
      <c r="F738" s="85"/>
      <c r="G738" s="85"/>
      <c r="H738" s="85"/>
      <c r="I738" s="85"/>
      <c r="J738" s="25"/>
      <c r="K738" s="3"/>
      <c r="L738" s="85"/>
      <c r="M738" s="85"/>
      <c r="N738" s="85"/>
      <c r="O738" s="85"/>
      <c r="P738" s="85"/>
      <c r="Q738" s="85"/>
      <c r="R738" s="85"/>
      <c r="S738" s="1"/>
      <c r="U738" s="1"/>
      <c r="V738" s="1"/>
      <c r="W738" s="1"/>
      <c r="X738" s="1"/>
      <c r="Y738" s="1"/>
      <c r="Z738" s="1"/>
      <c r="AA738" s="1"/>
      <c r="AB738" s="1"/>
      <c r="AE738" s="1"/>
      <c r="AF738" s="1"/>
      <c r="AG738" s="1"/>
      <c r="AH738" s="1"/>
      <c r="AI738" s="1"/>
      <c r="AJ738" s="1"/>
      <c r="AK738" s="3"/>
      <c r="AL738" s="3"/>
      <c r="AM738" s="21"/>
      <c r="AN738" s="1"/>
      <c r="AO738" s="1"/>
      <c r="AP738" s="1"/>
      <c r="AQ738" s="1"/>
      <c r="AR738" s="1"/>
      <c r="AS738" s="21"/>
      <c r="AT738" s="25"/>
    </row>
    <row r="739" spans="3:51" x14ac:dyDescent="0.3">
      <c r="C739" s="85"/>
      <c r="D739" s="85"/>
      <c r="E739" s="85"/>
      <c r="F739" s="85"/>
      <c r="G739" s="85"/>
      <c r="H739" s="85"/>
      <c r="I739" s="85"/>
      <c r="J739" s="25"/>
      <c r="K739" s="3"/>
      <c r="L739" s="85"/>
      <c r="M739" s="85"/>
      <c r="N739" s="85"/>
      <c r="O739" s="85"/>
      <c r="P739" s="85"/>
      <c r="Q739" s="85"/>
      <c r="R739" s="85"/>
      <c r="S739" s="1"/>
      <c r="U739" s="1"/>
      <c r="V739" s="1"/>
      <c r="W739" s="1"/>
      <c r="X739" s="1"/>
      <c r="Y739" s="1"/>
      <c r="Z739" s="1"/>
      <c r="AA739" s="1"/>
      <c r="AB739" s="1"/>
      <c r="AE739" s="1"/>
      <c r="AF739" s="1"/>
      <c r="AG739" s="1"/>
      <c r="AH739" s="1"/>
      <c r="AI739" s="1"/>
      <c r="AJ739" s="1"/>
      <c r="AK739" s="3"/>
      <c r="AL739" s="3"/>
      <c r="AM739" s="21"/>
      <c r="AN739" s="1"/>
      <c r="AO739" s="1"/>
      <c r="AP739" s="1"/>
      <c r="AQ739" s="1"/>
      <c r="AR739" s="1"/>
      <c r="AS739" s="21"/>
      <c r="AT739" s="25"/>
    </row>
    <row r="740" spans="3:51" x14ac:dyDescent="0.3">
      <c r="C740" s="85"/>
      <c r="D740" s="85"/>
      <c r="E740" s="85"/>
      <c r="F740" s="85"/>
      <c r="G740" s="85"/>
      <c r="H740" s="85"/>
      <c r="I740" s="85"/>
      <c r="J740" s="25"/>
      <c r="K740" s="3"/>
      <c r="L740" s="85"/>
      <c r="M740" s="85"/>
      <c r="N740" s="85"/>
      <c r="O740" s="85"/>
      <c r="P740" s="85"/>
      <c r="Q740" s="85"/>
      <c r="R740" s="85"/>
      <c r="S740" s="1"/>
      <c r="U740" s="1"/>
      <c r="V740" s="1"/>
      <c r="W740" s="1"/>
      <c r="X740" s="1"/>
      <c r="Y740" s="1"/>
      <c r="Z740" s="1"/>
      <c r="AA740" s="1"/>
      <c r="AB740" s="1"/>
      <c r="AE740" s="1"/>
      <c r="AF740" s="1"/>
      <c r="AG740" s="1"/>
      <c r="AH740" s="1"/>
      <c r="AI740" s="1"/>
      <c r="AJ740" s="1"/>
      <c r="AK740" s="3"/>
      <c r="AL740" s="3"/>
      <c r="AM740" s="21"/>
      <c r="AN740" s="1"/>
      <c r="AO740" s="1"/>
      <c r="AP740" s="1"/>
      <c r="AQ740" s="1"/>
      <c r="AR740" s="1"/>
      <c r="AS740" s="21"/>
      <c r="AT740" s="25"/>
    </row>
    <row r="741" spans="3:51" x14ac:dyDescent="0.3">
      <c r="L741" s="3"/>
      <c r="S741" s="81"/>
    </row>
    <row r="742" spans="3:51" x14ac:dyDescent="0.3">
      <c r="L742" s="3"/>
      <c r="S742" s="81"/>
    </row>
    <row r="743" spans="3:51" x14ac:dyDescent="0.3">
      <c r="L743" s="3"/>
      <c r="S743" s="81"/>
    </row>
    <row r="744" spans="3:51" x14ac:dyDescent="0.3">
      <c r="D744" s="118" t="s">
        <v>28</v>
      </c>
      <c r="E744" s="118"/>
      <c r="F744" s="118"/>
      <c r="G744" s="118"/>
      <c r="H744" s="118"/>
      <c r="L744" s="3"/>
      <c r="M744" s="92">
        <v>1910</v>
      </c>
      <c r="N744" s="92"/>
      <c r="O744" s="92"/>
      <c r="P744" s="92"/>
      <c r="Q744" s="92"/>
      <c r="S744" s="81"/>
      <c r="V744" s="118" t="s">
        <v>29</v>
      </c>
      <c r="W744" s="118"/>
      <c r="X744" s="118"/>
      <c r="Y744" s="118"/>
      <c r="Z744" s="118"/>
      <c r="AE744" s="118" t="s">
        <v>30</v>
      </c>
      <c r="AF744" s="118"/>
      <c r="AG744" s="118"/>
      <c r="AH744" s="118"/>
      <c r="AI744" s="118"/>
      <c r="AN744" s="118" t="s">
        <v>30</v>
      </c>
      <c r="AO744" s="118"/>
      <c r="AP744" s="118"/>
      <c r="AQ744" s="118"/>
      <c r="AR744" s="118"/>
    </row>
    <row r="745" spans="3:51" s="4" customFormat="1" ht="138.75" customHeight="1" x14ac:dyDescent="0.3">
      <c r="D745" s="6" t="s">
        <v>1</v>
      </c>
      <c r="E745" s="6" t="s">
        <v>2</v>
      </c>
      <c r="F745" s="6" t="s">
        <v>3</v>
      </c>
      <c r="G745" s="6" t="s">
        <v>4</v>
      </c>
      <c r="H745" s="6" t="s">
        <v>5</v>
      </c>
      <c r="I745" s="8"/>
      <c r="J745" s="8"/>
      <c r="L745" s="3"/>
      <c r="M745" s="6" t="s">
        <v>1</v>
      </c>
      <c r="N745" s="6" t="s">
        <v>2</v>
      </c>
      <c r="O745" s="6" t="s">
        <v>3</v>
      </c>
      <c r="P745" s="6" t="s">
        <v>4</v>
      </c>
      <c r="Q745" s="6" t="s">
        <v>5</v>
      </c>
      <c r="R745"/>
      <c r="S745" s="81"/>
      <c r="V745" s="6" t="s">
        <v>1</v>
      </c>
      <c r="W745" s="6" t="s">
        <v>2</v>
      </c>
      <c r="X745" s="6" t="s">
        <v>3</v>
      </c>
      <c r="Y745" s="6" t="s">
        <v>4</v>
      </c>
      <c r="Z745" s="6" t="s">
        <v>5</v>
      </c>
      <c r="AA745" s="8"/>
      <c r="AB745" s="8"/>
      <c r="AE745" s="6" t="s">
        <v>1</v>
      </c>
      <c r="AF745" s="6" t="s">
        <v>2</v>
      </c>
      <c r="AG745" s="6" t="s">
        <v>3</v>
      </c>
      <c r="AH745" s="6" t="s">
        <v>4</v>
      </c>
      <c r="AI745" s="6" t="s">
        <v>5</v>
      </c>
      <c r="AJ745" s="8"/>
      <c r="AK745" s="8"/>
      <c r="AN745" s="6" t="s">
        <v>1</v>
      </c>
      <c r="AO745" s="6" t="s">
        <v>2</v>
      </c>
      <c r="AP745" s="6" t="s">
        <v>3</v>
      </c>
      <c r="AQ745" s="6" t="s">
        <v>4</v>
      </c>
      <c r="AR745" s="6" t="s">
        <v>5</v>
      </c>
      <c r="AS745" s="8"/>
      <c r="AT745" s="8"/>
      <c r="AU745" s="6" t="s">
        <v>1</v>
      </c>
      <c r="AV745" s="6" t="s">
        <v>2</v>
      </c>
      <c r="AW745" s="6" t="s">
        <v>3</v>
      </c>
      <c r="AX745" s="6" t="s">
        <v>4</v>
      </c>
      <c r="AY745" s="6" t="s">
        <v>5</v>
      </c>
    </row>
    <row r="746" spans="3:51" x14ac:dyDescent="0.3">
      <c r="D746">
        <f>SUM(D5:D740)</f>
        <v>211</v>
      </c>
      <c r="E746">
        <f>SUM(E5:E740)</f>
        <v>204</v>
      </c>
      <c r="F746">
        <f>SUM(F5:F740)</f>
        <v>205</v>
      </c>
      <c r="G746">
        <f>SUM(G5:G740)</f>
        <v>201</v>
      </c>
      <c r="H746">
        <f>SUM(H5:H740)</f>
        <v>204</v>
      </c>
      <c r="L746" s="3"/>
      <c r="M746">
        <f>SUM(M5:M740)</f>
        <v>65</v>
      </c>
      <c r="N746">
        <f>SUM(N5:N740)</f>
        <v>59</v>
      </c>
      <c r="O746">
        <f>SUM(O5:O740)</f>
        <v>63</v>
      </c>
      <c r="P746">
        <f>SUM(P5:P740)</f>
        <v>58</v>
      </c>
      <c r="Q746">
        <f>SUM(Q5:Q740)</f>
        <v>61</v>
      </c>
      <c r="S746" s="81"/>
      <c r="V746">
        <f>SUM(V5:V740)</f>
        <v>0</v>
      </c>
      <c r="W746">
        <f>SUM(W5:W740)</f>
        <v>0</v>
      </c>
      <c r="X746">
        <f>SUM(X5:X740)</f>
        <v>0</v>
      </c>
      <c r="Y746">
        <f>SUM(Y5:Y740)</f>
        <v>0</v>
      </c>
      <c r="Z746">
        <f>SUM(Z5:Z740)</f>
        <v>0</v>
      </c>
      <c r="AE746">
        <f>SUM(AE5:AE740)</f>
        <v>0</v>
      </c>
      <c r="AF746">
        <f>SUM(AF5:AF740)</f>
        <v>0</v>
      </c>
      <c r="AG746">
        <f>SUM(AG5:AG740)</f>
        <v>0</v>
      </c>
      <c r="AH746">
        <f>SUM(AH5:AH740)</f>
        <v>0</v>
      </c>
      <c r="AI746">
        <f>SUM(AI5:AI740)</f>
        <v>0</v>
      </c>
      <c r="AN746">
        <f>SUM(AN5:AN740)</f>
        <v>480</v>
      </c>
      <c r="AO746">
        <f>SUM(AO5:AO740)</f>
        <v>475</v>
      </c>
      <c r="AP746">
        <f>SUM(AP5:AP740)</f>
        <v>457</v>
      </c>
      <c r="AQ746">
        <f>SUM(AQ5:AQ740)</f>
        <v>445</v>
      </c>
      <c r="AR746">
        <f>SUM(AR5:AR740)</f>
        <v>462</v>
      </c>
    </row>
    <row r="747" spans="3:51" x14ac:dyDescent="0.3">
      <c r="L747" s="3"/>
      <c r="S747" s="81"/>
    </row>
    <row r="748" spans="3:51" x14ac:dyDescent="0.3">
      <c r="D748" s="61">
        <f>AVERAGE(D5:D740)</f>
        <v>4.9069767441860463</v>
      </c>
      <c r="E748" s="61">
        <f>AVERAGE(E5:E740)</f>
        <v>4.7441860465116283</v>
      </c>
      <c r="F748" s="61">
        <f>AVERAGE(F5:F740)</f>
        <v>4.7674418604651159</v>
      </c>
      <c r="G748" s="61">
        <f>AVERAGE(G5:G740)</f>
        <v>4.6744186046511631</v>
      </c>
      <c r="H748" s="61">
        <f>AVERAGE(H5:H740)</f>
        <v>4.7441860465116283</v>
      </c>
      <c r="I748" s="61"/>
      <c r="L748" s="3"/>
      <c r="M748" s="61">
        <f>AVERAGE(M5:M740)</f>
        <v>5</v>
      </c>
      <c r="N748" s="61">
        <f>AVERAGE(N5:N740)</f>
        <v>4.5384615384615383</v>
      </c>
      <c r="O748" s="61">
        <f>AVERAGE(O5:O740)</f>
        <v>4.8461538461538458</v>
      </c>
      <c r="P748" s="61">
        <f>AVERAGE(P5:P740)</f>
        <v>4.4615384615384617</v>
      </c>
      <c r="Q748" s="61">
        <f>AVERAGE(Q5:Q740)</f>
        <v>4.6923076923076925</v>
      </c>
      <c r="S748" s="81"/>
      <c r="V748" t="e">
        <f>AVERAGE(V5:V740)</f>
        <v>#DIV/0!</v>
      </c>
      <c r="W748" t="e">
        <f>AVERAGE(W5:W740)</f>
        <v>#DIV/0!</v>
      </c>
      <c r="X748" s="61" t="e">
        <f>AVERAGE(X5:X740)</f>
        <v>#DIV/0!</v>
      </c>
      <c r="Y748" t="e">
        <f>AVERAGE(Y5:Y740)</f>
        <v>#DIV/0!</v>
      </c>
      <c r="Z748" t="e">
        <f>AVERAGE(Z5:Z740)</f>
        <v>#DIV/0!</v>
      </c>
      <c r="AE748" s="7" t="e">
        <f>AVERAGE(AE5:AE740)</f>
        <v>#DIV/0!</v>
      </c>
      <c r="AF748" s="7" t="e">
        <f>AVERAGE(AF5:AF740)</f>
        <v>#DIV/0!</v>
      </c>
      <c r="AG748" s="7" t="e">
        <f>AVERAGE(AG5:AG740)</f>
        <v>#DIV/0!</v>
      </c>
      <c r="AH748" s="7" t="e">
        <f>AVERAGE(AH5:AH740)</f>
        <v>#DIV/0!</v>
      </c>
      <c r="AI748" s="7" t="e">
        <f>AVERAGE(AI5:AI740)</f>
        <v>#DIV/0!</v>
      </c>
      <c r="AN748" s="7">
        <f>AVERAGE(AN5:AN740)</f>
        <v>4.9484536082474229</v>
      </c>
      <c r="AO748">
        <f>AVERAGE(AO5:AO740)</f>
        <v>4.8969072164948457</v>
      </c>
      <c r="AP748" s="61">
        <f>AVERAGE(AP5:AP740)</f>
        <v>4.7113402061855671</v>
      </c>
      <c r="AQ748" s="61">
        <f>AVERAGE(AQ5:AQ740)</f>
        <v>4.5876288659793811</v>
      </c>
      <c r="AR748">
        <f>AVERAGE(AR5:AR740)</f>
        <v>4.7628865979381443</v>
      </c>
    </row>
    <row r="749" spans="3:51" x14ac:dyDescent="0.3">
      <c r="D749" s="23">
        <f>D748/5</f>
        <v>0.98139534883720925</v>
      </c>
      <c r="E749" s="23">
        <f>E748/5</f>
        <v>0.94883720930232562</v>
      </c>
      <c r="F749" s="23">
        <f>F748/5</f>
        <v>0.95348837209302317</v>
      </c>
      <c r="G749" s="23">
        <f>G748/5</f>
        <v>0.93488372093023264</v>
      </c>
      <c r="H749" s="23">
        <f>H748/5</f>
        <v>0.94883720930232562</v>
      </c>
      <c r="L749" s="3"/>
      <c r="M749" s="23">
        <f>M748/5</f>
        <v>1</v>
      </c>
      <c r="N749" s="23">
        <f>N748/5</f>
        <v>0.90769230769230769</v>
      </c>
      <c r="O749" s="23">
        <f>O748/5</f>
        <v>0.96923076923076912</v>
      </c>
      <c r="P749" s="23">
        <f>P748/5</f>
        <v>0.89230769230769236</v>
      </c>
      <c r="Q749" s="23">
        <f>Q748/5</f>
        <v>0.93846153846153846</v>
      </c>
      <c r="S749" s="81"/>
      <c r="V749" s="23" t="e">
        <f>V748/5</f>
        <v>#DIV/0!</v>
      </c>
      <c r="W749" s="23" t="e">
        <f>W748/5</f>
        <v>#DIV/0!</v>
      </c>
      <c r="X749" s="23" t="e">
        <f>X748/5</f>
        <v>#DIV/0!</v>
      </c>
      <c r="Y749" s="23" t="e">
        <f>Y748/5</f>
        <v>#DIV/0!</v>
      </c>
      <c r="Z749" s="23" t="e">
        <f>Z748/5</f>
        <v>#DIV/0!</v>
      </c>
      <c r="AE749" s="23" t="e">
        <f>AE748/5</f>
        <v>#DIV/0!</v>
      </c>
      <c r="AF749" s="23" t="e">
        <f>AF748/5</f>
        <v>#DIV/0!</v>
      </c>
      <c r="AG749" s="23" t="e">
        <f>AG748/5</f>
        <v>#DIV/0!</v>
      </c>
      <c r="AH749" s="23" t="e">
        <f>AH748/5</f>
        <v>#DIV/0!</v>
      </c>
      <c r="AI749" s="23" t="e">
        <f>AI748/5</f>
        <v>#DIV/0!</v>
      </c>
      <c r="AN749" s="88">
        <f>AN748/5</f>
        <v>0.98969072164948457</v>
      </c>
      <c r="AO749" s="88">
        <f>AO748/5</f>
        <v>0.97938144329896915</v>
      </c>
      <c r="AP749" s="88">
        <f>AP748/5</f>
        <v>0.94226804123711339</v>
      </c>
      <c r="AQ749" s="88">
        <f>AQ748/5</f>
        <v>0.91752577319587625</v>
      </c>
      <c r="AR749" s="88">
        <f>AR748/5</f>
        <v>0.95257731958762881</v>
      </c>
    </row>
    <row r="750" spans="3:51" x14ac:dyDescent="0.3">
      <c r="D750">
        <f>SUMIF($D$5:$D$744,5)</f>
        <v>210</v>
      </c>
      <c r="E750">
        <f>SUMIF($E$5:$E$744,5)</f>
        <v>175</v>
      </c>
      <c r="F750">
        <f>SUMIF($F$5:$F$744,5)</f>
        <v>180</v>
      </c>
      <c r="G750">
        <f>SUMIF($G$5:$G$744,5)</f>
        <v>170</v>
      </c>
      <c r="H750">
        <f>SUMIF($H$5:$H$744,5)</f>
        <v>180</v>
      </c>
      <c r="L750" s="3"/>
      <c r="M750">
        <f>SUMIF($M$5:$M$740,5)</f>
        <v>65</v>
      </c>
      <c r="N750">
        <f>SUMIF($N$5:$N$740,5)</f>
        <v>50</v>
      </c>
      <c r="O750">
        <f>SUMIF($O$5:$O$740,5)</f>
        <v>60</v>
      </c>
      <c r="P750">
        <f>SUMIF($P$5:$P$740,5)</f>
        <v>40</v>
      </c>
      <c r="Q750">
        <f>SUMIF($Q$5:$Q$740,5)</f>
        <v>50</v>
      </c>
      <c r="S750" s="81"/>
      <c r="V750">
        <f>SUMIF($V$5:$V$740,5)</f>
        <v>0</v>
      </c>
      <c r="W750">
        <f>SUMIF($W$5:$W$740,5)</f>
        <v>0</v>
      </c>
      <c r="X750">
        <f>SUMIF($X$5:$X$740,5)</f>
        <v>0</v>
      </c>
      <c r="Y750">
        <f>SUMIF($Y$5:$Y$740,5)</f>
        <v>0</v>
      </c>
      <c r="Z750">
        <f>SUMIF($Z$5:$Z$740,5)</f>
        <v>0</v>
      </c>
      <c r="AE750">
        <f>SUMIF($AE$5:$AE$740,5)</f>
        <v>0</v>
      </c>
      <c r="AF750">
        <f>SUMIF($AF$5:$AF$740,5)</f>
        <v>0</v>
      </c>
      <c r="AG750">
        <f>SUMIF($AG$5:$AG$740,5)</f>
        <v>0</v>
      </c>
      <c r="AH750">
        <f>SUMIF($AH$5:$AH$740,5)</f>
        <v>0</v>
      </c>
      <c r="AI750">
        <f>SUMIF($AI$5:$AI$740,5)</f>
        <v>0</v>
      </c>
      <c r="AN750">
        <f>SUMIF($AN$5:$AN$740,5)</f>
        <v>475</v>
      </c>
      <c r="AO750">
        <f>SUMIF($AO$5:$AO$740,5)</f>
        <v>450</v>
      </c>
      <c r="AP750">
        <f>SUMIF($AP$5:$AP$740,5)</f>
        <v>395</v>
      </c>
      <c r="AQ750">
        <f>SUMIF($AQ$5:$AQ$740,5)</f>
        <v>365</v>
      </c>
      <c r="AR750">
        <f>SUMIF($AR$5:$AR$740,5)</f>
        <v>405</v>
      </c>
      <c r="AU750">
        <f t="shared" ref="AU750:AY754" si="0">D750+M750+V750+AE750+AN750</f>
        <v>750</v>
      </c>
      <c r="AV750">
        <f t="shared" si="0"/>
        <v>675</v>
      </c>
      <c r="AW750">
        <f t="shared" si="0"/>
        <v>635</v>
      </c>
      <c r="AX750">
        <f t="shared" si="0"/>
        <v>575</v>
      </c>
      <c r="AY750">
        <f t="shared" si="0"/>
        <v>635</v>
      </c>
    </row>
    <row r="751" spans="3:51" x14ac:dyDescent="0.3">
      <c r="D751">
        <f>SUMIF($D$5:$D$744,4)</f>
        <v>0</v>
      </c>
      <c r="E751">
        <f>SUMIF($E$5:$E$744,4)</f>
        <v>28</v>
      </c>
      <c r="F751">
        <f>SUMIF($F$5:$F$744,4)</f>
        <v>24</v>
      </c>
      <c r="G751">
        <f>SUMIF($G$5:$G$744,4)</f>
        <v>24</v>
      </c>
      <c r="H751">
        <f>SUMIF($H$5:$H$744,4)</f>
        <v>20</v>
      </c>
      <c r="L751" s="3"/>
      <c r="M751">
        <f>SUMIF($M$5:$M$740,4)</f>
        <v>0</v>
      </c>
      <c r="N751">
        <f>SUMIF($N$5:$N$740,4)</f>
        <v>4</v>
      </c>
      <c r="O751">
        <f>SUMIF($O$5:$O$740,4)</f>
        <v>0</v>
      </c>
      <c r="P751">
        <f>SUMIF($P$5:$P$740,4)</f>
        <v>12</v>
      </c>
      <c r="Q751">
        <f>SUMIF($Q$5:$Q$740,4)</f>
        <v>8</v>
      </c>
      <c r="S751" s="81"/>
      <c r="V751">
        <f>SUMIF($V$5:$V$740,4)</f>
        <v>0</v>
      </c>
      <c r="W751">
        <f>SUMIF($W$5:$W$740,4)</f>
        <v>0</v>
      </c>
      <c r="X751">
        <f>SUMIF($X$5:$X$740,4)</f>
        <v>0</v>
      </c>
      <c r="Y751">
        <f>SUMIF($Y$5:$Y$740,4)</f>
        <v>0</v>
      </c>
      <c r="Z751">
        <f>SUMIF($Z$5:$Z$740,4)</f>
        <v>0</v>
      </c>
      <c r="AE751">
        <f>SUMIF($AE$5:$AE$740,4)</f>
        <v>0</v>
      </c>
      <c r="AF751">
        <f>SUMIF($AF$5:$AF$740,4)</f>
        <v>0</v>
      </c>
      <c r="AG751">
        <f>SUMIF($AG$5:$AG$740,4)</f>
        <v>0</v>
      </c>
      <c r="AH751">
        <f>SUMIF($AH$5:$AH$740,4)</f>
        <v>0</v>
      </c>
      <c r="AI751">
        <f>SUMIF($AI$5:$AI$740,4)</f>
        <v>0</v>
      </c>
      <c r="AN751">
        <f>SUMIF($AN$5:$AN$740,4)</f>
        <v>4</v>
      </c>
      <c r="AO751">
        <f>SUMIF($AO$5:$AO$740,4)</f>
        <v>24</v>
      </c>
      <c r="AP751">
        <f>SUMIF($AP$5:$AP$740,4)</f>
        <v>40</v>
      </c>
      <c r="AQ751">
        <f>SUMIF($AQ$5:$AQ$740,4)</f>
        <v>52</v>
      </c>
      <c r="AR751">
        <f>SUMIF($AR$5:$AR$740,4)</f>
        <v>44</v>
      </c>
      <c r="AU751">
        <f t="shared" si="0"/>
        <v>4</v>
      </c>
      <c r="AV751">
        <f t="shared" si="0"/>
        <v>56</v>
      </c>
      <c r="AW751">
        <f t="shared" si="0"/>
        <v>64</v>
      </c>
      <c r="AX751">
        <f t="shared" si="0"/>
        <v>88</v>
      </c>
      <c r="AY751">
        <f t="shared" si="0"/>
        <v>72</v>
      </c>
    </row>
    <row r="752" spans="3:51" x14ac:dyDescent="0.3">
      <c r="D752">
        <f>SUMIF($D$5:$D$744,3)</f>
        <v>0</v>
      </c>
      <c r="E752">
        <f>SUMIF($E$5:$E$744,3)</f>
        <v>0</v>
      </c>
      <c r="F752">
        <f>SUMIF($F$5:$F$744,3)</f>
        <v>0</v>
      </c>
      <c r="G752">
        <f>SUMIF($G$5:$G$744,3)</f>
        <v>6</v>
      </c>
      <c r="H752">
        <f>SUMIF($H$5:$H$744,3)</f>
        <v>3</v>
      </c>
      <c r="L752" s="3"/>
      <c r="M752">
        <f>SUMIF($M$5:$M$740,3)</f>
        <v>0</v>
      </c>
      <c r="N752">
        <f>SUMIF($N$5:$N$740,3)</f>
        <v>3</v>
      </c>
      <c r="O752">
        <f>SUMIF($O$5:$O$740,3)</f>
        <v>3</v>
      </c>
      <c r="P752">
        <f>SUMIF($P$5:$P$740,3)</f>
        <v>6</v>
      </c>
      <c r="Q752">
        <f>SUMIF($Q$5:$Q$740,3)</f>
        <v>3</v>
      </c>
      <c r="S752" s="81"/>
      <c r="V752">
        <f>SUMIF($V$5:$V$740,3)</f>
        <v>0</v>
      </c>
      <c r="W752">
        <f>SUMIF($W$5:$W$740,3)</f>
        <v>0</v>
      </c>
      <c r="X752">
        <f>SUMIF($X$5:$X$740,3)</f>
        <v>0</v>
      </c>
      <c r="Y752">
        <f>SUMIF($Y$5:$Y$740,3)</f>
        <v>0</v>
      </c>
      <c r="Z752">
        <f>SUMIF($Z$5:$Z$740,3)</f>
        <v>0</v>
      </c>
      <c r="AE752">
        <f>SUMIF($AE$5:$AE$740,3)</f>
        <v>0</v>
      </c>
      <c r="AF752">
        <f>SUMIF($AF$5:$AF$740,3)</f>
        <v>0</v>
      </c>
      <c r="AG752">
        <f>SUMIF($AG$5:$AG$740,3)</f>
        <v>0</v>
      </c>
      <c r="AH752">
        <f>SUMIF($AH$5:$AH$740,3)</f>
        <v>0</v>
      </c>
      <c r="AI752">
        <f>SUMIF($AI$5:$AI$740,3)</f>
        <v>0</v>
      </c>
      <c r="AN752">
        <f>SUMIF($AN$5:$AN$740,3)</f>
        <v>0</v>
      </c>
      <c r="AO752">
        <f>SUMIF($AO$5:$AO$740,3)</f>
        <v>0</v>
      </c>
      <c r="AP752">
        <f>SUMIF($AP$5:$AP$740,3)</f>
        <v>21</v>
      </c>
      <c r="AQ752">
        <f>SUMIF($AQ$5:$AQ$740,3)</f>
        <v>21</v>
      </c>
      <c r="AR752">
        <f>SUMIF($AR$5:$AR$740,3)</f>
        <v>12</v>
      </c>
      <c r="AU752">
        <f t="shared" si="0"/>
        <v>0</v>
      </c>
      <c r="AV752">
        <f t="shared" si="0"/>
        <v>3</v>
      </c>
      <c r="AW752">
        <f t="shared" si="0"/>
        <v>24</v>
      </c>
      <c r="AX752">
        <f t="shared" si="0"/>
        <v>33</v>
      </c>
      <c r="AY752">
        <f t="shared" si="0"/>
        <v>18</v>
      </c>
    </row>
    <row r="753" spans="4:51" x14ac:dyDescent="0.3">
      <c r="D753">
        <f>SUMIF($D$5:$D$744,2)</f>
        <v>0</v>
      </c>
      <c r="E753">
        <f>SUMIF($E$5:$E$744,2)</f>
        <v>0</v>
      </c>
      <c r="F753">
        <f>SUMIF($F$5:$F$744,2)</f>
        <v>0</v>
      </c>
      <c r="G753">
        <f>SUMIF($G$5:$G$744,2)</f>
        <v>0</v>
      </c>
      <c r="H753">
        <f>SUMIF($H$5:$H$744,2)</f>
        <v>0</v>
      </c>
      <c r="L753" s="3"/>
      <c r="M753">
        <f>SUMIF($M$5:$M$740,2)</f>
        <v>0</v>
      </c>
      <c r="N753">
        <f>SUMIF($N$5:$N$740,2)</f>
        <v>2</v>
      </c>
      <c r="O753">
        <f>SUMIF($O$5:$O$740,2)</f>
        <v>0</v>
      </c>
      <c r="P753">
        <f>SUMIF($P$5:$P$740,2)</f>
        <v>0</v>
      </c>
      <c r="Q753">
        <f>SUMIF($Q$5:$Q$740,2)</f>
        <v>0</v>
      </c>
      <c r="S753" s="81"/>
      <c r="V753">
        <f>SUMIF($V$5:$V$740,2)</f>
        <v>0</v>
      </c>
      <c r="W753">
        <f>SUMIF($W$5:$W$740,2)</f>
        <v>0</v>
      </c>
      <c r="X753">
        <f>SUMIF($X$5:$X$740,2)</f>
        <v>0</v>
      </c>
      <c r="Y753">
        <f>SUMIF($Y$5:$Y$740,2)</f>
        <v>0</v>
      </c>
      <c r="Z753">
        <f>SUMIF($Z$5:$Z$740,2)</f>
        <v>0</v>
      </c>
      <c r="AE753">
        <f>SUMIF($AE$5:$AE$740,2)</f>
        <v>0</v>
      </c>
      <c r="AF753">
        <f>SUMIF($AF$5:$AF$740,2)</f>
        <v>0</v>
      </c>
      <c r="AG753">
        <f>SUMIF($AG$5:$AG$740,2)</f>
        <v>0</v>
      </c>
      <c r="AH753">
        <f>SUMIF($AH$5:$AH$740,2)</f>
        <v>0</v>
      </c>
      <c r="AI753">
        <f>SUMIF($AI$5:$AI$740,2)</f>
        <v>0</v>
      </c>
      <c r="AN753">
        <f>SUMIF($AN$5:$AN$740,2)</f>
        <v>0</v>
      </c>
      <c r="AO753">
        <f>SUMIF($AO$5:$AO$740,2)</f>
        <v>0</v>
      </c>
      <c r="AP753">
        <f>SUMIF($AP$5:$AP$740,2)</f>
        <v>0</v>
      </c>
      <c r="AQ753">
        <f>SUMIF($AQ$5:$AQ$740,2)</f>
        <v>6</v>
      </c>
      <c r="AR753">
        <f>SUMIF($AR$5:$AR$740,2)</f>
        <v>0</v>
      </c>
      <c r="AU753">
        <f t="shared" si="0"/>
        <v>0</v>
      </c>
      <c r="AV753">
        <f t="shared" si="0"/>
        <v>2</v>
      </c>
      <c r="AW753">
        <f t="shared" si="0"/>
        <v>0</v>
      </c>
      <c r="AX753">
        <f t="shared" si="0"/>
        <v>6</v>
      </c>
      <c r="AY753">
        <f t="shared" si="0"/>
        <v>0</v>
      </c>
    </row>
    <row r="754" spans="4:51" x14ac:dyDescent="0.3">
      <c r="D754">
        <f>SUMIF($D$5:$D$744,1)</f>
        <v>1</v>
      </c>
      <c r="E754">
        <f>SUMIF($E$5:$E$744,1)</f>
        <v>1</v>
      </c>
      <c r="F754">
        <f>SUMIF($F$5:$F$744,1)</f>
        <v>1</v>
      </c>
      <c r="G754">
        <f>SUMIF($G$5:$G$744,1)</f>
        <v>1</v>
      </c>
      <c r="H754">
        <f>SUMIF($H$5:$H$744,1)</f>
        <v>1</v>
      </c>
      <c r="L754" s="3"/>
      <c r="M754">
        <f>SUMIF($M$5:$M$740,1)</f>
        <v>0</v>
      </c>
      <c r="N754">
        <f>SUMIF($N$5:$N$740,1)</f>
        <v>0</v>
      </c>
      <c r="O754">
        <f>SUMIF($O$5:$O$740,1)</f>
        <v>0</v>
      </c>
      <c r="P754">
        <f>SUMIF($P$5:$P$740,1)</f>
        <v>0</v>
      </c>
      <c r="Q754">
        <f>SUMIF($Q$5:$Q$740,1)</f>
        <v>0</v>
      </c>
      <c r="S754" s="81"/>
      <c r="V754">
        <f>SUMIF($V$5:$V$740,1)</f>
        <v>0</v>
      </c>
      <c r="W754">
        <f>SUMIF($W$5:$W$740,1)</f>
        <v>0</v>
      </c>
      <c r="X754">
        <f>SUMIF($X$5:$X$740,1)</f>
        <v>0</v>
      </c>
      <c r="Y754">
        <f>SUMIF($Y$5:$Y$740,1)</f>
        <v>0</v>
      </c>
      <c r="Z754">
        <f>SUMIF($Z$5:$Z$740,1)</f>
        <v>0</v>
      </c>
      <c r="AE754">
        <f>SUMIF($AE$5:$AE$740,1)</f>
        <v>0</v>
      </c>
      <c r="AF754">
        <f>SUMIF($AF$5:$AF$740,1)</f>
        <v>0</v>
      </c>
      <c r="AG754">
        <f>SUMIF($AG$5:$AG$740,1)</f>
        <v>0</v>
      </c>
      <c r="AH754">
        <f>SUMIF($AH$5:$AH$740,1)</f>
        <v>0</v>
      </c>
      <c r="AI754">
        <f>SUMIF($AI$5:$AI$740,1)</f>
        <v>0</v>
      </c>
      <c r="AN754">
        <f>SUMIF($AN$5:$AN$740,1)</f>
        <v>1</v>
      </c>
      <c r="AO754">
        <f>SUMIF($AO$5:$AO$740,1)</f>
        <v>1</v>
      </c>
      <c r="AP754">
        <f>SUMIF($AP$5:$AP$740,1)</f>
        <v>1</v>
      </c>
      <c r="AQ754">
        <f>SUMIF($AQ$5:$AQ$740,1)</f>
        <v>1</v>
      </c>
      <c r="AR754">
        <f>SUMIF($AR$5:$AR$740,1)</f>
        <v>1</v>
      </c>
      <c r="AU754">
        <f t="shared" si="0"/>
        <v>2</v>
      </c>
      <c r="AV754">
        <f t="shared" si="0"/>
        <v>2</v>
      </c>
      <c r="AW754">
        <f t="shared" si="0"/>
        <v>2</v>
      </c>
      <c r="AX754">
        <f t="shared" si="0"/>
        <v>2</v>
      </c>
      <c r="AY754">
        <f t="shared" si="0"/>
        <v>2</v>
      </c>
    </row>
    <row r="755" spans="4:51" x14ac:dyDescent="0.3">
      <c r="L755" s="3"/>
      <c r="S755" s="81"/>
    </row>
    <row r="756" spans="4:51" x14ac:dyDescent="0.3">
      <c r="D756">
        <f>D750/5</f>
        <v>42</v>
      </c>
      <c r="E756">
        <f>E750/5</f>
        <v>35</v>
      </c>
      <c r="F756">
        <f>F750/5</f>
        <v>36</v>
      </c>
      <c r="G756">
        <f>G750/5</f>
        <v>34</v>
      </c>
      <c r="H756">
        <f>H750/5</f>
        <v>36</v>
      </c>
      <c r="L756" s="3"/>
      <c r="M756">
        <f>M750/5</f>
        <v>13</v>
      </c>
      <c r="N756">
        <f>N750/5</f>
        <v>10</v>
      </c>
      <c r="O756">
        <f>O750/5</f>
        <v>12</v>
      </c>
      <c r="P756">
        <f>P750/5</f>
        <v>8</v>
      </c>
      <c r="Q756">
        <f>Q750/5</f>
        <v>10</v>
      </c>
      <c r="S756" s="81"/>
      <c r="V756">
        <f>V750/5</f>
        <v>0</v>
      </c>
      <c r="W756">
        <f>W750/5</f>
        <v>0</v>
      </c>
      <c r="X756">
        <f>X750/5</f>
        <v>0</v>
      </c>
      <c r="Y756">
        <f>Y750/5</f>
        <v>0</v>
      </c>
      <c r="Z756">
        <f>Z750/5</f>
        <v>0</v>
      </c>
      <c r="AE756">
        <f>AE750/5</f>
        <v>0</v>
      </c>
      <c r="AF756">
        <f>AF750/5</f>
        <v>0</v>
      </c>
      <c r="AG756">
        <f>AG750/5</f>
        <v>0</v>
      </c>
      <c r="AH756">
        <f>AH750/5</f>
        <v>0</v>
      </c>
      <c r="AI756">
        <f>AI750/5</f>
        <v>0</v>
      </c>
      <c r="AN756">
        <f>AN750/5</f>
        <v>95</v>
      </c>
      <c r="AO756">
        <f>AO750/5</f>
        <v>90</v>
      </c>
      <c r="AP756">
        <f>AP750/5</f>
        <v>79</v>
      </c>
      <c r="AQ756">
        <f>AQ750/5</f>
        <v>73</v>
      </c>
      <c r="AR756">
        <f>AR750/5</f>
        <v>81</v>
      </c>
      <c r="AT756" t="s">
        <v>16</v>
      </c>
      <c r="AU756">
        <f>AU750/5</f>
        <v>150</v>
      </c>
      <c r="AV756">
        <f>AV750/5</f>
        <v>135</v>
      </c>
      <c r="AW756">
        <f>AW750/5</f>
        <v>127</v>
      </c>
      <c r="AX756">
        <f>AX750/5</f>
        <v>115</v>
      </c>
      <c r="AY756">
        <f>AY750/5</f>
        <v>127</v>
      </c>
    </row>
    <row r="757" spans="4:51" x14ac:dyDescent="0.3">
      <c r="D757">
        <f>D751/4</f>
        <v>0</v>
      </c>
      <c r="E757">
        <f>E751/4</f>
        <v>7</v>
      </c>
      <c r="F757">
        <f>F751/4</f>
        <v>6</v>
      </c>
      <c r="G757">
        <f>G751/4</f>
        <v>6</v>
      </c>
      <c r="H757">
        <f>H751/4</f>
        <v>5</v>
      </c>
      <c r="L757" s="3"/>
      <c r="M757">
        <f>M751/4</f>
        <v>0</v>
      </c>
      <c r="N757">
        <f>N751/4</f>
        <v>1</v>
      </c>
      <c r="O757">
        <f>O751/4</f>
        <v>0</v>
      </c>
      <c r="P757">
        <f>P751/4</f>
        <v>3</v>
      </c>
      <c r="Q757">
        <f>Q751/4</f>
        <v>2</v>
      </c>
      <c r="S757" s="81"/>
      <c r="V757">
        <f>V751/4</f>
        <v>0</v>
      </c>
      <c r="W757">
        <f>W751/4</f>
        <v>0</v>
      </c>
      <c r="X757">
        <f>X751/4</f>
        <v>0</v>
      </c>
      <c r="Y757">
        <f>Y751/4</f>
        <v>0</v>
      </c>
      <c r="Z757">
        <f>Z751/4</f>
        <v>0</v>
      </c>
      <c r="AE757">
        <f>AE751/4</f>
        <v>0</v>
      </c>
      <c r="AF757">
        <f>AF751/4</f>
        <v>0</v>
      </c>
      <c r="AG757">
        <f>AG751/4</f>
        <v>0</v>
      </c>
      <c r="AH757">
        <f>AH751/4</f>
        <v>0</v>
      </c>
      <c r="AI757">
        <f>AI751/4</f>
        <v>0</v>
      </c>
      <c r="AN757">
        <f>AN751/4</f>
        <v>1</v>
      </c>
      <c r="AO757">
        <f>AO751/4</f>
        <v>6</v>
      </c>
      <c r="AP757">
        <f>AP751/4</f>
        <v>10</v>
      </c>
      <c r="AQ757">
        <f>AQ751/4</f>
        <v>13</v>
      </c>
      <c r="AR757">
        <f>AR751/4</f>
        <v>11</v>
      </c>
      <c r="AT757" t="s">
        <v>17</v>
      </c>
      <c r="AU757">
        <f>AU751/4</f>
        <v>1</v>
      </c>
      <c r="AV757">
        <f>AV751/4</f>
        <v>14</v>
      </c>
      <c r="AW757">
        <f>AW751/4</f>
        <v>16</v>
      </c>
      <c r="AX757">
        <f>AX751/4</f>
        <v>22</v>
      </c>
      <c r="AY757">
        <f>AY751/4</f>
        <v>18</v>
      </c>
    </row>
    <row r="758" spans="4:51" x14ac:dyDescent="0.3">
      <c r="D758">
        <f>D752/3</f>
        <v>0</v>
      </c>
      <c r="E758">
        <f>E752/3</f>
        <v>0</v>
      </c>
      <c r="F758">
        <f>F752/3</f>
        <v>0</v>
      </c>
      <c r="G758">
        <f>G752/3</f>
        <v>2</v>
      </c>
      <c r="H758">
        <f>H752/3</f>
        <v>1</v>
      </c>
      <c r="L758" s="3"/>
      <c r="M758">
        <f>M752/3</f>
        <v>0</v>
      </c>
      <c r="N758">
        <f>N752/3</f>
        <v>1</v>
      </c>
      <c r="O758">
        <f>O752/3</f>
        <v>1</v>
      </c>
      <c r="P758">
        <f>P752/3</f>
        <v>2</v>
      </c>
      <c r="Q758">
        <f>Q752/3</f>
        <v>1</v>
      </c>
      <c r="S758" s="81"/>
      <c r="V758">
        <f>V752/3</f>
        <v>0</v>
      </c>
      <c r="W758">
        <f>W752/3</f>
        <v>0</v>
      </c>
      <c r="X758">
        <f>X752/3</f>
        <v>0</v>
      </c>
      <c r="Y758">
        <f>Y752/3</f>
        <v>0</v>
      </c>
      <c r="Z758">
        <f>Z752/3</f>
        <v>0</v>
      </c>
      <c r="AE758">
        <f>AE752/3</f>
        <v>0</v>
      </c>
      <c r="AF758">
        <f>AF752/4</f>
        <v>0</v>
      </c>
      <c r="AG758">
        <f>AG752/4</f>
        <v>0</v>
      </c>
      <c r="AH758">
        <f>AH752/4</f>
        <v>0</v>
      </c>
      <c r="AI758">
        <f>AI752/4</f>
        <v>0</v>
      </c>
      <c r="AN758">
        <f>AN752/3</f>
        <v>0</v>
      </c>
      <c r="AO758">
        <f>AO752/3</f>
        <v>0</v>
      </c>
      <c r="AP758">
        <f>AP752/3</f>
        <v>7</v>
      </c>
      <c r="AQ758">
        <f>AQ752/3</f>
        <v>7</v>
      </c>
      <c r="AR758">
        <f>AR752/3</f>
        <v>4</v>
      </c>
      <c r="AT758" t="s">
        <v>18</v>
      </c>
      <c r="AU758">
        <f>AU752/3</f>
        <v>0</v>
      </c>
      <c r="AV758">
        <f>AV752/3</f>
        <v>1</v>
      </c>
      <c r="AW758">
        <f>AW752/3</f>
        <v>8</v>
      </c>
      <c r="AX758">
        <f>AX752/3</f>
        <v>11</v>
      </c>
      <c r="AY758">
        <f>AY752/3</f>
        <v>6</v>
      </c>
    </row>
    <row r="759" spans="4:51" x14ac:dyDescent="0.3">
      <c r="D759">
        <f>D753/2</f>
        <v>0</v>
      </c>
      <c r="E759">
        <f>E753/2</f>
        <v>0</v>
      </c>
      <c r="F759">
        <f>F753/2</f>
        <v>0</v>
      </c>
      <c r="G759">
        <f>G753/2</f>
        <v>0</v>
      </c>
      <c r="H759">
        <f>H753/2</f>
        <v>0</v>
      </c>
      <c r="L759" s="3"/>
      <c r="M759">
        <f>M753/2</f>
        <v>0</v>
      </c>
      <c r="N759">
        <f>N753/2</f>
        <v>1</v>
      </c>
      <c r="O759">
        <f>O753/2</f>
        <v>0</v>
      </c>
      <c r="P759">
        <f>P753/2</f>
        <v>0</v>
      </c>
      <c r="Q759">
        <f>Q753/2</f>
        <v>0</v>
      </c>
      <c r="S759" s="81"/>
      <c r="V759">
        <f>V753/2</f>
        <v>0</v>
      </c>
      <c r="W759">
        <f>W753/2</f>
        <v>0</v>
      </c>
      <c r="X759">
        <f>X753/2</f>
        <v>0</v>
      </c>
      <c r="Y759">
        <f>Y753/2</f>
        <v>0</v>
      </c>
      <c r="Z759">
        <f>Z753/2</f>
        <v>0</v>
      </c>
      <c r="AE759">
        <f>AE753/2</f>
        <v>0</v>
      </c>
      <c r="AF759">
        <f>AF753/4</f>
        <v>0</v>
      </c>
      <c r="AG759">
        <f>AG753/2</f>
        <v>0</v>
      </c>
      <c r="AH759">
        <f>AH753/4</f>
        <v>0</v>
      </c>
      <c r="AI759">
        <f>AI753/4</f>
        <v>0</v>
      </c>
      <c r="AN759">
        <f>AN753/2</f>
        <v>0</v>
      </c>
      <c r="AO759">
        <f>AO753/2</f>
        <v>0</v>
      </c>
      <c r="AP759">
        <f>AP753/2</f>
        <v>0</v>
      </c>
      <c r="AQ759">
        <f>AQ753/2</f>
        <v>3</v>
      </c>
      <c r="AR759">
        <f>AR753/2</f>
        <v>0</v>
      </c>
      <c r="AT759" t="s">
        <v>19</v>
      </c>
      <c r="AU759">
        <f>AU753/2</f>
        <v>0</v>
      </c>
      <c r="AV759">
        <f>AV753/2</f>
        <v>1</v>
      </c>
      <c r="AW759">
        <f>AW753/2</f>
        <v>0</v>
      </c>
      <c r="AX759">
        <f>AX753/2</f>
        <v>3</v>
      </c>
      <c r="AY759">
        <f>AY753/2</f>
        <v>0</v>
      </c>
    </row>
    <row r="760" spans="4:51" x14ac:dyDescent="0.3">
      <c r="D760">
        <f>D754/1</f>
        <v>1</v>
      </c>
      <c r="E760">
        <f>E754/1</f>
        <v>1</v>
      </c>
      <c r="F760">
        <f>F754/1</f>
        <v>1</v>
      </c>
      <c r="G760">
        <f>G754/1</f>
        <v>1</v>
      </c>
      <c r="H760">
        <f>H754/1</f>
        <v>1</v>
      </c>
      <c r="L760" s="3"/>
      <c r="M760">
        <f>M754/1</f>
        <v>0</v>
      </c>
      <c r="N760">
        <f>N754/1</f>
        <v>0</v>
      </c>
      <c r="O760">
        <f>O754/1</f>
        <v>0</v>
      </c>
      <c r="P760">
        <f>P754/1</f>
        <v>0</v>
      </c>
      <c r="Q760">
        <f>Q754/1</f>
        <v>0</v>
      </c>
      <c r="S760" s="81"/>
      <c r="V760">
        <f>V754/1</f>
        <v>0</v>
      </c>
      <c r="W760">
        <f>W754/1</f>
        <v>0</v>
      </c>
      <c r="X760">
        <f>X754/1</f>
        <v>0</v>
      </c>
      <c r="Y760">
        <f>Y754/1</f>
        <v>0</v>
      </c>
      <c r="Z760">
        <f>Z754/1</f>
        <v>0</v>
      </c>
      <c r="AE760">
        <f>AE754/1</f>
        <v>0</v>
      </c>
      <c r="AF760">
        <f>AF754/4</f>
        <v>0</v>
      </c>
      <c r="AG760">
        <f>AG754/1</f>
        <v>0</v>
      </c>
      <c r="AH760">
        <f>AH754/4</f>
        <v>0</v>
      </c>
      <c r="AI760">
        <f>AI754/4</f>
        <v>0</v>
      </c>
      <c r="AN760">
        <f>AN754/1</f>
        <v>1</v>
      </c>
      <c r="AO760">
        <f>AO754/1</f>
        <v>1</v>
      </c>
      <c r="AP760">
        <f>AP754/1</f>
        <v>1</v>
      </c>
      <c r="AQ760">
        <f>AQ754/1</f>
        <v>1</v>
      </c>
      <c r="AR760">
        <f>AR754/1</f>
        <v>1</v>
      </c>
      <c r="AT760" t="s">
        <v>20</v>
      </c>
      <c r="AU760">
        <f>AU754/1</f>
        <v>2</v>
      </c>
      <c r="AV760">
        <f>AV754/1</f>
        <v>2</v>
      </c>
      <c r="AW760">
        <f>AW754/1</f>
        <v>2</v>
      </c>
      <c r="AX760">
        <f>AX754/1</f>
        <v>2</v>
      </c>
      <c r="AY760">
        <f>AY754/1</f>
        <v>2</v>
      </c>
    </row>
    <row r="761" spans="4:51" x14ac:dyDescent="0.3">
      <c r="D761">
        <f>SUM(D756:D760)</f>
        <v>43</v>
      </c>
      <c r="E761">
        <f>SUM(E756:E760)</f>
        <v>43</v>
      </c>
      <c r="F761">
        <f>SUM(F756:F760)</f>
        <v>43</v>
      </c>
      <c r="G761">
        <f>SUM(G756:G760)</f>
        <v>43</v>
      </c>
      <c r="H761">
        <f>SUM(H756:H760)</f>
        <v>43</v>
      </c>
      <c r="L761" s="3"/>
      <c r="M761">
        <f>SUM(M756:M760)</f>
        <v>13</v>
      </c>
      <c r="N761">
        <f>SUM(N756:N760)</f>
        <v>13</v>
      </c>
      <c r="O761">
        <f>SUM(O756:O760)</f>
        <v>13</v>
      </c>
      <c r="P761">
        <f>SUM(P756:P760)</f>
        <v>13</v>
      </c>
      <c r="Q761">
        <f>SUM(Q756:Q760)</f>
        <v>13</v>
      </c>
      <c r="S761" s="81"/>
      <c r="V761">
        <f>SUM(V756:V760)</f>
        <v>0</v>
      </c>
      <c r="W761">
        <f>SUM(W756:W760)</f>
        <v>0</v>
      </c>
      <c r="X761">
        <f>SUM(X756:X760)</f>
        <v>0</v>
      </c>
      <c r="Y761">
        <f>SUM(Y756:Y760)</f>
        <v>0</v>
      </c>
      <c r="Z761">
        <f>SUM(Z756:Z760)</f>
        <v>0</v>
      </c>
      <c r="AE761">
        <f>SUM(AE756:AE760)</f>
        <v>0</v>
      </c>
      <c r="AF761">
        <f>SUM(AF756:AF760)</f>
        <v>0</v>
      </c>
      <c r="AG761">
        <f>SUM(AG756:AG760)</f>
        <v>0</v>
      </c>
      <c r="AH761">
        <f>SUM(AH756:AH760)</f>
        <v>0</v>
      </c>
      <c r="AI761">
        <f>SUM(AI756:AI760)</f>
        <v>0</v>
      </c>
      <c r="AN761">
        <f>SUM(AN756:AN760)</f>
        <v>97</v>
      </c>
      <c r="AO761">
        <f>SUM(AO756:AO760)</f>
        <v>97</v>
      </c>
      <c r="AP761">
        <f>SUM(AP756:AP760)</f>
        <v>97</v>
      </c>
      <c r="AQ761">
        <f>SUM(AQ756:AQ760)</f>
        <v>97</v>
      </c>
      <c r="AR761">
        <f>SUM(AR756:AR760)</f>
        <v>97</v>
      </c>
      <c r="AU761">
        <f>SUM(AU756:AU760)</f>
        <v>153</v>
      </c>
      <c r="AV761">
        <f>SUM(AV756:AV760)</f>
        <v>153</v>
      </c>
      <c r="AW761">
        <f>SUM(AW756:AW760)</f>
        <v>153</v>
      </c>
      <c r="AX761">
        <f>SUM(AX756:AX760)</f>
        <v>153</v>
      </c>
      <c r="AY761">
        <f>SUM(AY756:AY760)</f>
        <v>153</v>
      </c>
    </row>
    <row r="762" spans="4:51" x14ac:dyDescent="0.3">
      <c r="L762" s="3"/>
      <c r="S762" s="81"/>
    </row>
    <row r="763" spans="4:51" x14ac:dyDescent="0.3">
      <c r="L763" s="3"/>
      <c r="S763" s="81"/>
    </row>
    <row r="764" spans="4:51" x14ac:dyDescent="0.3">
      <c r="L764" s="3"/>
      <c r="S764" s="81"/>
      <c r="AT764" t="s">
        <v>16</v>
      </c>
      <c r="AU764" s="23">
        <f>AU756/$AU$761</f>
        <v>0.98039215686274506</v>
      </c>
      <c r="AV764" s="23">
        <f>AV756/$AV$761</f>
        <v>0.88235294117647056</v>
      </c>
      <c r="AW764" s="23">
        <f>AW756/$AW$761</f>
        <v>0.83006535947712423</v>
      </c>
      <c r="AX764" s="23">
        <f>AX756/$AX$761</f>
        <v>0.75163398692810457</v>
      </c>
      <c r="AY764" s="23">
        <f>AY756/$AY$761</f>
        <v>0.83006535947712423</v>
      </c>
    </row>
    <row r="765" spans="4:51" x14ac:dyDescent="0.3">
      <c r="L765" s="3"/>
      <c r="S765" s="81"/>
      <c r="AT765" t="s">
        <v>17</v>
      </c>
      <c r="AU765" s="23">
        <f>AU757/$AU$761</f>
        <v>6.5359477124183009E-3</v>
      </c>
      <c r="AV765" s="23">
        <f>AV757/$AV$761</f>
        <v>9.1503267973856203E-2</v>
      </c>
      <c r="AW765" s="23">
        <f>AW757/$AW$761</f>
        <v>0.10457516339869281</v>
      </c>
      <c r="AX765" s="23">
        <f>AX757/$AX$761</f>
        <v>0.1437908496732026</v>
      </c>
      <c r="AY765" s="23">
        <f>AY757/$AY$761</f>
        <v>0.11764705882352941</v>
      </c>
    </row>
    <row r="766" spans="4:51" x14ac:dyDescent="0.3">
      <c r="L766" s="3"/>
      <c r="S766" s="81"/>
      <c r="AT766" t="s">
        <v>18</v>
      </c>
      <c r="AU766" s="23">
        <f>AU758/$AU$761</f>
        <v>0</v>
      </c>
      <c r="AV766" s="23">
        <f>AV758/$AV$761</f>
        <v>6.5359477124183009E-3</v>
      </c>
      <c r="AW766" s="23">
        <f>AW758/$AW$761</f>
        <v>5.2287581699346407E-2</v>
      </c>
      <c r="AX766" s="23">
        <f>AX758/$AX$761</f>
        <v>7.1895424836601302E-2</v>
      </c>
      <c r="AY766" s="23">
        <f>AY758/$AY$761</f>
        <v>3.9215686274509803E-2</v>
      </c>
    </row>
    <row r="767" spans="4:51" x14ac:dyDescent="0.3">
      <c r="L767" s="3"/>
      <c r="S767" s="81"/>
      <c r="AT767" t="s">
        <v>19</v>
      </c>
      <c r="AU767" s="23">
        <f>AU759/$AU$761</f>
        <v>0</v>
      </c>
      <c r="AV767" s="23">
        <f>AV759/$AV$761</f>
        <v>6.5359477124183009E-3</v>
      </c>
      <c r="AW767" s="23">
        <f>AW759/$AW$761</f>
        <v>0</v>
      </c>
      <c r="AX767" s="23">
        <f>AX759/$AX$761</f>
        <v>1.9607843137254902E-2</v>
      </c>
      <c r="AY767" s="23">
        <f>AY759/$AY$761</f>
        <v>0</v>
      </c>
    </row>
    <row r="768" spans="4:51" x14ac:dyDescent="0.3">
      <c r="L768" s="3"/>
      <c r="S768" s="81"/>
      <c r="AT768" t="s">
        <v>20</v>
      </c>
      <c r="AU768" s="23">
        <f>AU760/$AU$761</f>
        <v>1.3071895424836602E-2</v>
      </c>
      <c r="AV768" s="23">
        <f>AV760/$AV$761</f>
        <v>1.3071895424836602E-2</v>
      </c>
      <c r="AW768" s="23">
        <f>AW760/$AW$761</f>
        <v>1.3071895424836602E-2</v>
      </c>
      <c r="AX768" s="23">
        <f>AX760/$AX$761</f>
        <v>1.3071895424836602E-2</v>
      </c>
      <c r="AY768" s="23">
        <f>AY760/$AY$761</f>
        <v>1.3071895424836602E-2</v>
      </c>
    </row>
    <row r="769" spans="7:51" x14ac:dyDescent="0.3">
      <c r="L769" s="3"/>
      <c r="S769" s="81"/>
      <c r="AU769" s="24">
        <f>SUM(AU764:AU768)</f>
        <v>0.99999999999999989</v>
      </c>
      <c r="AV769" s="24">
        <f>SUM(AV764:AV768)</f>
        <v>0.99999999999999989</v>
      </c>
      <c r="AW769" s="24">
        <f>SUM(AW764:AW768)</f>
        <v>1</v>
      </c>
      <c r="AX769" s="24">
        <f>SUM(AX764:AX768)</f>
        <v>0.99999999999999989</v>
      </c>
      <c r="AY769" s="24">
        <f>SUM(AY764:AY768)</f>
        <v>1</v>
      </c>
    </row>
    <row r="770" spans="7:51" x14ac:dyDescent="0.3">
      <c r="L770" s="3"/>
      <c r="S770" s="81"/>
    </row>
    <row r="771" spans="7:51" x14ac:dyDescent="0.3">
      <c r="L771" s="3"/>
      <c r="S771" s="81"/>
    </row>
    <row r="772" spans="7:51" x14ac:dyDescent="0.3">
      <c r="J772" s="2"/>
      <c r="L772" s="3"/>
      <c r="S772" s="81"/>
    </row>
    <row r="773" spans="7:51" x14ac:dyDescent="0.3">
      <c r="J773" s="2"/>
      <c r="L773" s="3"/>
      <c r="S773" s="81"/>
    </row>
    <row r="774" spans="7:51" x14ac:dyDescent="0.3">
      <c r="L774" s="3"/>
      <c r="S774" s="81"/>
    </row>
    <row r="775" spans="7:51" x14ac:dyDescent="0.3">
      <c r="G775" s="3"/>
      <c r="J775" s="2"/>
      <c r="L775" s="3"/>
      <c r="S775" s="81"/>
    </row>
    <row r="776" spans="7:51" x14ac:dyDescent="0.3">
      <c r="G776" s="3"/>
      <c r="J776" s="2"/>
      <c r="L776" s="3"/>
      <c r="S776" s="81"/>
    </row>
    <row r="777" spans="7:51" x14ac:dyDescent="0.3">
      <c r="L777" s="3"/>
      <c r="M777" s="3"/>
      <c r="N777" s="3"/>
      <c r="O777" s="3"/>
      <c r="P777" s="3"/>
      <c r="Q777" s="3"/>
      <c r="R777" s="3"/>
      <c r="S777" s="81"/>
    </row>
    <row r="778" spans="7:51" x14ac:dyDescent="0.3">
      <c r="L778" s="3"/>
      <c r="M778" s="3"/>
      <c r="N778" s="3"/>
      <c r="O778" s="3"/>
      <c r="P778" s="3"/>
      <c r="Q778" s="3"/>
      <c r="R778" s="3"/>
      <c r="S778" s="81"/>
    </row>
    <row r="779" spans="7:51" x14ac:dyDescent="0.3">
      <c r="L779" s="3"/>
      <c r="R779" s="3"/>
      <c r="S779" s="2"/>
    </row>
    <row r="785" spans="12:19" x14ac:dyDescent="0.3">
      <c r="L785" s="4"/>
      <c r="R785" s="8"/>
      <c r="S785" s="8"/>
    </row>
  </sheetData>
  <sortState ref="C6:J701">
    <sortCondition ref="I6:I701"/>
  </sortState>
  <mergeCells count="4">
    <mergeCell ref="D744:H744"/>
    <mergeCell ref="V744:Z744"/>
    <mergeCell ref="AE744:AI744"/>
    <mergeCell ref="AN744:AR744"/>
  </mergeCells>
  <pageMargins left="0.11811023622047245" right="0.11811023622047245" top="0.15748031496062992" bottom="0.15748031496062992"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1"/>
  <sheetViews>
    <sheetView tabSelected="1" topLeftCell="A13" zoomScale="76" zoomScaleNormal="110" workbookViewId="0">
      <selection activeCell="I41" sqref="I41"/>
    </sheetView>
  </sheetViews>
  <sheetFormatPr baseColWidth="10" defaultRowHeight="13.2" x14ac:dyDescent="0.25"/>
  <cols>
    <col min="1" max="1" width="3.33203125" style="9" customWidth="1"/>
    <col min="2" max="2" width="62.6640625" style="9" customWidth="1"/>
    <col min="3" max="3" width="7.44140625" style="9" customWidth="1"/>
    <col min="4" max="4" width="11.33203125" style="9" customWidth="1"/>
    <col min="5" max="5" width="9.6640625" style="9" customWidth="1"/>
    <col min="6" max="6" width="15" style="9" customWidth="1"/>
    <col min="7" max="7" width="12" style="9" customWidth="1"/>
    <col min="8" max="232" width="11.44140625" style="9"/>
    <col min="233" max="233" width="15" style="9" customWidth="1"/>
    <col min="234" max="234" width="57.88671875" style="9" customWidth="1"/>
    <col min="235" max="237" width="11.5546875" style="9" customWidth="1"/>
    <col min="238" max="241" width="13.6640625" style="9" customWidth="1"/>
    <col min="242" max="249" width="0" style="9" hidden="1" customWidth="1"/>
    <col min="250" max="250" width="10.5546875" style="9" customWidth="1"/>
    <col min="251" max="251" width="12.109375" style="9" customWidth="1"/>
    <col min="252" max="252" width="8.5546875" style="9" customWidth="1"/>
    <col min="253" max="253" width="9.88671875" style="9" customWidth="1"/>
    <col min="254" max="254" width="8.5546875" style="9" customWidth="1"/>
    <col min="255" max="255" width="9.33203125" style="9" customWidth="1"/>
    <col min="256" max="256" width="2.5546875" style="9" customWidth="1"/>
    <col min="257" max="488" width="11.44140625" style="9"/>
    <col min="489" max="489" width="15" style="9" customWidth="1"/>
    <col min="490" max="490" width="57.88671875" style="9" customWidth="1"/>
    <col min="491" max="493" width="11.5546875" style="9" customWidth="1"/>
    <col min="494" max="497" width="13.6640625" style="9" customWidth="1"/>
    <col min="498" max="505" width="0" style="9" hidden="1" customWidth="1"/>
    <col min="506" max="506" width="10.5546875" style="9" customWidth="1"/>
    <col min="507" max="507" width="12.109375" style="9" customWidth="1"/>
    <col min="508" max="508" width="8.5546875" style="9" customWidth="1"/>
    <col min="509" max="509" width="9.88671875" style="9" customWidth="1"/>
    <col min="510" max="510" width="8.5546875" style="9" customWidth="1"/>
    <col min="511" max="511" width="9.33203125" style="9" customWidth="1"/>
    <col min="512" max="512" width="2.5546875" style="9" customWidth="1"/>
    <col min="513" max="744" width="11.44140625" style="9"/>
    <col min="745" max="745" width="15" style="9" customWidth="1"/>
    <col min="746" max="746" width="57.88671875" style="9" customWidth="1"/>
    <col min="747" max="749" width="11.5546875" style="9" customWidth="1"/>
    <col min="750" max="753" width="13.6640625" style="9" customWidth="1"/>
    <col min="754" max="761" width="0" style="9" hidden="1" customWidth="1"/>
    <col min="762" max="762" width="10.5546875" style="9" customWidth="1"/>
    <col min="763" max="763" width="12.109375" style="9" customWidth="1"/>
    <col min="764" max="764" width="8.5546875" style="9" customWidth="1"/>
    <col min="765" max="765" width="9.88671875" style="9" customWidth="1"/>
    <col min="766" max="766" width="8.5546875" style="9" customWidth="1"/>
    <col min="767" max="767" width="9.33203125" style="9" customWidth="1"/>
    <col min="768" max="768" width="2.5546875" style="9" customWidth="1"/>
    <col min="769" max="1000" width="11.44140625" style="9"/>
    <col min="1001" max="1001" width="15" style="9" customWidth="1"/>
    <col min="1002" max="1002" width="57.88671875" style="9" customWidth="1"/>
    <col min="1003" max="1005" width="11.5546875" style="9" customWidth="1"/>
    <col min="1006" max="1009" width="13.6640625" style="9" customWidth="1"/>
    <col min="1010" max="1017" width="0" style="9" hidden="1" customWidth="1"/>
    <col min="1018" max="1018" width="10.5546875" style="9" customWidth="1"/>
    <col min="1019" max="1019" width="12.109375" style="9" customWidth="1"/>
    <col min="1020" max="1020" width="8.5546875" style="9" customWidth="1"/>
    <col min="1021" max="1021" width="9.88671875" style="9" customWidth="1"/>
    <col min="1022" max="1022" width="8.5546875" style="9" customWidth="1"/>
    <col min="1023" max="1023" width="9.33203125" style="9" customWidth="1"/>
    <col min="1024" max="1024" width="2.5546875" style="9" customWidth="1"/>
    <col min="1025" max="1256" width="11.44140625" style="9"/>
    <col min="1257" max="1257" width="15" style="9" customWidth="1"/>
    <col min="1258" max="1258" width="57.88671875" style="9" customWidth="1"/>
    <col min="1259" max="1261" width="11.5546875" style="9" customWidth="1"/>
    <col min="1262" max="1265" width="13.6640625" style="9" customWidth="1"/>
    <col min="1266" max="1273" width="0" style="9" hidden="1" customWidth="1"/>
    <col min="1274" max="1274" width="10.5546875" style="9" customWidth="1"/>
    <col min="1275" max="1275" width="12.109375" style="9" customWidth="1"/>
    <col min="1276" max="1276" width="8.5546875" style="9" customWidth="1"/>
    <col min="1277" max="1277" width="9.88671875" style="9" customWidth="1"/>
    <col min="1278" max="1278" width="8.5546875" style="9" customWidth="1"/>
    <col min="1279" max="1279" width="9.33203125" style="9" customWidth="1"/>
    <col min="1280" max="1280" width="2.5546875" style="9" customWidth="1"/>
    <col min="1281" max="1512" width="11.44140625" style="9"/>
    <col min="1513" max="1513" width="15" style="9" customWidth="1"/>
    <col min="1514" max="1514" width="57.88671875" style="9" customWidth="1"/>
    <col min="1515" max="1517" width="11.5546875" style="9" customWidth="1"/>
    <col min="1518" max="1521" width="13.6640625" style="9" customWidth="1"/>
    <col min="1522" max="1529" width="0" style="9" hidden="1" customWidth="1"/>
    <col min="1530" max="1530" width="10.5546875" style="9" customWidth="1"/>
    <col min="1531" max="1531" width="12.109375" style="9" customWidth="1"/>
    <col min="1532" max="1532" width="8.5546875" style="9" customWidth="1"/>
    <col min="1533" max="1533" width="9.88671875" style="9" customWidth="1"/>
    <col min="1534" max="1534" width="8.5546875" style="9" customWidth="1"/>
    <col min="1535" max="1535" width="9.33203125" style="9" customWidth="1"/>
    <col min="1536" max="1536" width="2.5546875" style="9" customWidth="1"/>
    <col min="1537" max="1768" width="11.44140625" style="9"/>
    <col min="1769" max="1769" width="15" style="9" customWidth="1"/>
    <col min="1770" max="1770" width="57.88671875" style="9" customWidth="1"/>
    <col min="1771" max="1773" width="11.5546875" style="9" customWidth="1"/>
    <col min="1774" max="1777" width="13.6640625" style="9" customWidth="1"/>
    <col min="1778" max="1785" width="0" style="9" hidden="1" customWidth="1"/>
    <col min="1786" max="1786" width="10.5546875" style="9" customWidth="1"/>
    <col min="1787" max="1787" width="12.109375" style="9" customWidth="1"/>
    <col min="1788" max="1788" width="8.5546875" style="9" customWidth="1"/>
    <col min="1789" max="1789" width="9.88671875" style="9" customWidth="1"/>
    <col min="1790" max="1790" width="8.5546875" style="9" customWidth="1"/>
    <col min="1791" max="1791" width="9.33203125" style="9" customWidth="1"/>
    <col min="1792" max="1792" width="2.5546875" style="9" customWidth="1"/>
    <col min="1793" max="2024" width="11.44140625" style="9"/>
    <col min="2025" max="2025" width="15" style="9" customWidth="1"/>
    <col min="2026" max="2026" width="57.88671875" style="9" customWidth="1"/>
    <col min="2027" max="2029" width="11.5546875" style="9" customWidth="1"/>
    <col min="2030" max="2033" width="13.6640625" style="9" customWidth="1"/>
    <col min="2034" max="2041" width="0" style="9" hidden="1" customWidth="1"/>
    <col min="2042" max="2042" width="10.5546875" style="9" customWidth="1"/>
    <col min="2043" max="2043" width="12.109375" style="9" customWidth="1"/>
    <col min="2044" max="2044" width="8.5546875" style="9" customWidth="1"/>
    <col min="2045" max="2045" width="9.88671875" style="9" customWidth="1"/>
    <col min="2046" max="2046" width="8.5546875" style="9" customWidth="1"/>
    <col min="2047" max="2047" width="9.33203125" style="9" customWidth="1"/>
    <col min="2048" max="2048" width="2.5546875" style="9" customWidth="1"/>
    <col min="2049" max="2280" width="11.44140625" style="9"/>
    <col min="2281" max="2281" width="15" style="9" customWidth="1"/>
    <col min="2282" max="2282" width="57.88671875" style="9" customWidth="1"/>
    <col min="2283" max="2285" width="11.5546875" style="9" customWidth="1"/>
    <col min="2286" max="2289" width="13.6640625" style="9" customWidth="1"/>
    <col min="2290" max="2297" width="0" style="9" hidden="1" customWidth="1"/>
    <col min="2298" max="2298" width="10.5546875" style="9" customWidth="1"/>
    <col min="2299" max="2299" width="12.109375" style="9" customWidth="1"/>
    <col min="2300" max="2300" width="8.5546875" style="9" customWidth="1"/>
    <col min="2301" max="2301" width="9.88671875" style="9" customWidth="1"/>
    <col min="2302" max="2302" width="8.5546875" style="9" customWidth="1"/>
    <col min="2303" max="2303" width="9.33203125" style="9" customWidth="1"/>
    <col min="2304" max="2304" width="2.5546875" style="9" customWidth="1"/>
    <col min="2305" max="2536" width="11.44140625" style="9"/>
    <col min="2537" max="2537" width="15" style="9" customWidth="1"/>
    <col min="2538" max="2538" width="57.88671875" style="9" customWidth="1"/>
    <col min="2539" max="2541" width="11.5546875" style="9" customWidth="1"/>
    <col min="2542" max="2545" width="13.6640625" style="9" customWidth="1"/>
    <col min="2546" max="2553" width="0" style="9" hidden="1" customWidth="1"/>
    <col min="2554" max="2554" width="10.5546875" style="9" customWidth="1"/>
    <col min="2555" max="2555" width="12.109375" style="9" customWidth="1"/>
    <col min="2556" max="2556" width="8.5546875" style="9" customWidth="1"/>
    <col min="2557" max="2557" width="9.88671875" style="9" customWidth="1"/>
    <col min="2558" max="2558" width="8.5546875" style="9" customWidth="1"/>
    <col min="2559" max="2559" width="9.33203125" style="9" customWidth="1"/>
    <col min="2560" max="2560" width="2.5546875" style="9" customWidth="1"/>
    <col min="2561" max="2792" width="11.44140625" style="9"/>
    <col min="2793" max="2793" width="15" style="9" customWidth="1"/>
    <col min="2794" max="2794" width="57.88671875" style="9" customWidth="1"/>
    <col min="2795" max="2797" width="11.5546875" style="9" customWidth="1"/>
    <col min="2798" max="2801" width="13.6640625" style="9" customWidth="1"/>
    <col min="2802" max="2809" width="0" style="9" hidden="1" customWidth="1"/>
    <col min="2810" max="2810" width="10.5546875" style="9" customWidth="1"/>
    <col min="2811" max="2811" width="12.109375" style="9" customWidth="1"/>
    <col min="2812" max="2812" width="8.5546875" style="9" customWidth="1"/>
    <col min="2813" max="2813" width="9.88671875" style="9" customWidth="1"/>
    <col min="2814" max="2814" width="8.5546875" style="9" customWidth="1"/>
    <col min="2815" max="2815" width="9.33203125" style="9" customWidth="1"/>
    <col min="2816" max="2816" width="2.5546875" style="9" customWidth="1"/>
    <col min="2817" max="3048" width="11.44140625" style="9"/>
    <col min="3049" max="3049" width="15" style="9" customWidth="1"/>
    <col min="3050" max="3050" width="57.88671875" style="9" customWidth="1"/>
    <col min="3051" max="3053" width="11.5546875" style="9" customWidth="1"/>
    <col min="3054" max="3057" width="13.6640625" style="9" customWidth="1"/>
    <col min="3058" max="3065" width="0" style="9" hidden="1" customWidth="1"/>
    <col min="3066" max="3066" width="10.5546875" style="9" customWidth="1"/>
    <col min="3067" max="3067" width="12.109375" style="9" customWidth="1"/>
    <col min="3068" max="3068" width="8.5546875" style="9" customWidth="1"/>
    <col min="3069" max="3069" width="9.88671875" style="9" customWidth="1"/>
    <col min="3070" max="3070" width="8.5546875" style="9" customWidth="1"/>
    <col min="3071" max="3071" width="9.33203125" style="9" customWidth="1"/>
    <col min="3072" max="3072" width="2.5546875" style="9" customWidth="1"/>
    <col min="3073" max="3304" width="11.44140625" style="9"/>
    <col min="3305" max="3305" width="15" style="9" customWidth="1"/>
    <col min="3306" max="3306" width="57.88671875" style="9" customWidth="1"/>
    <col min="3307" max="3309" width="11.5546875" style="9" customWidth="1"/>
    <col min="3310" max="3313" width="13.6640625" style="9" customWidth="1"/>
    <col min="3314" max="3321" width="0" style="9" hidden="1" customWidth="1"/>
    <col min="3322" max="3322" width="10.5546875" style="9" customWidth="1"/>
    <col min="3323" max="3323" width="12.109375" style="9" customWidth="1"/>
    <col min="3324" max="3324" width="8.5546875" style="9" customWidth="1"/>
    <col min="3325" max="3325" width="9.88671875" style="9" customWidth="1"/>
    <col min="3326" max="3326" width="8.5546875" style="9" customWidth="1"/>
    <col min="3327" max="3327" width="9.33203125" style="9" customWidth="1"/>
    <col min="3328" max="3328" width="2.5546875" style="9" customWidth="1"/>
    <col min="3329" max="3560" width="11.44140625" style="9"/>
    <col min="3561" max="3561" width="15" style="9" customWidth="1"/>
    <col min="3562" max="3562" width="57.88671875" style="9" customWidth="1"/>
    <col min="3563" max="3565" width="11.5546875" style="9" customWidth="1"/>
    <col min="3566" max="3569" width="13.6640625" style="9" customWidth="1"/>
    <col min="3570" max="3577" width="0" style="9" hidden="1" customWidth="1"/>
    <col min="3578" max="3578" width="10.5546875" style="9" customWidth="1"/>
    <col min="3579" max="3579" width="12.109375" style="9" customWidth="1"/>
    <col min="3580" max="3580" width="8.5546875" style="9" customWidth="1"/>
    <col min="3581" max="3581" width="9.88671875" style="9" customWidth="1"/>
    <col min="3582" max="3582" width="8.5546875" style="9" customWidth="1"/>
    <col min="3583" max="3583" width="9.33203125" style="9" customWidth="1"/>
    <col min="3584" max="3584" width="2.5546875" style="9" customWidth="1"/>
    <col min="3585" max="3816" width="11.44140625" style="9"/>
    <col min="3817" max="3817" width="15" style="9" customWidth="1"/>
    <col min="3818" max="3818" width="57.88671875" style="9" customWidth="1"/>
    <col min="3819" max="3821" width="11.5546875" style="9" customWidth="1"/>
    <col min="3822" max="3825" width="13.6640625" style="9" customWidth="1"/>
    <col min="3826" max="3833" width="0" style="9" hidden="1" customWidth="1"/>
    <col min="3834" max="3834" width="10.5546875" style="9" customWidth="1"/>
    <col min="3835" max="3835" width="12.109375" style="9" customWidth="1"/>
    <col min="3836" max="3836" width="8.5546875" style="9" customWidth="1"/>
    <col min="3837" max="3837" width="9.88671875" style="9" customWidth="1"/>
    <col min="3838" max="3838" width="8.5546875" style="9" customWidth="1"/>
    <col min="3839" max="3839" width="9.33203125" style="9" customWidth="1"/>
    <col min="3840" max="3840" width="2.5546875" style="9" customWidth="1"/>
    <col min="3841" max="4072" width="11.44140625" style="9"/>
    <col min="4073" max="4073" width="15" style="9" customWidth="1"/>
    <col min="4074" max="4074" width="57.88671875" style="9" customWidth="1"/>
    <col min="4075" max="4077" width="11.5546875" style="9" customWidth="1"/>
    <col min="4078" max="4081" width="13.6640625" style="9" customWidth="1"/>
    <col min="4082" max="4089" width="0" style="9" hidden="1" customWidth="1"/>
    <col min="4090" max="4090" width="10.5546875" style="9" customWidth="1"/>
    <col min="4091" max="4091" width="12.109375" style="9" customWidth="1"/>
    <col min="4092" max="4092" width="8.5546875" style="9" customWidth="1"/>
    <col min="4093" max="4093" width="9.88671875" style="9" customWidth="1"/>
    <col min="4094" max="4094" width="8.5546875" style="9" customWidth="1"/>
    <col min="4095" max="4095" width="9.33203125" style="9" customWidth="1"/>
    <col min="4096" max="4096" width="2.5546875" style="9" customWidth="1"/>
    <col min="4097" max="4328" width="11.44140625" style="9"/>
    <col min="4329" max="4329" width="15" style="9" customWidth="1"/>
    <col min="4330" max="4330" width="57.88671875" style="9" customWidth="1"/>
    <col min="4331" max="4333" width="11.5546875" style="9" customWidth="1"/>
    <col min="4334" max="4337" width="13.6640625" style="9" customWidth="1"/>
    <col min="4338" max="4345" width="0" style="9" hidden="1" customWidth="1"/>
    <col min="4346" max="4346" width="10.5546875" style="9" customWidth="1"/>
    <col min="4347" max="4347" width="12.109375" style="9" customWidth="1"/>
    <col min="4348" max="4348" width="8.5546875" style="9" customWidth="1"/>
    <col min="4349" max="4349" width="9.88671875" style="9" customWidth="1"/>
    <col min="4350" max="4350" width="8.5546875" style="9" customWidth="1"/>
    <col min="4351" max="4351" width="9.33203125" style="9" customWidth="1"/>
    <col min="4352" max="4352" width="2.5546875" style="9" customWidth="1"/>
    <col min="4353" max="4584" width="11.44140625" style="9"/>
    <col min="4585" max="4585" width="15" style="9" customWidth="1"/>
    <col min="4586" max="4586" width="57.88671875" style="9" customWidth="1"/>
    <col min="4587" max="4589" width="11.5546875" style="9" customWidth="1"/>
    <col min="4590" max="4593" width="13.6640625" style="9" customWidth="1"/>
    <col min="4594" max="4601" width="0" style="9" hidden="1" customWidth="1"/>
    <col min="4602" max="4602" width="10.5546875" style="9" customWidth="1"/>
    <col min="4603" max="4603" width="12.109375" style="9" customWidth="1"/>
    <col min="4604" max="4604" width="8.5546875" style="9" customWidth="1"/>
    <col min="4605" max="4605" width="9.88671875" style="9" customWidth="1"/>
    <col min="4606" max="4606" width="8.5546875" style="9" customWidth="1"/>
    <col min="4607" max="4607" width="9.33203125" style="9" customWidth="1"/>
    <col min="4608" max="4608" width="2.5546875" style="9" customWidth="1"/>
    <col min="4609" max="4840" width="11.44140625" style="9"/>
    <col min="4841" max="4841" width="15" style="9" customWidth="1"/>
    <col min="4842" max="4842" width="57.88671875" style="9" customWidth="1"/>
    <col min="4843" max="4845" width="11.5546875" style="9" customWidth="1"/>
    <col min="4846" max="4849" width="13.6640625" style="9" customWidth="1"/>
    <col min="4850" max="4857" width="0" style="9" hidden="1" customWidth="1"/>
    <col min="4858" max="4858" width="10.5546875" style="9" customWidth="1"/>
    <col min="4859" max="4859" width="12.109375" style="9" customWidth="1"/>
    <col min="4860" max="4860" width="8.5546875" style="9" customWidth="1"/>
    <col min="4861" max="4861" width="9.88671875" style="9" customWidth="1"/>
    <col min="4862" max="4862" width="8.5546875" style="9" customWidth="1"/>
    <col min="4863" max="4863" width="9.33203125" style="9" customWidth="1"/>
    <col min="4864" max="4864" width="2.5546875" style="9" customWidth="1"/>
    <col min="4865" max="5096" width="11.44140625" style="9"/>
    <col min="5097" max="5097" width="15" style="9" customWidth="1"/>
    <col min="5098" max="5098" width="57.88671875" style="9" customWidth="1"/>
    <col min="5099" max="5101" width="11.5546875" style="9" customWidth="1"/>
    <col min="5102" max="5105" width="13.6640625" style="9" customWidth="1"/>
    <col min="5106" max="5113" width="0" style="9" hidden="1" customWidth="1"/>
    <col min="5114" max="5114" width="10.5546875" style="9" customWidth="1"/>
    <col min="5115" max="5115" width="12.109375" style="9" customWidth="1"/>
    <col min="5116" max="5116" width="8.5546875" style="9" customWidth="1"/>
    <col min="5117" max="5117" width="9.88671875" style="9" customWidth="1"/>
    <col min="5118" max="5118" width="8.5546875" style="9" customWidth="1"/>
    <col min="5119" max="5119" width="9.33203125" style="9" customWidth="1"/>
    <col min="5120" max="5120" width="2.5546875" style="9" customWidth="1"/>
    <col min="5121" max="5352" width="11.44140625" style="9"/>
    <col min="5353" max="5353" width="15" style="9" customWidth="1"/>
    <col min="5354" max="5354" width="57.88671875" style="9" customWidth="1"/>
    <col min="5355" max="5357" width="11.5546875" style="9" customWidth="1"/>
    <col min="5358" max="5361" width="13.6640625" style="9" customWidth="1"/>
    <col min="5362" max="5369" width="0" style="9" hidden="1" customWidth="1"/>
    <col min="5370" max="5370" width="10.5546875" style="9" customWidth="1"/>
    <col min="5371" max="5371" width="12.109375" style="9" customWidth="1"/>
    <col min="5372" max="5372" width="8.5546875" style="9" customWidth="1"/>
    <col min="5373" max="5373" width="9.88671875" style="9" customWidth="1"/>
    <col min="5374" max="5374" width="8.5546875" style="9" customWidth="1"/>
    <col min="5375" max="5375" width="9.33203125" style="9" customWidth="1"/>
    <col min="5376" max="5376" width="2.5546875" style="9" customWidth="1"/>
    <col min="5377" max="5608" width="11.44140625" style="9"/>
    <col min="5609" max="5609" width="15" style="9" customWidth="1"/>
    <col min="5610" max="5610" width="57.88671875" style="9" customWidth="1"/>
    <col min="5611" max="5613" width="11.5546875" style="9" customWidth="1"/>
    <col min="5614" max="5617" width="13.6640625" style="9" customWidth="1"/>
    <col min="5618" max="5625" width="0" style="9" hidden="1" customWidth="1"/>
    <col min="5626" max="5626" width="10.5546875" style="9" customWidth="1"/>
    <col min="5627" max="5627" width="12.109375" style="9" customWidth="1"/>
    <col min="5628" max="5628" width="8.5546875" style="9" customWidth="1"/>
    <col min="5629" max="5629" width="9.88671875" style="9" customWidth="1"/>
    <col min="5630" max="5630" width="8.5546875" style="9" customWidth="1"/>
    <col min="5631" max="5631" width="9.33203125" style="9" customWidth="1"/>
    <col min="5632" max="5632" width="2.5546875" style="9" customWidth="1"/>
    <col min="5633" max="5864" width="11.44140625" style="9"/>
    <col min="5865" max="5865" width="15" style="9" customWidth="1"/>
    <col min="5866" max="5866" width="57.88671875" style="9" customWidth="1"/>
    <col min="5867" max="5869" width="11.5546875" style="9" customWidth="1"/>
    <col min="5870" max="5873" width="13.6640625" style="9" customWidth="1"/>
    <col min="5874" max="5881" width="0" style="9" hidden="1" customWidth="1"/>
    <col min="5882" max="5882" width="10.5546875" style="9" customWidth="1"/>
    <col min="5883" max="5883" width="12.109375" style="9" customWidth="1"/>
    <col min="5884" max="5884" width="8.5546875" style="9" customWidth="1"/>
    <col min="5885" max="5885" width="9.88671875" style="9" customWidth="1"/>
    <col min="5886" max="5886" width="8.5546875" style="9" customWidth="1"/>
    <col min="5887" max="5887" width="9.33203125" style="9" customWidth="1"/>
    <col min="5888" max="5888" width="2.5546875" style="9" customWidth="1"/>
    <col min="5889" max="6120" width="11.44140625" style="9"/>
    <col min="6121" max="6121" width="15" style="9" customWidth="1"/>
    <col min="6122" max="6122" width="57.88671875" style="9" customWidth="1"/>
    <col min="6123" max="6125" width="11.5546875" style="9" customWidth="1"/>
    <col min="6126" max="6129" width="13.6640625" style="9" customWidth="1"/>
    <col min="6130" max="6137" width="0" style="9" hidden="1" customWidth="1"/>
    <col min="6138" max="6138" width="10.5546875" style="9" customWidth="1"/>
    <col min="6139" max="6139" width="12.109375" style="9" customWidth="1"/>
    <col min="6140" max="6140" width="8.5546875" style="9" customWidth="1"/>
    <col min="6141" max="6141" width="9.88671875" style="9" customWidth="1"/>
    <col min="6142" max="6142" width="8.5546875" style="9" customWidth="1"/>
    <col min="6143" max="6143" width="9.33203125" style="9" customWidth="1"/>
    <col min="6144" max="6144" width="2.5546875" style="9" customWidth="1"/>
    <col min="6145" max="6376" width="11.44140625" style="9"/>
    <col min="6377" max="6377" width="15" style="9" customWidth="1"/>
    <col min="6378" max="6378" width="57.88671875" style="9" customWidth="1"/>
    <col min="6379" max="6381" width="11.5546875" style="9" customWidth="1"/>
    <col min="6382" max="6385" width="13.6640625" style="9" customWidth="1"/>
    <col min="6386" max="6393" width="0" style="9" hidden="1" customWidth="1"/>
    <col min="6394" max="6394" width="10.5546875" style="9" customWidth="1"/>
    <col min="6395" max="6395" width="12.109375" style="9" customWidth="1"/>
    <col min="6396" max="6396" width="8.5546875" style="9" customWidth="1"/>
    <col min="6397" max="6397" width="9.88671875" style="9" customWidth="1"/>
    <col min="6398" max="6398" width="8.5546875" style="9" customWidth="1"/>
    <col min="6399" max="6399" width="9.33203125" style="9" customWidth="1"/>
    <col min="6400" max="6400" width="2.5546875" style="9" customWidth="1"/>
    <col min="6401" max="6632" width="11.44140625" style="9"/>
    <col min="6633" max="6633" width="15" style="9" customWidth="1"/>
    <col min="6634" max="6634" width="57.88671875" style="9" customWidth="1"/>
    <col min="6635" max="6637" width="11.5546875" style="9" customWidth="1"/>
    <col min="6638" max="6641" width="13.6640625" style="9" customWidth="1"/>
    <col min="6642" max="6649" width="0" style="9" hidden="1" customWidth="1"/>
    <col min="6650" max="6650" width="10.5546875" style="9" customWidth="1"/>
    <col min="6651" max="6651" width="12.109375" style="9" customWidth="1"/>
    <col min="6652" max="6652" width="8.5546875" style="9" customWidth="1"/>
    <col min="6653" max="6653" width="9.88671875" style="9" customWidth="1"/>
    <col min="6654" max="6654" width="8.5546875" style="9" customWidth="1"/>
    <col min="6655" max="6655" width="9.33203125" style="9" customWidth="1"/>
    <col min="6656" max="6656" width="2.5546875" style="9" customWidth="1"/>
    <col min="6657" max="6888" width="11.44140625" style="9"/>
    <col min="6889" max="6889" width="15" style="9" customWidth="1"/>
    <col min="6890" max="6890" width="57.88671875" style="9" customWidth="1"/>
    <col min="6891" max="6893" width="11.5546875" style="9" customWidth="1"/>
    <col min="6894" max="6897" width="13.6640625" style="9" customWidth="1"/>
    <col min="6898" max="6905" width="0" style="9" hidden="1" customWidth="1"/>
    <col min="6906" max="6906" width="10.5546875" style="9" customWidth="1"/>
    <col min="6907" max="6907" width="12.109375" style="9" customWidth="1"/>
    <col min="6908" max="6908" width="8.5546875" style="9" customWidth="1"/>
    <col min="6909" max="6909" width="9.88671875" style="9" customWidth="1"/>
    <col min="6910" max="6910" width="8.5546875" style="9" customWidth="1"/>
    <col min="6911" max="6911" width="9.33203125" style="9" customWidth="1"/>
    <col min="6912" max="6912" width="2.5546875" style="9" customWidth="1"/>
    <col min="6913" max="7144" width="11.44140625" style="9"/>
    <col min="7145" max="7145" width="15" style="9" customWidth="1"/>
    <col min="7146" max="7146" width="57.88671875" style="9" customWidth="1"/>
    <col min="7147" max="7149" width="11.5546875" style="9" customWidth="1"/>
    <col min="7150" max="7153" width="13.6640625" style="9" customWidth="1"/>
    <col min="7154" max="7161" width="0" style="9" hidden="1" customWidth="1"/>
    <col min="7162" max="7162" width="10.5546875" style="9" customWidth="1"/>
    <col min="7163" max="7163" width="12.109375" style="9" customWidth="1"/>
    <col min="7164" max="7164" width="8.5546875" style="9" customWidth="1"/>
    <col min="7165" max="7165" width="9.88671875" style="9" customWidth="1"/>
    <col min="7166" max="7166" width="8.5546875" style="9" customWidth="1"/>
    <col min="7167" max="7167" width="9.33203125" style="9" customWidth="1"/>
    <col min="7168" max="7168" width="2.5546875" style="9" customWidth="1"/>
    <col min="7169" max="7400" width="11.44140625" style="9"/>
    <col min="7401" max="7401" width="15" style="9" customWidth="1"/>
    <col min="7402" max="7402" width="57.88671875" style="9" customWidth="1"/>
    <col min="7403" max="7405" width="11.5546875" style="9" customWidth="1"/>
    <col min="7406" max="7409" width="13.6640625" style="9" customWidth="1"/>
    <col min="7410" max="7417" width="0" style="9" hidden="1" customWidth="1"/>
    <col min="7418" max="7418" width="10.5546875" style="9" customWidth="1"/>
    <col min="7419" max="7419" width="12.109375" style="9" customWidth="1"/>
    <col min="7420" max="7420" width="8.5546875" style="9" customWidth="1"/>
    <col min="7421" max="7421" width="9.88671875" style="9" customWidth="1"/>
    <col min="7422" max="7422" width="8.5546875" style="9" customWidth="1"/>
    <col min="7423" max="7423" width="9.33203125" style="9" customWidth="1"/>
    <col min="7424" max="7424" width="2.5546875" style="9" customWidth="1"/>
    <col min="7425" max="7656" width="11.44140625" style="9"/>
    <col min="7657" max="7657" width="15" style="9" customWidth="1"/>
    <col min="7658" max="7658" width="57.88671875" style="9" customWidth="1"/>
    <col min="7659" max="7661" width="11.5546875" style="9" customWidth="1"/>
    <col min="7662" max="7665" width="13.6640625" style="9" customWidth="1"/>
    <col min="7666" max="7673" width="0" style="9" hidden="1" customWidth="1"/>
    <col min="7674" max="7674" width="10.5546875" style="9" customWidth="1"/>
    <col min="7675" max="7675" width="12.109375" style="9" customWidth="1"/>
    <col min="7676" max="7676" width="8.5546875" style="9" customWidth="1"/>
    <col min="7677" max="7677" width="9.88671875" style="9" customWidth="1"/>
    <col min="7678" max="7678" width="8.5546875" style="9" customWidth="1"/>
    <col min="7679" max="7679" width="9.33203125" style="9" customWidth="1"/>
    <col min="7680" max="7680" width="2.5546875" style="9" customWidth="1"/>
    <col min="7681" max="7912" width="11.44140625" style="9"/>
    <col min="7913" max="7913" width="15" style="9" customWidth="1"/>
    <col min="7914" max="7914" width="57.88671875" style="9" customWidth="1"/>
    <col min="7915" max="7917" width="11.5546875" style="9" customWidth="1"/>
    <col min="7918" max="7921" width="13.6640625" style="9" customWidth="1"/>
    <col min="7922" max="7929" width="0" style="9" hidden="1" customWidth="1"/>
    <col min="7930" max="7930" width="10.5546875" style="9" customWidth="1"/>
    <col min="7931" max="7931" width="12.109375" style="9" customWidth="1"/>
    <col min="7932" max="7932" width="8.5546875" style="9" customWidth="1"/>
    <col min="7933" max="7933" width="9.88671875" style="9" customWidth="1"/>
    <col min="7934" max="7934" width="8.5546875" style="9" customWidth="1"/>
    <col min="7935" max="7935" width="9.33203125" style="9" customWidth="1"/>
    <col min="7936" max="7936" width="2.5546875" style="9" customWidth="1"/>
    <col min="7937" max="8168" width="11.44140625" style="9"/>
    <col min="8169" max="8169" width="15" style="9" customWidth="1"/>
    <col min="8170" max="8170" width="57.88671875" style="9" customWidth="1"/>
    <col min="8171" max="8173" width="11.5546875" style="9" customWidth="1"/>
    <col min="8174" max="8177" width="13.6640625" style="9" customWidth="1"/>
    <col min="8178" max="8185" width="0" style="9" hidden="1" customWidth="1"/>
    <col min="8186" max="8186" width="10.5546875" style="9" customWidth="1"/>
    <col min="8187" max="8187" width="12.109375" style="9" customWidth="1"/>
    <col min="8188" max="8188" width="8.5546875" style="9" customWidth="1"/>
    <col min="8189" max="8189" width="9.88671875" style="9" customWidth="1"/>
    <col min="8190" max="8190" width="8.5546875" style="9" customWidth="1"/>
    <col min="8191" max="8191" width="9.33203125" style="9" customWidth="1"/>
    <col min="8192" max="8192" width="2.5546875" style="9" customWidth="1"/>
    <col min="8193" max="8424" width="11.44140625" style="9"/>
    <col min="8425" max="8425" width="15" style="9" customWidth="1"/>
    <col min="8426" max="8426" width="57.88671875" style="9" customWidth="1"/>
    <col min="8427" max="8429" width="11.5546875" style="9" customWidth="1"/>
    <col min="8430" max="8433" width="13.6640625" style="9" customWidth="1"/>
    <col min="8434" max="8441" width="0" style="9" hidden="1" customWidth="1"/>
    <col min="8442" max="8442" width="10.5546875" style="9" customWidth="1"/>
    <col min="8443" max="8443" width="12.109375" style="9" customWidth="1"/>
    <col min="8444" max="8444" width="8.5546875" style="9" customWidth="1"/>
    <col min="8445" max="8445" width="9.88671875" style="9" customWidth="1"/>
    <col min="8446" max="8446" width="8.5546875" style="9" customWidth="1"/>
    <col min="8447" max="8447" width="9.33203125" style="9" customWidth="1"/>
    <col min="8448" max="8448" width="2.5546875" style="9" customWidth="1"/>
    <col min="8449" max="8680" width="11.44140625" style="9"/>
    <col min="8681" max="8681" width="15" style="9" customWidth="1"/>
    <col min="8682" max="8682" width="57.88671875" style="9" customWidth="1"/>
    <col min="8683" max="8685" width="11.5546875" style="9" customWidth="1"/>
    <col min="8686" max="8689" width="13.6640625" style="9" customWidth="1"/>
    <col min="8690" max="8697" width="0" style="9" hidden="1" customWidth="1"/>
    <col min="8698" max="8698" width="10.5546875" style="9" customWidth="1"/>
    <col min="8699" max="8699" width="12.109375" style="9" customWidth="1"/>
    <col min="8700" max="8700" width="8.5546875" style="9" customWidth="1"/>
    <col min="8701" max="8701" width="9.88671875" style="9" customWidth="1"/>
    <col min="8702" max="8702" width="8.5546875" style="9" customWidth="1"/>
    <col min="8703" max="8703" width="9.33203125" style="9" customWidth="1"/>
    <col min="8704" max="8704" width="2.5546875" style="9" customWidth="1"/>
    <col min="8705" max="8936" width="11.44140625" style="9"/>
    <col min="8937" max="8937" width="15" style="9" customWidth="1"/>
    <col min="8938" max="8938" width="57.88671875" style="9" customWidth="1"/>
    <col min="8939" max="8941" width="11.5546875" style="9" customWidth="1"/>
    <col min="8942" max="8945" width="13.6640625" style="9" customWidth="1"/>
    <col min="8946" max="8953" width="0" style="9" hidden="1" customWidth="1"/>
    <col min="8954" max="8954" width="10.5546875" style="9" customWidth="1"/>
    <col min="8955" max="8955" width="12.109375" style="9" customWidth="1"/>
    <col min="8956" max="8956" width="8.5546875" style="9" customWidth="1"/>
    <col min="8957" max="8957" width="9.88671875" style="9" customWidth="1"/>
    <col min="8958" max="8958" width="8.5546875" style="9" customWidth="1"/>
    <col min="8959" max="8959" width="9.33203125" style="9" customWidth="1"/>
    <col min="8960" max="8960" width="2.5546875" style="9" customWidth="1"/>
    <col min="8961" max="9192" width="11.44140625" style="9"/>
    <col min="9193" max="9193" width="15" style="9" customWidth="1"/>
    <col min="9194" max="9194" width="57.88671875" style="9" customWidth="1"/>
    <col min="9195" max="9197" width="11.5546875" style="9" customWidth="1"/>
    <col min="9198" max="9201" width="13.6640625" style="9" customWidth="1"/>
    <col min="9202" max="9209" width="0" style="9" hidden="1" customWidth="1"/>
    <col min="9210" max="9210" width="10.5546875" style="9" customWidth="1"/>
    <col min="9211" max="9211" width="12.109375" style="9" customWidth="1"/>
    <col min="9212" max="9212" width="8.5546875" style="9" customWidth="1"/>
    <col min="9213" max="9213" width="9.88671875" style="9" customWidth="1"/>
    <col min="9214" max="9214" width="8.5546875" style="9" customWidth="1"/>
    <col min="9215" max="9215" width="9.33203125" style="9" customWidth="1"/>
    <col min="9216" max="9216" width="2.5546875" style="9" customWidth="1"/>
    <col min="9217" max="9448" width="11.44140625" style="9"/>
    <col min="9449" max="9449" width="15" style="9" customWidth="1"/>
    <col min="9450" max="9450" width="57.88671875" style="9" customWidth="1"/>
    <col min="9451" max="9453" width="11.5546875" style="9" customWidth="1"/>
    <col min="9454" max="9457" width="13.6640625" style="9" customWidth="1"/>
    <col min="9458" max="9465" width="0" style="9" hidden="1" customWidth="1"/>
    <col min="9466" max="9466" width="10.5546875" style="9" customWidth="1"/>
    <col min="9467" max="9467" width="12.109375" style="9" customWidth="1"/>
    <col min="9468" max="9468" width="8.5546875" style="9" customWidth="1"/>
    <col min="9469" max="9469" width="9.88671875" style="9" customWidth="1"/>
    <col min="9470" max="9470" width="8.5546875" style="9" customWidth="1"/>
    <col min="9471" max="9471" width="9.33203125" style="9" customWidth="1"/>
    <col min="9472" max="9472" width="2.5546875" style="9" customWidth="1"/>
    <col min="9473" max="9704" width="11.44140625" style="9"/>
    <col min="9705" max="9705" width="15" style="9" customWidth="1"/>
    <col min="9706" max="9706" width="57.88671875" style="9" customWidth="1"/>
    <col min="9707" max="9709" width="11.5546875" style="9" customWidth="1"/>
    <col min="9710" max="9713" width="13.6640625" style="9" customWidth="1"/>
    <col min="9714" max="9721" width="0" style="9" hidden="1" customWidth="1"/>
    <col min="9722" max="9722" width="10.5546875" style="9" customWidth="1"/>
    <col min="9723" max="9723" width="12.109375" style="9" customWidth="1"/>
    <col min="9724" max="9724" width="8.5546875" style="9" customWidth="1"/>
    <col min="9725" max="9725" width="9.88671875" style="9" customWidth="1"/>
    <col min="9726" max="9726" width="8.5546875" style="9" customWidth="1"/>
    <col min="9727" max="9727" width="9.33203125" style="9" customWidth="1"/>
    <col min="9728" max="9728" width="2.5546875" style="9" customWidth="1"/>
    <col min="9729" max="9960" width="11.44140625" style="9"/>
    <col min="9961" max="9961" width="15" style="9" customWidth="1"/>
    <col min="9962" max="9962" width="57.88671875" style="9" customWidth="1"/>
    <col min="9963" max="9965" width="11.5546875" style="9" customWidth="1"/>
    <col min="9966" max="9969" width="13.6640625" style="9" customWidth="1"/>
    <col min="9970" max="9977" width="0" style="9" hidden="1" customWidth="1"/>
    <col min="9978" max="9978" width="10.5546875" style="9" customWidth="1"/>
    <col min="9979" max="9979" width="12.109375" style="9" customWidth="1"/>
    <col min="9980" max="9980" width="8.5546875" style="9" customWidth="1"/>
    <col min="9981" max="9981" width="9.88671875" style="9" customWidth="1"/>
    <col min="9982" max="9982" width="8.5546875" style="9" customWidth="1"/>
    <col min="9983" max="9983" width="9.33203125" style="9" customWidth="1"/>
    <col min="9984" max="9984" width="2.5546875" style="9" customWidth="1"/>
    <col min="9985" max="10216" width="11.44140625" style="9"/>
    <col min="10217" max="10217" width="15" style="9" customWidth="1"/>
    <col min="10218" max="10218" width="57.88671875" style="9" customWidth="1"/>
    <col min="10219" max="10221" width="11.5546875" style="9" customWidth="1"/>
    <col min="10222" max="10225" width="13.6640625" style="9" customWidth="1"/>
    <col min="10226" max="10233" width="0" style="9" hidden="1" customWidth="1"/>
    <col min="10234" max="10234" width="10.5546875" style="9" customWidth="1"/>
    <col min="10235" max="10235" width="12.109375" style="9" customWidth="1"/>
    <col min="10236" max="10236" width="8.5546875" style="9" customWidth="1"/>
    <col min="10237" max="10237" width="9.88671875" style="9" customWidth="1"/>
    <col min="10238" max="10238" width="8.5546875" style="9" customWidth="1"/>
    <col min="10239" max="10239" width="9.33203125" style="9" customWidth="1"/>
    <col min="10240" max="10240" width="2.5546875" style="9" customWidth="1"/>
    <col min="10241" max="10472" width="11.44140625" style="9"/>
    <col min="10473" max="10473" width="15" style="9" customWidth="1"/>
    <col min="10474" max="10474" width="57.88671875" style="9" customWidth="1"/>
    <col min="10475" max="10477" width="11.5546875" style="9" customWidth="1"/>
    <col min="10478" max="10481" width="13.6640625" style="9" customWidth="1"/>
    <col min="10482" max="10489" width="0" style="9" hidden="1" customWidth="1"/>
    <col min="10490" max="10490" width="10.5546875" style="9" customWidth="1"/>
    <col min="10491" max="10491" width="12.109375" style="9" customWidth="1"/>
    <col min="10492" max="10492" width="8.5546875" style="9" customWidth="1"/>
    <col min="10493" max="10493" width="9.88671875" style="9" customWidth="1"/>
    <col min="10494" max="10494" width="8.5546875" style="9" customWidth="1"/>
    <col min="10495" max="10495" width="9.33203125" style="9" customWidth="1"/>
    <col min="10496" max="10496" width="2.5546875" style="9" customWidth="1"/>
    <col min="10497" max="10728" width="11.44140625" style="9"/>
    <col min="10729" max="10729" width="15" style="9" customWidth="1"/>
    <col min="10730" max="10730" width="57.88671875" style="9" customWidth="1"/>
    <col min="10731" max="10733" width="11.5546875" style="9" customWidth="1"/>
    <col min="10734" max="10737" width="13.6640625" style="9" customWidth="1"/>
    <col min="10738" max="10745" width="0" style="9" hidden="1" customWidth="1"/>
    <col min="10746" max="10746" width="10.5546875" style="9" customWidth="1"/>
    <col min="10747" max="10747" width="12.109375" style="9" customWidth="1"/>
    <col min="10748" max="10748" width="8.5546875" style="9" customWidth="1"/>
    <col min="10749" max="10749" width="9.88671875" style="9" customWidth="1"/>
    <col min="10750" max="10750" width="8.5546875" style="9" customWidth="1"/>
    <col min="10751" max="10751" width="9.33203125" style="9" customWidth="1"/>
    <col min="10752" max="10752" width="2.5546875" style="9" customWidth="1"/>
    <col min="10753" max="10984" width="11.44140625" style="9"/>
    <col min="10985" max="10985" width="15" style="9" customWidth="1"/>
    <col min="10986" max="10986" width="57.88671875" style="9" customWidth="1"/>
    <col min="10987" max="10989" width="11.5546875" style="9" customWidth="1"/>
    <col min="10990" max="10993" width="13.6640625" style="9" customWidth="1"/>
    <col min="10994" max="11001" width="0" style="9" hidden="1" customWidth="1"/>
    <col min="11002" max="11002" width="10.5546875" style="9" customWidth="1"/>
    <col min="11003" max="11003" width="12.109375" style="9" customWidth="1"/>
    <col min="11004" max="11004" width="8.5546875" style="9" customWidth="1"/>
    <col min="11005" max="11005" width="9.88671875" style="9" customWidth="1"/>
    <col min="11006" max="11006" width="8.5546875" style="9" customWidth="1"/>
    <col min="11007" max="11007" width="9.33203125" style="9" customWidth="1"/>
    <col min="11008" max="11008" width="2.5546875" style="9" customWidth="1"/>
    <col min="11009" max="11240" width="11.44140625" style="9"/>
    <col min="11241" max="11241" width="15" style="9" customWidth="1"/>
    <col min="11242" max="11242" width="57.88671875" style="9" customWidth="1"/>
    <col min="11243" max="11245" width="11.5546875" style="9" customWidth="1"/>
    <col min="11246" max="11249" width="13.6640625" style="9" customWidth="1"/>
    <col min="11250" max="11257" width="0" style="9" hidden="1" customWidth="1"/>
    <col min="11258" max="11258" width="10.5546875" style="9" customWidth="1"/>
    <col min="11259" max="11259" width="12.109375" style="9" customWidth="1"/>
    <col min="11260" max="11260" width="8.5546875" style="9" customWidth="1"/>
    <col min="11261" max="11261" width="9.88671875" style="9" customWidth="1"/>
    <col min="11262" max="11262" width="8.5546875" style="9" customWidth="1"/>
    <col min="11263" max="11263" width="9.33203125" style="9" customWidth="1"/>
    <col min="11264" max="11264" width="2.5546875" style="9" customWidth="1"/>
    <col min="11265" max="11496" width="11.44140625" style="9"/>
    <col min="11497" max="11497" width="15" style="9" customWidth="1"/>
    <col min="11498" max="11498" width="57.88671875" style="9" customWidth="1"/>
    <col min="11499" max="11501" width="11.5546875" style="9" customWidth="1"/>
    <col min="11502" max="11505" width="13.6640625" style="9" customWidth="1"/>
    <col min="11506" max="11513" width="0" style="9" hidden="1" customWidth="1"/>
    <col min="11514" max="11514" width="10.5546875" style="9" customWidth="1"/>
    <col min="11515" max="11515" width="12.109375" style="9" customWidth="1"/>
    <col min="11516" max="11516" width="8.5546875" style="9" customWidth="1"/>
    <col min="11517" max="11517" width="9.88671875" style="9" customWidth="1"/>
    <col min="11518" max="11518" width="8.5546875" style="9" customWidth="1"/>
    <col min="11519" max="11519" width="9.33203125" style="9" customWidth="1"/>
    <col min="11520" max="11520" width="2.5546875" style="9" customWidth="1"/>
    <col min="11521" max="11752" width="11.44140625" style="9"/>
    <col min="11753" max="11753" width="15" style="9" customWidth="1"/>
    <col min="11754" max="11754" width="57.88671875" style="9" customWidth="1"/>
    <col min="11755" max="11757" width="11.5546875" style="9" customWidth="1"/>
    <col min="11758" max="11761" width="13.6640625" style="9" customWidth="1"/>
    <col min="11762" max="11769" width="0" style="9" hidden="1" customWidth="1"/>
    <col min="11770" max="11770" width="10.5546875" style="9" customWidth="1"/>
    <col min="11771" max="11771" width="12.109375" style="9" customWidth="1"/>
    <col min="11772" max="11772" width="8.5546875" style="9" customWidth="1"/>
    <col min="11773" max="11773" width="9.88671875" style="9" customWidth="1"/>
    <col min="11774" max="11774" width="8.5546875" style="9" customWidth="1"/>
    <col min="11775" max="11775" width="9.33203125" style="9" customWidth="1"/>
    <col min="11776" max="11776" width="2.5546875" style="9" customWidth="1"/>
    <col min="11777" max="12008" width="11.44140625" style="9"/>
    <col min="12009" max="12009" width="15" style="9" customWidth="1"/>
    <col min="12010" max="12010" width="57.88671875" style="9" customWidth="1"/>
    <col min="12011" max="12013" width="11.5546875" style="9" customWidth="1"/>
    <col min="12014" max="12017" width="13.6640625" style="9" customWidth="1"/>
    <col min="12018" max="12025" width="0" style="9" hidden="1" customWidth="1"/>
    <col min="12026" max="12026" width="10.5546875" style="9" customWidth="1"/>
    <col min="12027" max="12027" width="12.109375" style="9" customWidth="1"/>
    <col min="12028" max="12028" width="8.5546875" style="9" customWidth="1"/>
    <col min="12029" max="12029" width="9.88671875" style="9" customWidth="1"/>
    <col min="12030" max="12030" width="8.5546875" style="9" customWidth="1"/>
    <col min="12031" max="12031" width="9.33203125" style="9" customWidth="1"/>
    <col min="12032" max="12032" width="2.5546875" style="9" customWidth="1"/>
    <col min="12033" max="12264" width="11.44140625" style="9"/>
    <col min="12265" max="12265" width="15" style="9" customWidth="1"/>
    <col min="12266" max="12266" width="57.88671875" style="9" customWidth="1"/>
    <col min="12267" max="12269" width="11.5546875" style="9" customWidth="1"/>
    <col min="12270" max="12273" width="13.6640625" style="9" customWidth="1"/>
    <col min="12274" max="12281" width="0" style="9" hidden="1" customWidth="1"/>
    <col min="12282" max="12282" width="10.5546875" style="9" customWidth="1"/>
    <col min="12283" max="12283" width="12.109375" style="9" customWidth="1"/>
    <col min="12284" max="12284" width="8.5546875" style="9" customWidth="1"/>
    <col min="12285" max="12285" width="9.88671875" style="9" customWidth="1"/>
    <col min="12286" max="12286" width="8.5546875" style="9" customWidth="1"/>
    <col min="12287" max="12287" width="9.33203125" style="9" customWidth="1"/>
    <col min="12288" max="12288" width="2.5546875" style="9" customWidth="1"/>
    <col min="12289" max="12520" width="11.44140625" style="9"/>
    <col min="12521" max="12521" width="15" style="9" customWidth="1"/>
    <col min="12522" max="12522" width="57.88671875" style="9" customWidth="1"/>
    <col min="12523" max="12525" width="11.5546875" style="9" customWidth="1"/>
    <col min="12526" max="12529" width="13.6640625" style="9" customWidth="1"/>
    <col min="12530" max="12537" width="0" style="9" hidden="1" customWidth="1"/>
    <col min="12538" max="12538" width="10.5546875" style="9" customWidth="1"/>
    <col min="12539" max="12539" width="12.109375" style="9" customWidth="1"/>
    <col min="12540" max="12540" width="8.5546875" style="9" customWidth="1"/>
    <col min="12541" max="12541" width="9.88671875" style="9" customWidth="1"/>
    <col min="12542" max="12542" width="8.5546875" style="9" customWidth="1"/>
    <col min="12543" max="12543" width="9.33203125" style="9" customWidth="1"/>
    <col min="12544" max="12544" width="2.5546875" style="9" customWidth="1"/>
    <col min="12545" max="12776" width="11.44140625" style="9"/>
    <col min="12777" max="12777" width="15" style="9" customWidth="1"/>
    <col min="12778" max="12778" width="57.88671875" style="9" customWidth="1"/>
    <col min="12779" max="12781" width="11.5546875" style="9" customWidth="1"/>
    <col min="12782" max="12785" width="13.6640625" style="9" customWidth="1"/>
    <col min="12786" max="12793" width="0" style="9" hidden="1" customWidth="1"/>
    <col min="12794" max="12794" width="10.5546875" style="9" customWidth="1"/>
    <col min="12795" max="12795" width="12.109375" style="9" customWidth="1"/>
    <col min="12796" max="12796" width="8.5546875" style="9" customWidth="1"/>
    <col min="12797" max="12797" width="9.88671875" style="9" customWidth="1"/>
    <col min="12798" max="12798" width="8.5546875" style="9" customWidth="1"/>
    <col min="12799" max="12799" width="9.33203125" style="9" customWidth="1"/>
    <col min="12800" max="12800" width="2.5546875" style="9" customWidth="1"/>
    <col min="12801" max="13032" width="11.44140625" style="9"/>
    <col min="13033" max="13033" width="15" style="9" customWidth="1"/>
    <col min="13034" max="13034" width="57.88671875" style="9" customWidth="1"/>
    <col min="13035" max="13037" width="11.5546875" style="9" customWidth="1"/>
    <col min="13038" max="13041" width="13.6640625" style="9" customWidth="1"/>
    <col min="13042" max="13049" width="0" style="9" hidden="1" customWidth="1"/>
    <col min="13050" max="13050" width="10.5546875" style="9" customWidth="1"/>
    <col min="13051" max="13051" width="12.109375" style="9" customWidth="1"/>
    <col min="13052" max="13052" width="8.5546875" style="9" customWidth="1"/>
    <col min="13053" max="13053" width="9.88671875" style="9" customWidth="1"/>
    <col min="13054" max="13054" width="8.5546875" style="9" customWidth="1"/>
    <col min="13055" max="13055" width="9.33203125" style="9" customWidth="1"/>
    <col min="13056" max="13056" width="2.5546875" style="9" customWidth="1"/>
    <col min="13057" max="13288" width="11.44140625" style="9"/>
    <col min="13289" max="13289" width="15" style="9" customWidth="1"/>
    <col min="13290" max="13290" width="57.88671875" style="9" customWidth="1"/>
    <col min="13291" max="13293" width="11.5546875" style="9" customWidth="1"/>
    <col min="13294" max="13297" width="13.6640625" style="9" customWidth="1"/>
    <col min="13298" max="13305" width="0" style="9" hidden="1" customWidth="1"/>
    <col min="13306" max="13306" width="10.5546875" style="9" customWidth="1"/>
    <col min="13307" max="13307" width="12.109375" style="9" customWidth="1"/>
    <col min="13308" max="13308" width="8.5546875" style="9" customWidth="1"/>
    <col min="13309" max="13309" width="9.88671875" style="9" customWidth="1"/>
    <col min="13310" max="13310" width="8.5546875" style="9" customWidth="1"/>
    <col min="13311" max="13311" width="9.33203125" style="9" customWidth="1"/>
    <col min="13312" max="13312" width="2.5546875" style="9" customWidth="1"/>
    <col min="13313" max="13544" width="11.44140625" style="9"/>
    <col min="13545" max="13545" width="15" style="9" customWidth="1"/>
    <col min="13546" max="13546" width="57.88671875" style="9" customWidth="1"/>
    <col min="13547" max="13549" width="11.5546875" style="9" customWidth="1"/>
    <col min="13550" max="13553" width="13.6640625" style="9" customWidth="1"/>
    <col min="13554" max="13561" width="0" style="9" hidden="1" customWidth="1"/>
    <col min="13562" max="13562" width="10.5546875" style="9" customWidth="1"/>
    <col min="13563" max="13563" width="12.109375" style="9" customWidth="1"/>
    <col min="13564" max="13564" width="8.5546875" style="9" customWidth="1"/>
    <col min="13565" max="13565" width="9.88671875" style="9" customWidth="1"/>
    <col min="13566" max="13566" width="8.5546875" style="9" customWidth="1"/>
    <col min="13567" max="13567" width="9.33203125" style="9" customWidth="1"/>
    <col min="13568" max="13568" width="2.5546875" style="9" customWidth="1"/>
    <col min="13569" max="13800" width="11.44140625" style="9"/>
    <col min="13801" max="13801" width="15" style="9" customWidth="1"/>
    <col min="13802" max="13802" width="57.88671875" style="9" customWidth="1"/>
    <col min="13803" max="13805" width="11.5546875" style="9" customWidth="1"/>
    <col min="13806" max="13809" width="13.6640625" style="9" customWidth="1"/>
    <col min="13810" max="13817" width="0" style="9" hidden="1" customWidth="1"/>
    <col min="13818" max="13818" width="10.5546875" style="9" customWidth="1"/>
    <col min="13819" max="13819" width="12.109375" style="9" customWidth="1"/>
    <col min="13820" max="13820" width="8.5546875" style="9" customWidth="1"/>
    <col min="13821" max="13821" width="9.88671875" style="9" customWidth="1"/>
    <col min="13822" max="13822" width="8.5546875" style="9" customWidth="1"/>
    <col min="13823" max="13823" width="9.33203125" style="9" customWidth="1"/>
    <col min="13824" max="13824" width="2.5546875" style="9" customWidth="1"/>
    <col min="13825" max="14056" width="11.44140625" style="9"/>
    <col min="14057" max="14057" width="15" style="9" customWidth="1"/>
    <col min="14058" max="14058" width="57.88671875" style="9" customWidth="1"/>
    <col min="14059" max="14061" width="11.5546875" style="9" customWidth="1"/>
    <col min="14062" max="14065" width="13.6640625" style="9" customWidth="1"/>
    <col min="14066" max="14073" width="0" style="9" hidden="1" customWidth="1"/>
    <col min="14074" max="14074" width="10.5546875" style="9" customWidth="1"/>
    <col min="14075" max="14075" width="12.109375" style="9" customWidth="1"/>
    <col min="14076" max="14076" width="8.5546875" style="9" customWidth="1"/>
    <col min="14077" max="14077" width="9.88671875" style="9" customWidth="1"/>
    <col min="14078" max="14078" width="8.5546875" style="9" customWidth="1"/>
    <col min="14079" max="14079" width="9.33203125" style="9" customWidth="1"/>
    <col min="14080" max="14080" width="2.5546875" style="9" customWidth="1"/>
    <col min="14081" max="14312" width="11.44140625" style="9"/>
    <col min="14313" max="14313" width="15" style="9" customWidth="1"/>
    <col min="14314" max="14314" width="57.88671875" style="9" customWidth="1"/>
    <col min="14315" max="14317" width="11.5546875" style="9" customWidth="1"/>
    <col min="14318" max="14321" width="13.6640625" style="9" customWidth="1"/>
    <col min="14322" max="14329" width="0" style="9" hidden="1" customWidth="1"/>
    <col min="14330" max="14330" width="10.5546875" style="9" customWidth="1"/>
    <col min="14331" max="14331" width="12.109375" style="9" customWidth="1"/>
    <col min="14332" max="14332" width="8.5546875" style="9" customWidth="1"/>
    <col min="14333" max="14333" width="9.88671875" style="9" customWidth="1"/>
    <col min="14334" max="14334" width="8.5546875" style="9" customWidth="1"/>
    <col min="14335" max="14335" width="9.33203125" style="9" customWidth="1"/>
    <col min="14336" max="14336" width="2.5546875" style="9" customWidth="1"/>
    <col min="14337" max="14568" width="11.44140625" style="9"/>
    <col min="14569" max="14569" width="15" style="9" customWidth="1"/>
    <col min="14570" max="14570" width="57.88671875" style="9" customWidth="1"/>
    <col min="14571" max="14573" width="11.5546875" style="9" customWidth="1"/>
    <col min="14574" max="14577" width="13.6640625" style="9" customWidth="1"/>
    <col min="14578" max="14585" width="0" style="9" hidden="1" customWidth="1"/>
    <col min="14586" max="14586" width="10.5546875" style="9" customWidth="1"/>
    <col min="14587" max="14587" width="12.109375" style="9" customWidth="1"/>
    <col min="14588" max="14588" width="8.5546875" style="9" customWidth="1"/>
    <col min="14589" max="14589" width="9.88671875" style="9" customWidth="1"/>
    <col min="14590" max="14590" width="8.5546875" style="9" customWidth="1"/>
    <col min="14591" max="14591" width="9.33203125" style="9" customWidth="1"/>
    <col min="14592" max="14592" width="2.5546875" style="9" customWidth="1"/>
    <col min="14593" max="14824" width="11.44140625" style="9"/>
    <col min="14825" max="14825" width="15" style="9" customWidth="1"/>
    <col min="14826" max="14826" width="57.88671875" style="9" customWidth="1"/>
    <col min="14827" max="14829" width="11.5546875" style="9" customWidth="1"/>
    <col min="14830" max="14833" width="13.6640625" style="9" customWidth="1"/>
    <col min="14834" max="14841" width="0" style="9" hidden="1" customWidth="1"/>
    <col min="14842" max="14842" width="10.5546875" style="9" customWidth="1"/>
    <col min="14843" max="14843" width="12.109375" style="9" customWidth="1"/>
    <col min="14844" max="14844" width="8.5546875" style="9" customWidth="1"/>
    <col min="14845" max="14845" width="9.88671875" style="9" customWidth="1"/>
    <col min="14846" max="14846" width="8.5546875" style="9" customWidth="1"/>
    <col min="14847" max="14847" width="9.33203125" style="9" customWidth="1"/>
    <col min="14848" max="14848" width="2.5546875" style="9" customWidth="1"/>
    <col min="14849" max="15080" width="11.44140625" style="9"/>
    <col min="15081" max="15081" width="15" style="9" customWidth="1"/>
    <col min="15082" max="15082" width="57.88671875" style="9" customWidth="1"/>
    <col min="15083" max="15085" width="11.5546875" style="9" customWidth="1"/>
    <col min="15086" max="15089" width="13.6640625" style="9" customWidth="1"/>
    <col min="15090" max="15097" width="0" style="9" hidden="1" customWidth="1"/>
    <col min="15098" max="15098" width="10.5546875" style="9" customWidth="1"/>
    <col min="15099" max="15099" width="12.109375" style="9" customWidth="1"/>
    <col min="15100" max="15100" width="8.5546875" style="9" customWidth="1"/>
    <col min="15101" max="15101" width="9.88671875" style="9" customWidth="1"/>
    <col min="15102" max="15102" width="8.5546875" style="9" customWidth="1"/>
    <col min="15103" max="15103" width="9.33203125" style="9" customWidth="1"/>
    <col min="15104" max="15104" width="2.5546875" style="9" customWidth="1"/>
    <col min="15105" max="15336" width="11.44140625" style="9"/>
    <col min="15337" max="15337" width="15" style="9" customWidth="1"/>
    <col min="15338" max="15338" width="57.88671875" style="9" customWidth="1"/>
    <col min="15339" max="15341" width="11.5546875" style="9" customWidth="1"/>
    <col min="15342" max="15345" width="13.6640625" style="9" customWidth="1"/>
    <col min="15346" max="15353" width="0" style="9" hidden="1" customWidth="1"/>
    <col min="15354" max="15354" width="10.5546875" style="9" customWidth="1"/>
    <col min="15355" max="15355" width="12.109375" style="9" customWidth="1"/>
    <col min="15356" max="15356" width="8.5546875" style="9" customWidth="1"/>
    <col min="15357" max="15357" width="9.88671875" style="9" customWidth="1"/>
    <col min="15358" max="15358" width="8.5546875" style="9" customWidth="1"/>
    <col min="15359" max="15359" width="9.33203125" style="9" customWidth="1"/>
    <col min="15360" max="15360" width="2.5546875" style="9" customWidth="1"/>
    <col min="15361" max="15592" width="11.44140625" style="9"/>
    <col min="15593" max="15593" width="15" style="9" customWidth="1"/>
    <col min="15594" max="15594" width="57.88671875" style="9" customWidth="1"/>
    <col min="15595" max="15597" width="11.5546875" style="9" customWidth="1"/>
    <col min="15598" max="15601" width="13.6640625" style="9" customWidth="1"/>
    <col min="15602" max="15609" width="0" style="9" hidden="1" customWidth="1"/>
    <col min="15610" max="15610" width="10.5546875" style="9" customWidth="1"/>
    <col min="15611" max="15611" width="12.109375" style="9" customWidth="1"/>
    <col min="15612" max="15612" width="8.5546875" style="9" customWidth="1"/>
    <col min="15613" max="15613" width="9.88671875" style="9" customWidth="1"/>
    <col min="15614" max="15614" width="8.5546875" style="9" customWidth="1"/>
    <col min="15615" max="15615" width="9.33203125" style="9" customWidth="1"/>
    <col min="15616" max="15616" width="2.5546875" style="9" customWidth="1"/>
    <col min="15617" max="15848" width="11.44140625" style="9"/>
    <col min="15849" max="15849" width="15" style="9" customWidth="1"/>
    <col min="15850" max="15850" width="57.88671875" style="9" customWidth="1"/>
    <col min="15851" max="15853" width="11.5546875" style="9" customWidth="1"/>
    <col min="15854" max="15857" width="13.6640625" style="9" customWidth="1"/>
    <col min="15858" max="15865" width="0" style="9" hidden="1" customWidth="1"/>
    <col min="15866" max="15866" width="10.5546875" style="9" customWidth="1"/>
    <col min="15867" max="15867" width="12.109375" style="9" customWidth="1"/>
    <col min="15868" max="15868" width="8.5546875" style="9" customWidth="1"/>
    <col min="15869" max="15869" width="9.88671875" style="9" customWidth="1"/>
    <col min="15870" max="15870" width="8.5546875" style="9" customWidth="1"/>
    <col min="15871" max="15871" width="9.33203125" style="9" customWidth="1"/>
    <col min="15872" max="15872" width="2.5546875" style="9" customWidth="1"/>
    <col min="15873" max="16104" width="11.44140625" style="9"/>
    <col min="16105" max="16105" width="15" style="9" customWidth="1"/>
    <col min="16106" max="16106" width="57.88671875" style="9" customWidth="1"/>
    <col min="16107" max="16109" width="11.5546875" style="9" customWidth="1"/>
    <col min="16110" max="16113" width="13.6640625" style="9" customWidth="1"/>
    <col min="16114" max="16121" width="0" style="9" hidden="1" customWidth="1"/>
    <col min="16122" max="16122" width="10.5546875" style="9" customWidth="1"/>
    <col min="16123" max="16123" width="12.109375" style="9" customWidth="1"/>
    <col min="16124" max="16124" width="8.5546875" style="9" customWidth="1"/>
    <col min="16125" max="16125" width="9.88671875" style="9" customWidth="1"/>
    <col min="16126" max="16126" width="8.5546875" style="9" customWidth="1"/>
    <col min="16127" max="16127" width="9.33203125" style="9" customWidth="1"/>
    <col min="16128" max="16128" width="2.5546875" style="9" customWidth="1"/>
    <col min="16129" max="16381" width="11.44140625" style="9"/>
    <col min="16382" max="16384" width="11.44140625" style="9" customWidth="1"/>
  </cols>
  <sheetData>
    <row r="1" spans="1:7" ht="22.8" x14ac:dyDescent="0.4">
      <c r="B1" s="119" t="s">
        <v>8</v>
      </c>
      <c r="C1" s="119"/>
      <c r="D1" s="119"/>
      <c r="E1" s="119"/>
      <c r="F1" s="119"/>
    </row>
    <row r="2" spans="1:7" ht="22.8" x14ac:dyDescent="0.4">
      <c r="A2" s="62"/>
      <c r="B2" s="62"/>
      <c r="C2" s="62"/>
      <c r="D2" s="62"/>
      <c r="E2" s="62"/>
      <c r="F2" s="62"/>
    </row>
    <row r="3" spans="1:7" x14ac:dyDescent="0.25">
      <c r="B3" s="20" t="s">
        <v>26</v>
      </c>
      <c r="C3" s="20"/>
      <c r="E3" s="26" t="s">
        <v>9</v>
      </c>
      <c r="F3" s="90" t="s">
        <v>274</v>
      </c>
    </row>
    <row r="4" spans="1:7" x14ac:dyDescent="0.25">
      <c r="B4" s="20" t="s">
        <v>15</v>
      </c>
      <c r="C4" s="20"/>
      <c r="E4" s="26" t="s">
        <v>10</v>
      </c>
      <c r="F4" s="91">
        <v>45447</v>
      </c>
    </row>
    <row r="5" spans="1:7" x14ac:dyDescent="0.25">
      <c r="B5" s="20"/>
      <c r="C5" s="20"/>
    </row>
    <row r="6" spans="1:7" ht="13.8" thickBot="1" x14ac:dyDescent="0.3">
      <c r="B6" s="20"/>
      <c r="C6" s="20"/>
    </row>
    <row r="7" spans="1:7" s="11" customFormat="1" ht="13.5" customHeight="1" thickBot="1" x14ac:dyDescent="0.35">
      <c r="B7" s="126" t="s">
        <v>11</v>
      </c>
      <c r="C7" s="126" t="s">
        <v>12</v>
      </c>
      <c r="D7" s="120" t="s">
        <v>27</v>
      </c>
      <c r="E7" s="122" t="s">
        <v>13</v>
      </c>
      <c r="F7" s="124" t="s">
        <v>7</v>
      </c>
    </row>
    <row r="8" spans="1:7" s="17" customFormat="1" ht="18.75" customHeight="1" thickBot="1" x14ac:dyDescent="0.35">
      <c r="B8" s="126"/>
      <c r="C8" s="126"/>
      <c r="D8" s="121"/>
      <c r="E8" s="123"/>
      <c r="F8" s="125"/>
    </row>
    <row r="9" spans="1:7" s="17" customFormat="1" ht="20.25" customHeight="1" x14ac:dyDescent="0.3">
      <c r="B9" s="126"/>
      <c r="C9" s="126"/>
      <c r="D9" s="121"/>
      <c r="E9" s="123"/>
      <c r="F9" s="125"/>
      <c r="G9" s="17" t="s">
        <v>52</v>
      </c>
    </row>
    <row r="10" spans="1:7" s="11" customFormat="1" ht="13.8" thickBot="1" x14ac:dyDescent="0.35">
      <c r="B10" s="12"/>
      <c r="C10" s="12"/>
      <c r="D10" s="104"/>
      <c r="E10" s="97"/>
      <c r="F10" s="97"/>
    </row>
    <row r="11" spans="1:7" s="11" customFormat="1" ht="26.25" customHeight="1" x14ac:dyDescent="0.3">
      <c r="B11" s="31" t="s">
        <v>49</v>
      </c>
      <c r="C11" s="32" t="s">
        <v>14</v>
      </c>
      <c r="D11" s="51">
        <v>0.9</v>
      </c>
      <c r="E11" s="52">
        <v>1</v>
      </c>
      <c r="F11" s="95">
        <f>GYE!D749</f>
        <v>0.98139534883720925</v>
      </c>
    </row>
    <row r="12" spans="1:7" s="11" customFormat="1" ht="13.8" x14ac:dyDescent="0.3">
      <c r="B12" s="33" t="s">
        <v>31</v>
      </c>
      <c r="C12" s="27" t="s">
        <v>14</v>
      </c>
      <c r="D12" s="53">
        <v>0.9</v>
      </c>
      <c r="E12" s="54">
        <v>1</v>
      </c>
      <c r="F12" s="98">
        <f>GYE!E749</f>
        <v>0.94883720930232562</v>
      </c>
    </row>
    <row r="13" spans="1:7" s="11" customFormat="1" ht="13.8" x14ac:dyDescent="0.3">
      <c r="B13" s="33" t="s">
        <v>32</v>
      </c>
      <c r="C13" s="27" t="s">
        <v>14</v>
      </c>
      <c r="D13" s="53">
        <v>0.9</v>
      </c>
      <c r="E13" s="54">
        <v>1</v>
      </c>
      <c r="F13" s="98">
        <f>GYE!F749</f>
        <v>0.95348837209302317</v>
      </c>
    </row>
    <row r="14" spans="1:7" s="11" customFormat="1" ht="13.8" x14ac:dyDescent="0.3">
      <c r="B14" s="33" t="s">
        <v>33</v>
      </c>
      <c r="C14" s="27" t="s">
        <v>14</v>
      </c>
      <c r="D14" s="53">
        <v>0.9</v>
      </c>
      <c r="E14" s="54">
        <v>1</v>
      </c>
      <c r="F14" s="98">
        <f>GYE!G749</f>
        <v>0.93488372093023264</v>
      </c>
      <c r="G14" s="17"/>
    </row>
    <row r="15" spans="1:7" s="11" customFormat="1" ht="14.4" thickBot="1" x14ac:dyDescent="0.35">
      <c r="B15" s="67" t="s">
        <v>34</v>
      </c>
      <c r="C15" s="68" t="s">
        <v>14</v>
      </c>
      <c r="D15" s="69">
        <v>0.9</v>
      </c>
      <c r="E15" s="70">
        <v>1</v>
      </c>
      <c r="F15" s="96">
        <f>GYE!H749</f>
        <v>0.94883720930232562</v>
      </c>
      <c r="G15" s="17"/>
    </row>
    <row r="16" spans="1:7" s="11" customFormat="1" ht="13.8" x14ac:dyDescent="0.3">
      <c r="B16" s="34" t="s">
        <v>50</v>
      </c>
      <c r="C16" s="35" t="s">
        <v>14</v>
      </c>
      <c r="D16" s="71">
        <v>0.9</v>
      </c>
      <c r="E16" s="72">
        <v>1</v>
      </c>
      <c r="F16" s="99">
        <f>GYE!M$749</f>
        <v>1</v>
      </c>
    </row>
    <row r="17" spans="2:6" s="11" customFormat="1" ht="13.8" x14ac:dyDescent="0.3">
      <c r="B17" s="36" t="s">
        <v>35</v>
      </c>
      <c r="C17" s="28" t="s">
        <v>14</v>
      </c>
      <c r="D17" s="49">
        <v>0.9</v>
      </c>
      <c r="E17" s="50">
        <v>1</v>
      </c>
      <c r="F17" s="100">
        <f>GYE!N749</f>
        <v>0.90769230769230769</v>
      </c>
    </row>
    <row r="18" spans="2:6" s="11" customFormat="1" ht="13.8" x14ac:dyDescent="0.3">
      <c r="B18" s="36" t="s">
        <v>36</v>
      </c>
      <c r="C18" s="28" t="s">
        <v>14</v>
      </c>
      <c r="D18" s="49">
        <v>0.9</v>
      </c>
      <c r="E18" s="50">
        <v>1</v>
      </c>
      <c r="F18" s="100">
        <f>GYE!O749</f>
        <v>0.96923076923076912</v>
      </c>
    </row>
    <row r="19" spans="2:6" s="11" customFormat="1" ht="13.8" x14ac:dyDescent="0.3">
      <c r="B19" s="36" t="s">
        <v>37</v>
      </c>
      <c r="C19" s="28" t="s">
        <v>14</v>
      </c>
      <c r="D19" s="49">
        <v>0.9</v>
      </c>
      <c r="E19" s="50">
        <v>1</v>
      </c>
      <c r="F19" s="100">
        <f>GYE!P749</f>
        <v>0.89230769230769236</v>
      </c>
    </row>
    <row r="20" spans="2:6" s="11" customFormat="1" ht="14.4" thickBot="1" x14ac:dyDescent="0.35">
      <c r="B20" s="37" t="s">
        <v>38</v>
      </c>
      <c r="C20" s="38" t="s">
        <v>14</v>
      </c>
      <c r="D20" s="73">
        <v>0.9</v>
      </c>
      <c r="E20" s="74">
        <v>1</v>
      </c>
      <c r="F20" s="113">
        <f>GYE!Q749</f>
        <v>0.93846153846153846</v>
      </c>
    </row>
    <row r="21" spans="2:6" s="11" customFormat="1" ht="13.8" hidden="1" x14ac:dyDescent="0.3">
      <c r="B21" s="39" t="s">
        <v>39</v>
      </c>
      <c r="C21" s="40" t="s">
        <v>14</v>
      </c>
      <c r="D21" s="75">
        <v>0.9</v>
      </c>
      <c r="E21" s="76">
        <v>1</v>
      </c>
      <c r="F21" s="101"/>
    </row>
    <row r="22" spans="2:6" s="11" customFormat="1" ht="13.8" hidden="1" x14ac:dyDescent="0.3">
      <c r="B22" s="41" t="s">
        <v>40</v>
      </c>
      <c r="C22" s="29" t="s">
        <v>14</v>
      </c>
      <c r="D22" s="55">
        <v>0.9</v>
      </c>
      <c r="E22" s="56">
        <v>1</v>
      </c>
      <c r="F22" s="114"/>
    </row>
    <row r="23" spans="2:6" s="11" customFormat="1" ht="13.8" hidden="1" x14ac:dyDescent="0.3">
      <c r="B23" s="41" t="s">
        <v>41</v>
      </c>
      <c r="C23" s="29" t="s">
        <v>14</v>
      </c>
      <c r="D23" s="55">
        <v>0.9</v>
      </c>
      <c r="E23" s="56">
        <v>1</v>
      </c>
      <c r="F23" s="114"/>
    </row>
    <row r="24" spans="2:6" s="11" customFormat="1" ht="13.8" hidden="1" x14ac:dyDescent="0.3">
      <c r="B24" s="41" t="s">
        <v>42</v>
      </c>
      <c r="C24" s="29" t="s">
        <v>14</v>
      </c>
      <c r="D24" s="55">
        <v>0.9</v>
      </c>
      <c r="E24" s="56">
        <v>1</v>
      </c>
      <c r="F24" s="114"/>
    </row>
    <row r="25" spans="2:6" s="11" customFormat="1" ht="14.4" hidden="1" thickBot="1" x14ac:dyDescent="0.35">
      <c r="B25" s="42" t="s">
        <v>43</v>
      </c>
      <c r="C25" s="43" t="s">
        <v>14</v>
      </c>
      <c r="D25" s="77">
        <v>0.9</v>
      </c>
      <c r="E25" s="78">
        <v>1</v>
      </c>
      <c r="F25" s="112"/>
    </row>
    <row r="26" spans="2:6" s="11" customFormat="1" ht="15.75" customHeight="1" x14ac:dyDescent="0.3">
      <c r="B26" s="44" t="s">
        <v>44</v>
      </c>
      <c r="C26" s="45" t="s">
        <v>14</v>
      </c>
      <c r="D26" s="57">
        <v>0.9</v>
      </c>
      <c r="E26" s="58">
        <v>1</v>
      </c>
      <c r="F26" s="102">
        <f>GYE!AN749</f>
        <v>0.98969072164948457</v>
      </c>
    </row>
    <row r="27" spans="2:6" s="11" customFormat="1" ht="13.8" x14ac:dyDescent="0.3">
      <c r="B27" s="46" t="s">
        <v>45</v>
      </c>
      <c r="C27" s="30" t="s">
        <v>14</v>
      </c>
      <c r="D27" s="57">
        <v>0.9</v>
      </c>
      <c r="E27" s="58">
        <v>1</v>
      </c>
      <c r="F27" s="102">
        <f>GYE!AO749</f>
        <v>0.97938144329896915</v>
      </c>
    </row>
    <row r="28" spans="2:6" s="11" customFormat="1" ht="13.8" x14ac:dyDescent="0.3">
      <c r="B28" s="46" t="s">
        <v>46</v>
      </c>
      <c r="C28" s="30" t="s">
        <v>14</v>
      </c>
      <c r="D28" s="57">
        <v>0.9</v>
      </c>
      <c r="E28" s="58">
        <v>1</v>
      </c>
      <c r="F28" s="102">
        <f>GYE!AP749</f>
        <v>0.94226804123711339</v>
      </c>
    </row>
    <row r="29" spans="2:6" s="11" customFormat="1" ht="13.8" x14ac:dyDescent="0.3">
      <c r="B29" s="46" t="s">
        <v>48</v>
      </c>
      <c r="C29" s="30" t="s">
        <v>14</v>
      </c>
      <c r="D29" s="57">
        <v>0.9</v>
      </c>
      <c r="E29" s="58">
        <v>1</v>
      </c>
      <c r="F29" s="102">
        <f>GYE!AQ749</f>
        <v>0.91752577319587625</v>
      </c>
    </row>
    <row r="30" spans="2:6" s="11" customFormat="1" ht="14.4" thickBot="1" x14ac:dyDescent="0.35">
      <c r="B30" s="47" t="s">
        <v>47</v>
      </c>
      <c r="C30" s="48" t="s">
        <v>14</v>
      </c>
      <c r="D30" s="59">
        <v>0.9</v>
      </c>
      <c r="E30" s="60">
        <v>1</v>
      </c>
      <c r="F30" s="103">
        <f>GYE!AR749</f>
        <v>0.95257731958762881</v>
      </c>
    </row>
    <row r="31" spans="2:6" s="11" customFormat="1" ht="16.95" customHeight="1" x14ac:dyDescent="0.3">
      <c r="D31" s="13"/>
      <c r="E31" s="13"/>
      <c r="F31" s="13"/>
    </row>
    <row r="32" spans="2:6" s="17" customFormat="1" ht="16.2" customHeight="1" thickBot="1" x14ac:dyDescent="0.35">
      <c r="D32" s="18"/>
      <c r="E32" s="18"/>
      <c r="F32" s="18"/>
    </row>
    <row r="33" spans="2:6" s="17" customFormat="1" ht="18.75" customHeight="1" x14ac:dyDescent="0.3">
      <c r="B33" s="44" t="s">
        <v>21</v>
      </c>
      <c r="C33" s="45" t="s">
        <v>14</v>
      </c>
      <c r="D33" s="63">
        <v>0.9</v>
      </c>
      <c r="E33" s="64">
        <v>1</v>
      </c>
      <c r="F33" s="65">
        <f>(F11+F16+F26)/3</f>
        <v>0.99036202349556468</v>
      </c>
    </row>
    <row r="34" spans="2:6" ht="18.75" customHeight="1" x14ac:dyDescent="0.3">
      <c r="B34" s="46" t="s">
        <v>22</v>
      </c>
      <c r="C34" s="30" t="s">
        <v>14</v>
      </c>
      <c r="D34" s="57">
        <v>0.9</v>
      </c>
      <c r="E34" s="58">
        <v>1</v>
      </c>
      <c r="F34" s="66">
        <f>(F12+F17+F27)/3</f>
        <v>0.94530365343120082</v>
      </c>
    </row>
    <row r="35" spans="2:6" ht="18.75" customHeight="1" x14ac:dyDescent="0.3">
      <c r="B35" s="46" t="s">
        <v>23</v>
      </c>
      <c r="C35" s="30" t="s">
        <v>14</v>
      </c>
      <c r="D35" s="57">
        <v>0.9</v>
      </c>
      <c r="E35" s="58">
        <v>1</v>
      </c>
      <c r="F35" s="66">
        <f>(F13+F18+F28)/3</f>
        <v>0.95499572752030193</v>
      </c>
    </row>
    <row r="36" spans="2:6" ht="18.75" customHeight="1" x14ac:dyDescent="0.3">
      <c r="B36" s="46" t="s">
        <v>24</v>
      </c>
      <c r="C36" s="30" t="s">
        <v>14</v>
      </c>
      <c r="D36" s="57">
        <v>0.9</v>
      </c>
      <c r="E36" s="58">
        <v>1</v>
      </c>
      <c r="F36" s="66">
        <f>(F14+F19+F29)/3</f>
        <v>0.91490572881126708</v>
      </c>
    </row>
    <row r="37" spans="2:6" ht="18.75" customHeight="1" thickBot="1" x14ac:dyDescent="0.35">
      <c r="B37" s="47" t="s">
        <v>25</v>
      </c>
      <c r="C37" s="48" t="s">
        <v>14</v>
      </c>
      <c r="D37" s="59">
        <v>0.9</v>
      </c>
      <c r="E37" s="60">
        <v>1</v>
      </c>
      <c r="F37" s="105">
        <f>(F15+F20+F30)/3</f>
        <v>0.94662535578383089</v>
      </c>
    </row>
    <row r="38" spans="2:6" s="14" customFormat="1" x14ac:dyDescent="0.25">
      <c r="F38" s="79">
        <f>AVERAGE(F33:F37)</f>
        <v>0.95043849780843315</v>
      </c>
    </row>
    <row r="41" spans="2:6" x14ac:dyDescent="0.25">
      <c r="B41" s="10"/>
    </row>
    <row r="43" spans="2:6" x14ac:dyDescent="0.25">
      <c r="B43" s="19"/>
    </row>
    <row r="44" spans="2:6" x14ac:dyDescent="0.25">
      <c r="B44" s="19"/>
    </row>
    <row r="45" spans="2:6" x14ac:dyDescent="0.25">
      <c r="B45" s="10"/>
    </row>
    <row r="46" spans="2:6" x14ac:dyDescent="0.25">
      <c r="B46" s="10"/>
    </row>
    <row r="47" spans="2:6" x14ac:dyDescent="0.25">
      <c r="B47" s="10"/>
    </row>
    <row r="48" spans="2:6" x14ac:dyDescent="0.25">
      <c r="B48" s="10"/>
    </row>
    <row r="49" spans="2:2" x14ac:dyDescent="0.25">
      <c r="B49" s="10"/>
    </row>
    <row r="50" spans="2:2" x14ac:dyDescent="0.25">
      <c r="B50" s="10"/>
    </row>
    <row r="51" spans="2:2" x14ac:dyDescent="0.25">
      <c r="B51" s="10"/>
    </row>
    <row r="52" spans="2:2" x14ac:dyDescent="0.25">
      <c r="B52" s="10"/>
    </row>
    <row r="53" spans="2:2" x14ac:dyDescent="0.25">
      <c r="B53" s="10"/>
    </row>
    <row r="54" spans="2:2" s="16" customFormat="1" ht="13.8" x14ac:dyDescent="0.25">
      <c r="B54" s="15"/>
    </row>
    <row r="55" spans="2:2" x14ac:dyDescent="0.25">
      <c r="B55" s="10"/>
    </row>
    <row r="56" spans="2:2" x14ac:dyDescent="0.25">
      <c r="B56" s="10"/>
    </row>
    <row r="57" spans="2:2" x14ac:dyDescent="0.25">
      <c r="B57" s="10"/>
    </row>
    <row r="58" spans="2:2" x14ac:dyDescent="0.25">
      <c r="B58" s="10"/>
    </row>
    <row r="59" spans="2:2" x14ac:dyDescent="0.25">
      <c r="B59" s="10"/>
    </row>
    <row r="60" spans="2:2" x14ac:dyDescent="0.25">
      <c r="B60" s="10"/>
    </row>
    <row r="61" spans="2:2" x14ac:dyDescent="0.25">
      <c r="B61" s="10"/>
    </row>
    <row r="62" spans="2:2" x14ac:dyDescent="0.25">
      <c r="B62" s="10"/>
    </row>
    <row r="63" spans="2:2" x14ac:dyDescent="0.25">
      <c r="B63" s="10"/>
    </row>
    <row r="64" spans="2:2" x14ac:dyDescent="0.25">
      <c r="B64" s="10"/>
    </row>
    <row r="65" spans="2:2" x14ac:dyDescent="0.25">
      <c r="B65" s="10"/>
    </row>
    <row r="66" spans="2:2" x14ac:dyDescent="0.25">
      <c r="B66" s="10"/>
    </row>
    <row r="67" spans="2:2" x14ac:dyDescent="0.25">
      <c r="B67" s="10"/>
    </row>
    <row r="68" spans="2:2" x14ac:dyDescent="0.25">
      <c r="B68" s="10"/>
    </row>
    <row r="69" spans="2:2" x14ac:dyDescent="0.25">
      <c r="B69" s="10"/>
    </row>
    <row r="70" spans="2:2" x14ac:dyDescent="0.25">
      <c r="B70" s="10"/>
    </row>
    <row r="71" spans="2:2" x14ac:dyDescent="0.25">
      <c r="B71" s="10"/>
    </row>
    <row r="72" spans="2:2" x14ac:dyDescent="0.25">
      <c r="B72" s="10"/>
    </row>
    <row r="73" spans="2:2" x14ac:dyDescent="0.25">
      <c r="B73" s="10"/>
    </row>
    <row r="74" spans="2:2" x14ac:dyDescent="0.25">
      <c r="B74" s="10"/>
    </row>
    <row r="75" spans="2:2" x14ac:dyDescent="0.25">
      <c r="B75" s="10"/>
    </row>
    <row r="76" spans="2:2" x14ac:dyDescent="0.25">
      <c r="B76" s="10"/>
    </row>
    <row r="77" spans="2:2" x14ac:dyDescent="0.25">
      <c r="B77" s="10"/>
    </row>
    <row r="78" spans="2:2" x14ac:dyDescent="0.25">
      <c r="B78" s="10"/>
    </row>
    <row r="79" spans="2:2" x14ac:dyDescent="0.25">
      <c r="B79" s="10"/>
    </row>
    <row r="80" spans="2:2" x14ac:dyDescent="0.25">
      <c r="B80" s="10"/>
    </row>
    <row r="81" spans="2:2" x14ac:dyDescent="0.25">
      <c r="B81" s="10"/>
    </row>
    <row r="82" spans="2:2" x14ac:dyDescent="0.25">
      <c r="B82" s="10"/>
    </row>
    <row r="83" spans="2:2" x14ac:dyDescent="0.25">
      <c r="B83" s="10"/>
    </row>
    <row r="84" spans="2:2" x14ac:dyDescent="0.25">
      <c r="B84" s="10"/>
    </row>
    <row r="85" spans="2:2" x14ac:dyDescent="0.25">
      <c r="B85" s="10"/>
    </row>
    <row r="86" spans="2:2" x14ac:dyDescent="0.25">
      <c r="B86" s="10"/>
    </row>
    <row r="87" spans="2:2" x14ac:dyDescent="0.25">
      <c r="B87" s="10"/>
    </row>
    <row r="88" spans="2:2" x14ac:dyDescent="0.25">
      <c r="B88" s="10"/>
    </row>
    <row r="89" spans="2:2" x14ac:dyDescent="0.25">
      <c r="B89" s="10"/>
    </row>
    <row r="90" spans="2:2" x14ac:dyDescent="0.25">
      <c r="B90" s="10"/>
    </row>
    <row r="91" spans="2:2" x14ac:dyDescent="0.25">
      <c r="B91" s="10"/>
    </row>
    <row r="92" spans="2:2" x14ac:dyDescent="0.25">
      <c r="B92" s="10"/>
    </row>
    <row r="93" spans="2:2" x14ac:dyDescent="0.25">
      <c r="B93" s="10"/>
    </row>
    <row r="94" spans="2:2" x14ac:dyDescent="0.25">
      <c r="B94" s="10"/>
    </row>
    <row r="95" spans="2:2" x14ac:dyDescent="0.25">
      <c r="B95" s="10"/>
    </row>
    <row r="96" spans="2:2" x14ac:dyDescent="0.25">
      <c r="B96" s="10"/>
    </row>
    <row r="97" spans="2:2" x14ac:dyDescent="0.25">
      <c r="B97" s="10"/>
    </row>
    <row r="98" spans="2:2" x14ac:dyDescent="0.25">
      <c r="B98" s="10"/>
    </row>
    <row r="99" spans="2:2" x14ac:dyDescent="0.25">
      <c r="B99" s="10"/>
    </row>
    <row r="100" spans="2:2" x14ac:dyDescent="0.25">
      <c r="B100" s="10"/>
    </row>
    <row r="101" spans="2:2" x14ac:dyDescent="0.25">
      <c r="B101" s="10"/>
    </row>
    <row r="102" spans="2:2" x14ac:dyDescent="0.25">
      <c r="B102" s="10"/>
    </row>
    <row r="103" spans="2:2" x14ac:dyDescent="0.25">
      <c r="B103" s="10"/>
    </row>
    <row r="104" spans="2:2" x14ac:dyDescent="0.25">
      <c r="B104" s="10"/>
    </row>
    <row r="105" spans="2:2" x14ac:dyDescent="0.25">
      <c r="B105" s="10"/>
    </row>
    <row r="106" spans="2:2" x14ac:dyDescent="0.25">
      <c r="B106" s="10"/>
    </row>
    <row r="107" spans="2:2" x14ac:dyDescent="0.25">
      <c r="B107" s="10"/>
    </row>
    <row r="108" spans="2:2" x14ac:dyDescent="0.25">
      <c r="B108" s="10"/>
    </row>
    <row r="109" spans="2:2" x14ac:dyDescent="0.25">
      <c r="B109" s="10"/>
    </row>
    <row r="110" spans="2:2" x14ac:dyDescent="0.25">
      <c r="B110" s="10"/>
    </row>
    <row r="111" spans="2:2" x14ac:dyDescent="0.25">
      <c r="B111" s="10"/>
    </row>
    <row r="112" spans="2:2" x14ac:dyDescent="0.25">
      <c r="B112" s="10"/>
    </row>
    <row r="113" spans="2:2" x14ac:dyDescent="0.25">
      <c r="B113" s="10"/>
    </row>
    <row r="114" spans="2:2" x14ac:dyDescent="0.25">
      <c r="B114" s="10"/>
    </row>
    <row r="115" spans="2:2" x14ac:dyDescent="0.25">
      <c r="B115" s="10"/>
    </row>
    <row r="116" spans="2:2" x14ac:dyDescent="0.25">
      <c r="B116" s="10"/>
    </row>
    <row r="117" spans="2:2" x14ac:dyDescent="0.25">
      <c r="B117" s="10"/>
    </row>
    <row r="118" spans="2:2" x14ac:dyDescent="0.25">
      <c r="B118" s="10"/>
    </row>
    <row r="119" spans="2:2" x14ac:dyDescent="0.25">
      <c r="B119" s="10"/>
    </row>
    <row r="120" spans="2:2" x14ac:dyDescent="0.25">
      <c r="B120" s="10"/>
    </row>
    <row r="121" spans="2:2" x14ac:dyDescent="0.25">
      <c r="B121" s="10"/>
    </row>
    <row r="122" spans="2:2" x14ac:dyDescent="0.25">
      <c r="B122" s="10"/>
    </row>
    <row r="123" spans="2:2" x14ac:dyDescent="0.25">
      <c r="B123" s="10"/>
    </row>
    <row r="124" spans="2:2" x14ac:dyDescent="0.25">
      <c r="B124" s="10"/>
    </row>
    <row r="125" spans="2:2" x14ac:dyDescent="0.25">
      <c r="B125" s="10"/>
    </row>
    <row r="126" spans="2:2" x14ac:dyDescent="0.25">
      <c r="B126" s="10"/>
    </row>
    <row r="127" spans="2:2" x14ac:dyDescent="0.25">
      <c r="B127" s="10"/>
    </row>
    <row r="128" spans="2:2" x14ac:dyDescent="0.25">
      <c r="B128" s="10"/>
    </row>
    <row r="129" spans="2:2" x14ac:dyDescent="0.25">
      <c r="B129" s="10"/>
    </row>
    <row r="130" spans="2:2" x14ac:dyDescent="0.25">
      <c r="B130" s="10"/>
    </row>
    <row r="131" spans="2:2" x14ac:dyDescent="0.25">
      <c r="B131" s="10"/>
    </row>
    <row r="132" spans="2:2" x14ac:dyDescent="0.25">
      <c r="B132" s="10"/>
    </row>
    <row r="133" spans="2:2" x14ac:dyDescent="0.25">
      <c r="B133" s="10"/>
    </row>
    <row r="134" spans="2:2" x14ac:dyDescent="0.25">
      <c r="B134" s="10"/>
    </row>
    <row r="135" spans="2:2" x14ac:dyDescent="0.25">
      <c r="B135" s="10"/>
    </row>
    <row r="136" spans="2:2" x14ac:dyDescent="0.25">
      <c r="B136" s="10"/>
    </row>
    <row r="137" spans="2:2" x14ac:dyDescent="0.25">
      <c r="B137" s="10"/>
    </row>
    <row r="138" spans="2:2" x14ac:dyDescent="0.25">
      <c r="B138" s="10"/>
    </row>
    <row r="139" spans="2:2" x14ac:dyDescent="0.25">
      <c r="B139" s="10"/>
    </row>
    <row r="140" spans="2:2" x14ac:dyDescent="0.25">
      <c r="B140" s="10"/>
    </row>
    <row r="141" spans="2:2" x14ac:dyDescent="0.25">
      <c r="B141" s="10"/>
    </row>
    <row r="142" spans="2:2" x14ac:dyDescent="0.25">
      <c r="B142" s="10"/>
    </row>
    <row r="143" spans="2:2" x14ac:dyDescent="0.25">
      <c r="B143" s="10"/>
    </row>
    <row r="144" spans="2:2" x14ac:dyDescent="0.25">
      <c r="B144" s="10"/>
    </row>
    <row r="145" spans="2:2" x14ac:dyDescent="0.25">
      <c r="B145" s="10"/>
    </row>
    <row r="146" spans="2:2" x14ac:dyDescent="0.25">
      <c r="B146" s="10"/>
    </row>
    <row r="147" spans="2:2" x14ac:dyDescent="0.25">
      <c r="B147" s="10"/>
    </row>
    <row r="148" spans="2:2" x14ac:dyDescent="0.25">
      <c r="B148" s="10"/>
    </row>
    <row r="149" spans="2:2" x14ac:dyDescent="0.25">
      <c r="B149" s="10"/>
    </row>
    <row r="150" spans="2:2" x14ac:dyDescent="0.25">
      <c r="B150" s="10"/>
    </row>
    <row r="151" spans="2:2" x14ac:dyDescent="0.25">
      <c r="B151" s="10"/>
    </row>
    <row r="152" spans="2:2" x14ac:dyDescent="0.25">
      <c r="B152" s="10"/>
    </row>
    <row r="153" spans="2:2" x14ac:dyDescent="0.25">
      <c r="B153" s="10"/>
    </row>
    <row r="154" spans="2:2" x14ac:dyDescent="0.25">
      <c r="B154" s="10"/>
    </row>
    <row r="155" spans="2:2" x14ac:dyDescent="0.25">
      <c r="B155" s="10"/>
    </row>
    <row r="156" spans="2:2" x14ac:dyDescent="0.25">
      <c r="B156" s="10"/>
    </row>
    <row r="157" spans="2:2" x14ac:dyDescent="0.25">
      <c r="B157" s="10"/>
    </row>
    <row r="158" spans="2:2" x14ac:dyDescent="0.25">
      <c r="B158" s="10"/>
    </row>
    <row r="159" spans="2:2" x14ac:dyDescent="0.25">
      <c r="B159" s="10"/>
    </row>
    <row r="160" spans="2:2" x14ac:dyDescent="0.25">
      <c r="B160" s="10"/>
    </row>
    <row r="161" spans="2:2" x14ac:dyDescent="0.25">
      <c r="B161" s="10"/>
    </row>
  </sheetData>
  <mergeCells count="6">
    <mergeCell ref="B1:F1"/>
    <mergeCell ref="D7:D9"/>
    <mergeCell ref="E7:E9"/>
    <mergeCell ref="F7:F9"/>
    <mergeCell ref="B7:B9"/>
    <mergeCell ref="C7:C9"/>
  </mergeCells>
  <pageMargins left="0.31496062992125984" right="0.31496062992125984" top="0.15748031496062992" bottom="0.15748031496062992" header="0" footer="0"/>
  <pageSetup paperSize="9" scale="9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DATOS</vt:lpstr>
      <vt:lpstr>GYE</vt:lpstr>
      <vt:lpstr>INDICADORES</vt:lpstr>
    </vt:vector>
  </TitlesOfParts>
  <Company>GTC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Denegri Mercedes</dc:creator>
  <cp:lastModifiedBy>USER</cp:lastModifiedBy>
  <cp:lastPrinted>2020-02-07T18:03:34Z</cp:lastPrinted>
  <dcterms:created xsi:type="dcterms:W3CDTF">2015-12-10T16:12:24Z</dcterms:created>
  <dcterms:modified xsi:type="dcterms:W3CDTF">2024-06-03T06:35:36Z</dcterms:modified>
</cp:coreProperties>
</file>