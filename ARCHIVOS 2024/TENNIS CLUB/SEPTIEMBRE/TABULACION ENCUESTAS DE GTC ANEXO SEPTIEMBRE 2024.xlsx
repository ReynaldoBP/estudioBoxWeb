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SEPTIEMBRE\"/>
    </mc:Choice>
  </mc:AlternateContent>
  <bookViews>
    <workbookView xWindow="-120" yWindow="-120" windowWidth="20736" windowHeight="11160" tabRatio="669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36" i="7" s="1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F34" i="7" l="1"/>
  <c r="F35" i="7"/>
  <c r="F37" i="7"/>
  <c r="BE761" i="6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F33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F38" i="7" l="1"/>
  <c r="Q761" i="6"/>
  <c r="BA752" i="6"/>
  <c r="BA758" i="6" s="1"/>
  <c r="BA750" i="6"/>
  <c r="BA756" i="6" s="1"/>
  <c r="BA751" i="6"/>
  <c r="BA757" i="6" s="1"/>
  <c r="F757" i="6"/>
  <c r="F761" i="6" s="1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<sst xmlns="http://schemas.openxmlformats.org/spreadsheetml/2006/main" count="452" uniqueCount="97">
  <si>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</si>
  <si>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</si>
  <si>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</si>
  <si>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</si>
  <si>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</si>
  <si>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</si>
  <si>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</si>
  <si>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</si>
  <si>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</si>
  <si>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</si>
  <si>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</si>
  <si>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</si>
  <si>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</si>
  <si>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</si>
  <si>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</si>
  <si>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</si>
  <si>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</si>
  <si>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</si>
  <si>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</si>
  <si>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</si>
  <si>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</si>
  <si>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</si>
  <si>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</si>
  <si>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</si>
  <si>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</si>
  <si>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</si>
  <si>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</si>
  <si>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</si>
  <si>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</si>
  <si>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</si>
  <si>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</si>
  <si>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</si>
  <si>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</si>
  <si>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</si>
  <si>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</si>
  <si>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</si>
  <si>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</si>
  <si>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</si>
  <si>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</si>
  <si>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</si>
  <si>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</si>
  <si>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>RT</t>
  </si>
  <si>
    <t>Nombre del socio</t>
  </si>
  <si>
    <t>Quien lo atendió</t>
  </si>
  <si>
    <t>COMENTARIOS Y SUGERENCIAS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</si>
  <si>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</si>
  <si>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</si>
  <si>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</si>
  <si>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</si>
  <si>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</si>
  <si>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</si>
  <si>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</si>
  <si>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</si>
  <si>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</si>
  <si>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</si>
  <si>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</si>
  <si>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</si>
  <si>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</si>
  <si>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</si>
  <si>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</si>
  <si>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 xml:space="preserve">Enrique Moncayo </t>
  </si>
  <si>
    <t>SEPTIEMBRE 2024</t>
  </si>
  <si>
    <t>Luis Duenas</t>
  </si>
  <si>
    <t>Susana</t>
  </si>
  <si>
    <t>luis zea</t>
  </si>
  <si>
    <t>Milena</t>
  </si>
  <si>
    <t>Antonio Fernández A</t>
  </si>
  <si>
    <t>milena</t>
  </si>
  <si>
    <t>moreano Bermeo luz eugenia</t>
  </si>
  <si>
    <t>milena susana</t>
  </si>
  <si>
    <t>zurita   salazar alfredo</t>
  </si>
  <si>
    <t xml:space="preserve">Susana </t>
  </si>
  <si>
    <t xml:space="preserve">Eduardo Casal </t>
  </si>
  <si>
    <t>susana</t>
  </si>
  <si>
    <t>2024-09-12 19:51:18</t>
  </si>
  <si>
    <t>2024-09-13 14:26:45</t>
  </si>
  <si>
    <t>2024-09-13 14:50:00</t>
  </si>
  <si>
    <t>2024-09-13 14:52:40</t>
  </si>
  <si>
    <t>2024-09-13 17:04:29</t>
  </si>
  <si>
    <t>2024-09-13 17:05:49</t>
  </si>
  <si>
    <t>2024-09-14 13:54:40</t>
  </si>
  <si>
    <t>Verónica erazo</t>
  </si>
  <si>
    <t>Diego</t>
  </si>
  <si>
    <t>juan Carlos cssinelli</t>
  </si>
  <si>
    <t>Marlon vinces</t>
  </si>
  <si>
    <t>Paola garcia</t>
  </si>
  <si>
    <t>Erik vasquez</t>
  </si>
  <si>
    <t>10379</t>
  </si>
  <si>
    <t xml:space="preserve">Marlon vinces </t>
  </si>
  <si>
    <t>Eriksigan asi</t>
  </si>
  <si>
    <t>Rico desayuno pero ya hay cambiar o innovar en platos</t>
  </si>
  <si>
    <t>todo ok</t>
  </si>
  <si>
    <t>2024-09-01 11:22:57</t>
  </si>
  <si>
    <t>2024-09-01 11:35:09</t>
  </si>
  <si>
    <t>2024-09-01 11:38:59</t>
  </si>
  <si>
    <t>2024-09-01 13:48:37</t>
  </si>
  <si>
    <t>2024-09-01 14:51:37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</si>
</sst>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39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14" fontId="2" fillId="0" borderId="1" xfId="3" applyNumberFormat="1" applyFont="1" applyBorder="1"/>
    <xf numFmtId="14" fontId="2" fillId="0" borderId="1" xfId="0" applyNumberFormat="1" applyFont="1" applyBorder="1"/>
    <xf numFmtId="0" fontId="11" fillId="0" borderId="1" xfId="3" applyNumberFormat="1" applyBorder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SEPTIEMBRE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1</c:v>
                </c:pt>
                <c:pt idx="1">
                  <c:v>0.98</c:v>
                </c:pt>
                <c:pt idx="2">
                  <c:v>1</c:v>
                </c:pt>
                <c:pt idx="3">
                  <c:v>0.94571428571428562</c:v>
                </c:pt>
                <c:pt idx="4">
                  <c:v>0.98571428571428565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598"/>
  <sheetViews>
    <sheetView tabSelected="1" topLeftCell="A4" zoomScale="72" zoomScaleNormal="60" workbookViewId="0">
      <selection activeCell="T25" sqref="T25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44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" t="s">
        <v>62</v>
      </c>
      <c r="N6" s="1" t="s">
        <v>63</v>
      </c>
      <c r="O6" s="118">
        <v>5</v>
      </c>
      <c r="P6" s="118">
        <v>5</v>
      </c>
      <c r="Q6" s="118">
        <v>5</v>
      </c>
      <c r="R6" s="118">
        <v>5</v>
      </c>
      <c r="S6" s="118">
        <v>4</v>
      </c>
      <c r="T6" s="89" t="s">
        <v>35</v>
      </c>
      <c r="U6" s="123" t="s">
        <v>74</v>
      </c>
      <c r="V6" s="117"/>
    </row>
    <row r="7" spans="3:22" ht="15" customHeight="1" x14ac:dyDescent="0.3">
      <c r="C7" s="21"/>
      <c r="D7" s="1"/>
      <c r="E7" s="1"/>
      <c r="F7" s="1"/>
      <c r="G7" s="1"/>
      <c r="H7" s="1"/>
      <c r="I7" s="1"/>
      <c r="J7" s="1"/>
      <c r="L7" s="86">
        <v>2</v>
      </c>
      <c r="M7" s="1" t="s">
        <v>64</v>
      </c>
      <c r="N7" s="1" t="s">
        <v>65</v>
      </c>
      <c r="O7" s="118">
        <v>5</v>
      </c>
      <c r="P7" s="118">
        <v>5</v>
      </c>
      <c r="Q7" s="118">
        <v>5</v>
      </c>
      <c r="R7" s="118">
        <v>5</v>
      </c>
      <c r="S7" s="118">
        <v>5</v>
      </c>
      <c r="T7" s="89" t="s">
        <v>35</v>
      </c>
      <c r="U7" s="123" t="s">
        <v>75</v>
      </c>
      <c r="V7" s="117"/>
    </row>
    <row r="8" spans="3:22" ht="15" customHeight="1" x14ac:dyDescent="0.3">
      <c r="C8" s="21"/>
      <c r="D8" s="1"/>
      <c r="E8" s="1"/>
      <c r="F8" s="1"/>
      <c r="G8" s="1"/>
      <c r="H8" s="1"/>
      <c r="I8" s="1"/>
      <c r="J8" s="1"/>
      <c r="L8" s="86">
        <v>3</v>
      </c>
      <c r="M8" s="1" t="s">
        <v>64</v>
      </c>
      <c r="N8" s="1" t="s">
        <v>65</v>
      </c>
      <c r="O8" s="118">
        <v>5</v>
      </c>
      <c r="P8" s="118">
        <v>5</v>
      </c>
      <c r="Q8" s="118">
        <v>5</v>
      </c>
      <c r="R8" s="118">
        <v>5</v>
      </c>
      <c r="S8" s="118">
        <v>5</v>
      </c>
      <c r="T8" s="89" t="s">
        <v>35</v>
      </c>
      <c r="U8" s="123" t="s">
        <v>76</v>
      </c>
      <c r="V8" s="117"/>
    </row>
    <row r="9" spans="3:22" ht="15" customHeight="1" x14ac:dyDescent="0.3">
      <c r="C9" s="21"/>
      <c r="D9" s="1"/>
      <c r="E9" s="1"/>
      <c r="F9" s="1"/>
      <c r="G9" s="1"/>
      <c r="H9" s="1"/>
      <c r="I9" s="1"/>
      <c r="J9" s="1"/>
      <c r="L9" s="86">
        <v>4</v>
      </c>
      <c r="M9" s="1" t="s">
        <v>66</v>
      </c>
      <c r="N9" s="1" t="s">
        <v>67</v>
      </c>
      <c r="O9" s="118">
        <v>5</v>
      </c>
      <c r="P9" s="118">
        <v>5</v>
      </c>
      <c r="Q9" s="118">
        <v>5</v>
      </c>
      <c r="R9" s="118">
        <v>4</v>
      </c>
      <c r="S9" s="118">
        <v>5</v>
      </c>
      <c r="T9" s="89" t="s">
        <v>35</v>
      </c>
      <c r="U9" s="123" t="s">
        <v>77</v>
      </c>
      <c r="V9" s="117"/>
    </row>
    <row r="10" spans="3:22" ht="15" customHeight="1" x14ac:dyDescent="0.3">
      <c r="C10" s="21"/>
      <c r="D10" s="1"/>
      <c r="E10" s="1"/>
      <c r="F10" s="1"/>
      <c r="G10" s="1"/>
      <c r="H10" s="1"/>
      <c r="I10" s="1"/>
      <c r="J10" s="1"/>
      <c r="L10" s="86">
        <v>5</v>
      </c>
      <c r="M10" s="1" t="s">
        <v>68</v>
      </c>
      <c r="N10" s="1" t="s">
        <v>69</v>
      </c>
      <c r="O10" s="118">
        <v>5</v>
      </c>
      <c r="P10" s="118">
        <v>5</v>
      </c>
      <c r="Q10" s="118">
        <v>5</v>
      </c>
      <c r="R10" s="118">
        <v>5</v>
      </c>
      <c r="S10" s="118">
        <v>5</v>
      </c>
      <c r="T10" s="89" t="s">
        <v>35</v>
      </c>
      <c r="U10" s="123" t="s">
        <v>78</v>
      </c>
      <c r="V10" s="117"/>
    </row>
    <row r="11" spans="3:22" ht="15" customHeight="1" x14ac:dyDescent="0.3">
      <c r="C11" s="21"/>
      <c r="D11" s="1"/>
      <c r="E11" s="1"/>
      <c r="F11" s="1"/>
      <c r="G11" s="1"/>
      <c r="H11" s="1"/>
      <c r="I11" s="1"/>
      <c r="J11" s="1"/>
      <c r="L11" s="86">
        <v>6</v>
      </c>
      <c r="M11" s="1" t="s">
        <v>70</v>
      </c>
      <c r="N11" s="1" t="s">
        <v>71</v>
      </c>
      <c r="O11" s="118">
        <v>5</v>
      </c>
      <c r="P11" s="118">
        <v>5</v>
      </c>
      <c r="Q11" s="118">
        <v>5</v>
      </c>
      <c r="R11" s="118">
        <v>5</v>
      </c>
      <c r="S11" s="118">
        <v>5</v>
      </c>
      <c r="T11" s="89" t="s">
        <v>35</v>
      </c>
      <c r="U11" s="123" t="s">
        <v>79</v>
      </c>
      <c r="V11" s="117"/>
    </row>
    <row r="12" spans="3:22" ht="15" customHeight="1" x14ac:dyDescent="0.3">
      <c r="C12" s="21"/>
      <c r="D12" s="1"/>
      <c r="E12" s="1"/>
      <c r="F12" s="1"/>
      <c r="G12" s="1"/>
      <c r="H12" s="1"/>
      <c r="I12" s="1"/>
      <c r="J12" s="1"/>
      <c r="L12" s="86">
        <v>7</v>
      </c>
      <c r="M12" s="1" t="s">
        <v>72</v>
      </c>
      <c r="N12" s="1" t="s">
        <v>73</v>
      </c>
      <c r="O12" s="118">
        <v>5</v>
      </c>
      <c r="P12" s="118">
        <v>5</v>
      </c>
      <c r="Q12" s="118">
        <v>5</v>
      </c>
      <c r="R12" s="118">
        <v>5</v>
      </c>
      <c r="S12" s="118">
        <v>5</v>
      </c>
      <c r="T12" s="89" t="s">
        <v>35</v>
      </c>
      <c r="U12" s="123" t="s">
        <v>80</v>
      </c>
      <c r="V12" s="117"/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6"/>
      <c r="M13" s="1"/>
      <c r="N13" s="1"/>
      <c r="O13" s="118"/>
      <c r="P13" s="118"/>
      <c r="Q13" s="118"/>
      <c r="R13" s="118"/>
      <c r="S13" s="118"/>
      <c r="T13" s="89"/>
      <c r="U13" s="123"/>
      <c r="V13" s="117"/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6"/>
      <c r="M14" s="1"/>
      <c r="N14" s="1"/>
      <c r="O14" s="118"/>
      <c r="P14" s="118"/>
      <c r="Q14" s="118"/>
      <c r="R14" s="118"/>
      <c r="S14" s="118"/>
      <c r="T14" s="89"/>
      <c r="U14" s="123"/>
      <c r="V14" s="117"/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6">
        <v>1</v>
      </c>
      <c r="M15" s="126" t="s">
        <v>81</v>
      </c>
      <c r="N15" s="126" t="s">
        <v>82</v>
      </c>
      <c r="O15" s="118">
        <v>5</v>
      </c>
      <c r="P15" s="118">
        <v>5</v>
      </c>
      <c r="Q15" s="118">
        <v>5</v>
      </c>
      <c r="R15" s="118">
        <v>3</v>
      </c>
      <c r="S15" s="118">
        <v>5</v>
      </c>
      <c r="T15" s="86" t="s">
        <v>41</v>
      </c>
      <c r="U15" s="122" t="s">
        <v>92</v>
      </c>
      <c r="V15" s="119" t="s">
        <v>90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6">
        <v>2</v>
      </c>
      <c r="M16" s="126" t="s">
        <v>83</v>
      </c>
      <c r="N16" s="126" t="s">
        <v>84</v>
      </c>
      <c r="O16" s="118">
        <v>5</v>
      </c>
      <c r="P16" s="118">
        <v>4</v>
      </c>
      <c r="Q16" s="118">
        <v>5</v>
      </c>
      <c r="R16" s="118">
        <v>5</v>
      </c>
      <c r="S16" s="118">
        <v>5</v>
      </c>
      <c r="T16" s="86" t="s">
        <v>41</v>
      </c>
      <c r="U16" s="122" t="s">
        <v>93</v>
      </c>
      <c r="V16" s="119" t="s">
        <v>39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6">
        <v>3</v>
      </c>
      <c r="M17" s="126" t="s">
        <v>85</v>
      </c>
      <c r="N17" s="126" t="s">
        <v>86</v>
      </c>
      <c r="O17" s="118">
        <v>5</v>
      </c>
      <c r="P17" s="118">
        <v>5</v>
      </c>
      <c r="Q17" s="118">
        <v>5</v>
      </c>
      <c r="R17" s="118">
        <v>5</v>
      </c>
      <c r="S17" s="118">
        <v>5</v>
      </c>
      <c r="T17" s="86" t="s">
        <v>41</v>
      </c>
      <c r="U17" s="122" t="s">
        <v>94</v>
      </c>
      <c r="V17" s="119" t="s">
        <v>39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6">
        <v>4</v>
      </c>
      <c r="M18" s="126" t="s">
        <v>87</v>
      </c>
      <c r="N18" s="126" t="s">
        <v>88</v>
      </c>
      <c r="O18" s="118">
        <v>5</v>
      </c>
      <c r="P18" s="118">
        <v>5</v>
      </c>
      <c r="Q18" s="118">
        <v>5</v>
      </c>
      <c r="R18" s="118">
        <v>5</v>
      </c>
      <c r="S18" s="118">
        <v>5</v>
      </c>
      <c r="T18" s="86" t="s">
        <v>41</v>
      </c>
      <c r="U18" s="122" t="s">
        <v>95</v>
      </c>
      <c r="V18" s="119" t="s">
        <v>91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6">
        <v>5</v>
      </c>
      <c r="M19" s="126" t="s">
        <v>60</v>
      </c>
      <c r="N19" s="126" t="s">
        <v>89</v>
      </c>
      <c r="O19" s="118">
        <v>5</v>
      </c>
      <c r="P19" s="118">
        <v>5</v>
      </c>
      <c r="Q19" s="118">
        <v>5</v>
      </c>
      <c r="R19" s="118">
        <v>5</v>
      </c>
      <c r="S19" s="118">
        <v>5</v>
      </c>
      <c r="T19" s="86" t="s">
        <v>41</v>
      </c>
      <c r="U19" s="122" t="s">
        <v>96</v>
      </c>
      <c r="V19" s="119" t="s">
        <v>39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6"/>
      <c r="M20" s="126"/>
      <c r="N20" s="126"/>
      <c r="O20" s="118"/>
      <c r="P20" s="118"/>
      <c r="Q20" s="118"/>
      <c r="R20" s="118"/>
      <c r="S20" s="118"/>
      <c r="T20" s="86"/>
      <c r="U20" s="122"/>
      <c r="V20" s="119"/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6"/>
      <c r="M21" s="126"/>
      <c r="N21" s="126"/>
      <c r="O21" s="118"/>
      <c r="P21" s="118"/>
      <c r="Q21" s="118"/>
      <c r="R21" s="118"/>
      <c r="S21" s="118"/>
      <c r="T21" s="86"/>
      <c r="U21" s="122"/>
      <c r="V21" s="119"/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6"/>
      <c r="M22" s="126"/>
      <c r="N22" s="126"/>
      <c r="O22" s="118"/>
      <c r="P22" s="118"/>
      <c r="Q22" s="118"/>
      <c r="R22" s="118"/>
      <c r="S22" s="118"/>
      <c r="T22" s="86"/>
      <c r="U22" s="122"/>
      <c r="V22" s="119"/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6"/>
      <c r="M23" s="126"/>
      <c r="N23" s="126"/>
      <c r="O23" s="118"/>
      <c r="P23" s="118"/>
      <c r="Q23" s="118"/>
      <c r="R23" s="118"/>
      <c r="S23" s="118"/>
      <c r="T23" s="86"/>
      <c r="U23" s="122"/>
      <c r="V23" s="119"/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6"/>
      <c r="M24" s="126"/>
      <c r="N24" s="126"/>
      <c r="O24" s="118"/>
      <c r="P24" s="118"/>
      <c r="Q24" s="118"/>
      <c r="R24" s="118"/>
      <c r="S24" s="118"/>
      <c r="T24" s="86"/>
      <c r="U24" s="122"/>
      <c r="V24" s="119"/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6"/>
      <c r="M25" s="126"/>
      <c r="N25" s="126"/>
      <c r="O25" s="118"/>
      <c r="P25" s="118"/>
      <c r="Q25" s="118"/>
      <c r="R25" s="118"/>
      <c r="S25" s="118"/>
      <c r="T25" s="86"/>
      <c r="U25" s="122"/>
      <c r="V25" s="119"/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6"/>
      <c r="M26" s="126"/>
      <c r="N26" s="126"/>
      <c r="O26" s="118"/>
      <c r="P26" s="118"/>
      <c r="Q26" s="118"/>
      <c r="R26" s="118"/>
      <c r="S26" s="118"/>
      <c r="T26" s="86"/>
      <c r="U26" s="122"/>
      <c r="V26" s="119"/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6"/>
      <c r="M27" s="126"/>
      <c r="N27" s="126"/>
      <c r="O27" s="118"/>
      <c r="P27" s="118"/>
      <c r="Q27" s="118"/>
      <c r="R27" s="118"/>
      <c r="S27" s="118"/>
      <c r="T27" s="86"/>
      <c r="U27" s="122"/>
      <c r="V27" s="119"/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/>
      <c r="M28" s="126"/>
      <c r="N28" s="126"/>
      <c r="O28" s="118"/>
      <c r="P28" s="118"/>
      <c r="Q28" s="118"/>
      <c r="R28" s="118"/>
      <c r="S28" s="118"/>
      <c r="T28" s="86"/>
      <c r="U28" s="122"/>
      <c r="V28" s="119"/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/>
      <c r="M29" s="126"/>
      <c r="N29" s="126"/>
      <c r="O29" s="118"/>
      <c r="P29" s="118"/>
      <c r="Q29" s="118"/>
      <c r="R29" s="118"/>
      <c r="S29" s="118"/>
      <c r="T29" s="86"/>
      <c r="U29" s="122"/>
      <c r="V29" s="119"/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6"/>
      <c r="M30" s="126"/>
      <c r="N30" s="126"/>
      <c r="O30" s="118"/>
      <c r="P30" s="118"/>
      <c r="Q30" s="118"/>
      <c r="R30" s="118"/>
      <c r="S30" s="118"/>
      <c r="T30" s="86"/>
      <c r="U30" s="122"/>
      <c r="V30" s="119"/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/>
      <c r="M31" s="126"/>
      <c r="N31" s="126"/>
      <c r="O31" s="118"/>
      <c r="P31" s="118"/>
      <c r="Q31" s="118"/>
      <c r="R31" s="118"/>
      <c r="S31" s="118"/>
      <c r="T31" s="86"/>
      <c r="U31" s="122"/>
      <c r="V31" s="119"/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/>
      <c r="M32" s="126"/>
      <c r="N32" s="126"/>
      <c r="O32" s="118"/>
      <c r="P32" s="118"/>
      <c r="Q32" s="118"/>
      <c r="R32" s="118"/>
      <c r="S32" s="118"/>
      <c r="T32" s="86"/>
      <c r="U32" s="122"/>
      <c r="V32" s="119"/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/>
      <c r="M33" s="126"/>
      <c r="N33" s="126"/>
      <c r="O33" s="118"/>
      <c r="P33" s="118"/>
      <c r="Q33" s="118"/>
      <c r="R33" s="118"/>
      <c r="S33" s="118"/>
      <c r="T33" s="86"/>
      <c r="U33" s="122"/>
      <c r="V33" s="119"/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/>
      <c r="M34" s="126"/>
      <c r="N34" s="126"/>
      <c r="O34" s="118"/>
      <c r="P34" s="118"/>
      <c r="Q34" s="118"/>
      <c r="R34" s="118"/>
      <c r="S34" s="118"/>
      <c r="T34" s="86"/>
      <c r="U34" s="122"/>
      <c r="V34" s="119"/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/>
      <c r="M35" s="126"/>
      <c r="N35" s="126"/>
      <c r="O35" s="118"/>
      <c r="P35" s="118"/>
      <c r="Q35" s="118"/>
      <c r="R35" s="118"/>
      <c r="S35" s="118"/>
      <c r="T35" s="86"/>
      <c r="U35" s="122"/>
      <c r="V35" s="119"/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/>
      <c r="M36" s="126"/>
      <c r="N36" s="126"/>
      <c r="O36" s="118"/>
      <c r="P36" s="118"/>
      <c r="Q36" s="118"/>
      <c r="R36" s="118"/>
      <c r="S36" s="118"/>
      <c r="T36" s="86"/>
      <c r="U36" s="122"/>
      <c r="V36" s="119"/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/>
      <c r="M37" s="126"/>
      <c r="N37" s="126"/>
      <c r="O37" s="118"/>
      <c r="P37" s="118"/>
      <c r="Q37" s="118"/>
      <c r="R37" s="118"/>
      <c r="S37" s="118"/>
      <c r="T37" s="86"/>
      <c r="U37" s="122"/>
      <c r="V37" s="119"/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/>
      <c r="M38" s="126"/>
      <c r="N38" s="126"/>
      <c r="O38" s="118"/>
      <c r="P38" s="118"/>
      <c r="Q38" s="118"/>
      <c r="R38" s="118"/>
      <c r="S38" s="118"/>
      <c r="T38" s="86"/>
      <c r="U38" s="122"/>
      <c r="V38" s="119"/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/>
      <c r="M39" s="126"/>
      <c r="N39" s="126"/>
      <c r="O39" s="118"/>
      <c r="P39" s="118"/>
      <c r="Q39" s="118"/>
      <c r="R39" s="118"/>
      <c r="S39" s="118"/>
      <c r="T39" s="86"/>
      <c r="U39" s="122"/>
      <c r="V39" s="119"/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/>
      <c r="M40" s="126"/>
      <c r="N40" s="126"/>
      <c r="O40" s="118"/>
      <c r="P40" s="118"/>
      <c r="Q40" s="118"/>
      <c r="R40" s="118"/>
      <c r="S40" s="118"/>
      <c r="T40" s="86"/>
      <c r="U40" s="1"/>
      <c r="V40" s="119" t="s">
        <v>39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/>
      <c r="M41" s="126"/>
      <c r="N41" s="126"/>
      <c r="O41" s="118"/>
      <c r="P41" s="118"/>
      <c r="Q41" s="118"/>
      <c r="R41" s="118"/>
      <c r="S41" s="118"/>
      <c r="T41" s="86"/>
      <c r="U41" s="1"/>
      <c r="V41" s="119" t="s">
        <v>39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/>
      <c r="M42" s="126"/>
      <c r="N42" s="126"/>
      <c r="O42" s="118"/>
      <c r="P42" s="118"/>
      <c r="Q42" s="118"/>
      <c r="R42" s="118"/>
      <c r="S42" s="118"/>
      <c r="T42" s="86"/>
      <c r="U42" s="1"/>
      <c r="V42" s="119" t="s">
        <v>39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/>
      <c r="M43" s="126"/>
      <c r="N43" s="126"/>
      <c r="O43" s="118"/>
      <c r="P43" s="118"/>
      <c r="Q43" s="118"/>
      <c r="R43" s="118"/>
      <c r="S43" s="118"/>
      <c r="T43" s="86"/>
      <c r="U43" s="1"/>
      <c r="V43" s="119" t="s">
        <v>39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/>
      <c r="M44" s="126"/>
      <c r="N44" s="126"/>
      <c r="O44" s="118"/>
      <c r="P44" s="118"/>
      <c r="Q44" s="118"/>
      <c r="R44" s="118"/>
      <c r="S44" s="118"/>
      <c r="T44" s="86"/>
      <c r="U44" s="1"/>
      <c r="V44" s="119" t="s">
        <v>39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/>
      <c r="M45" s="126"/>
      <c r="N45" s="126"/>
      <c r="O45" s="118"/>
      <c r="P45" s="118"/>
      <c r="Q45" s="118"/>
      <c r="R45" s="118"/>
      <c r="S45" s="118"/>
      <c r="T45" s="86"/>
      <c r="U45" s="1"/>
      <c r="V45" s="119" t="s">
        <v>39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/>
      <c r="M46" s="126"/>
      <c r="N46" s="126"/>
      <c r="O46" s="118"/>
      <c r="P46" s="118"/>
      <c r="Q46" s="118"/>
      <c r="R46" s="118"/>
      <c r="S46" s="118"/>
      <c r="T46" s="86"/>
      <c r="U46" s="1"/>
      <c r="V46" s="119" t="s">
        <v>39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/>
      <c r="M47" s="126"/>
      <c r="N47" s="126"/>
      <c r="O47" s="118"/>
      <c r="P47" s="118"/>
      <c r="Q47" s="118"/>
      <c r="R47" s="118"/>
      <c r="S47" s="118"/>
      <c r="T47" s="86"/>
      <c r="U47" s="1"/>
      <c r="V47" s="119" t="s">
        <v>39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/>
      <c r="M48" s="126"/>
      <c r="N48" s="126"/>
      <c r="O48" s="118"/>
      <c r="P48" s="118"/>
      <c r="Q48" s="118"/>
      <c r="R48" s="118"/>
      <c r="S48" s="118"/>
      <c r="T48" s="86"/>
      <c r="U48" s="1"/>
      <c r="V48" s="119" t="s">
        <v>39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/>
      <c r="M49" s="126"/>
      <c r="N49" s="126"/>
      <c r="O49" s="118"/>
      <c r="P49" s="118"/>
      <c r="Q49" s="118"/>
      <c r="R49" s="118"/>
      <c r="S49" s="118"/>
      <c r="T49" s="86"/>
      <c r="U49" s="1"/>
      <c r="V49" s="119" t="s">
        <v>39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/>
      <c r="M50" s="126"/>
      <c r="N50" s="126"/>
      <c r="O50" s="118"/>
      <c r="P50" s="118"/>
      <c r="Q50" s="118"/>
      <c r="R50" s="118"/>
      <c r="S50" s="118"/>
      <c r="T50" s="86"/>
      <c r="U50" s="1"/>
      <c r="V50" s="119" t="s">
        <v>39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/>
      <c r="M51" s="126"/>
      <c r="N51" s="126"/>
      <c r="O51" s="118"/>
      <c r="P51" s="118"/>
      <c r="Q51" s="118"/>
      <c r="R51" s="118"/>
      <c r="S51" s="118"/>
      <c r="T51" s="86"/>
      <c r="U51" s="1"/>
      <c r="V51" s="119" t="s">
        <v>39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/>
      <c r="M52" s="126"/>
      <c r="N52" s="126"/>
      <c r="O52" s="118"/>
      <c r="P52" s="118"/>
      <c r="Q52" s="118"/>
      <c r="R52" s="118"/>
      <c r="S52" s="118"/>
      <c r="T52" s="86"/>
      <c r="U52" s="1"/>
      <c r="V52" s="119" t="s">
        <v>39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/>
      <c r="M53" s="126"/>
      <c r="N53" s="126"/>
      <c r="O53" s="118"/>
      <c r="P53" s="118"/>
      <c r="Q53" s="118"/>
      <c r="R53" s="118"/>
      <c r="S53" s="118"/>
      <c r="T53" s="86"/>
      <c r="U53" s="1"/>
      <c r="V53" s="119" t="s">
        <v>39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/>
      <c r="M54" s="126"/>
      <c r="N54" s="126"/>
      <c r="O54" s="118"/>
      <c r="P54" s="118"/>
      <c r="Q54" s="118"/>
      <c r="R54" s="118"/>
      <c r="S54" s="118"/>
      <c r="T54" s="86"/>
      <c r="U54" s="1"/>
      <c r="V54" s="119" t="s">
        <v>39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/>
      <c r="M55" s="126"/>
      <c r="N55" s="126"/>
      <c r="O55" s="118"/>
      <c r="P55" s="118"/>
      <c r="Q55" s="118"/>
      <c r="R55" s="118"/>
      <c r="S55" s="118"/>
      <c r="T55" s="86"/>
      <c r="U55" s="1"/>
      <c r="V55" s="119" t="s">
        <v>39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6"/>
      <c r="M56" s="126"/>
      <c r="N56" s="126"/>
      <c r="O56" s="118"/>
      <c r="P56" s="118"/>
      <c r="Q56" s="118"/>
      <c r="R56" s="118"/>
      <c r="S56" s="118"/>
      <c r="T56" s="86"/>
      <c r="U56" s="1"/>
      <c r="V56" s="119" t="s">
        <v>39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/>
      <c r="M57" s="126"/>
      <c r="N57" s="126"/>
      <c r="O57" s="118"/>
      <c r="P57" s="118"/>
      <c r="Q57" s="118"/>
      <c r="R57" s="118"/>
      <c r="S57" s="118"/>
      <c r="T57" s="86"/>
      <c r="U57" s="1"/>
      <c r="V57" s="119" t="s">
        <v>39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/>
      <c r="M58" s="126"/>
      <c r="N58" s="126"/>
      <c r="O58" s="118"/>
      <c r="P58" s="118"/>
      <c r="Q58" s="118"/>
      <c r="R58" s="118"/>
      <c r="S58" s="118"/>
      <c r="T58" s="86"/>
      <c r="U58" s="1"/>
      <c r="V58" s="119" t="s">
        <v>39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/>
      <c r="M59" s="126"/>
      <c r="N59" s="126"/>
      <c r="O59" s="118"/>
      <c r="P59" s="118"/>
      <c r="Q59" s="118"/>
      <c r="R59" s="118"/>
      <c r="S59" s="118"/>
      <c r="T59" s="86"/>
      <c r="U59" s="1"/>
      <c r="V59" s="119" t="s">
        <v>39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/>
      <c r="M60" s="126"/>
      <c r="N60" s="126"/>
      <c r="O60" s="118"/>
      <c r="P60" s="118"/>
      <c r="Q60" s="118"/>
      <c r="R60" s="118"/>
      <c r="S60" s="118"/>
      <c r="T60" s="86"/>
      <c r="U60" s="1"/>
      <c r="V60" s="119" t="s">
        <v>39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/>
      <c r="M61" s="126"/>
      <c r="N61" s="126"/>
      <c r="O61" s="118"/>
      <c r="P61" s="118"/>
      <c r="Q61" s="118"/>
      <c r="R61" s="118"/>
      <c r="S61" s="118"/>
      <c r="T61" s="86"/>
      <c r="U61" s="1"/>
      <c r="V61" s="119" t="s">
        <v>39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/>
      <c r="M62" s="126"/>
      <c r="N62" s="126"/>
      <c r="O62" s="118"/>
      <c r="P62" s="118"/>
      <c r="Q62" s="118"/>
      <c r="R62" s="118"/>
      <c r="S62" s="118"/>
      <c r="T62" s="86"/>
      <c r="U62" s="1"/>
      <c r="V62" s="119" t="s">
        <v>39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/>
      <c r="M63" s="126"/>
      <c r="N63" s="126"/>
      <c r="O63" s="118"/>
      <c r="P63" s="118"/>
      <c r="Q63" s="118"/>
      <c r="R63" s="118"/>
      <c r="S63" s="118"/>
      <c r="T63" s="86"/>
      <c r="U63" s="1"/>
      <c r="V63" s="119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/>
      <c r="M64" s="126"/>
      <c r="N64" s="126"/>
      <c r="O64" s="118"/>
      <c r="P64" s="118"/>
      <c r="Q64" s="118"/>
      <c r="R64" s="118"/>
      <c r="S64" s="118"/>
      <c r="T64" s="86"/>
      <c r="U64" s="1"/>
      <c r="V64" s="119" t="s">
        <v>39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/>
      <c r="M65" s="126"/>
      <c r="N65" s="126"/>
      <c r="O65" s="118"/>
      <c r="P65" s="118"/>
      <c r="Q65" s="118"/>
      <c r="R65" s="118"/>
      <c r="S65" s="118"/>
      <c r="T65" s="86"/>
      <c r="U65" s="1"/>
      <c r="V65" s="119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/>
      <c r="M66" s="126"/>
      <c r="N66" s="126"/>
      <c r="O66" s="118"/>
      <c r="P66" s="118"/>
      <c r="Q66" s="118"/>
      <c r="R66" s="118"/>
      <c r="S66" s="118"/>
      <c r="T66" s="86"/>
      <c r="U66" s="1"/>
      <c r="V66" s="119" t="s">
        <v>39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/>
      <c r="M67" s="126"/>
      <c r="N67" s="126"/>
      <c r="O67" s="118"/>
      <c r="P67" s="118"/>
      <c r="Q67" s="118"/>
      <c r="R67" s="118"/>
      <c r="S67" s="118"/>
      <c r="T67" s="86"/>
      <c r="U67" s="1"/>
      <c r="V67" s="119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/>
      <c r="M68" s="126"/>
      <c r="N68" s="126"/>
      <c r="O68" s="118"/>
      <c r="P68" s="118"/>
      <c r="Q68" s="118"/>
      <c r="R68" s="118"/>
      <c r="S68" s="118"/>
      <c r="T68" s="86"/>
      <c r="U68" s="1"/>
      <c r="V68" s="119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/>
      <c r="M69" s="126"/>
      <c r="N69" s="126"/>
      <c r="O69" s="118"/>
      <c r="P69" s="118"/>
      <c r="Q69" s="118"/>
      <c r="R69" s="118"/>
      <c r="S69" s="118"/>
      <c r="T69" s="86"/>
      <c r="U69" s="1"/>
      <c r="V69" s="119" t="s">
        <v>39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/>
      <c r="M70" s="126"/>
      <c r="N70" s="126"/>
      <c r="O70" s="118"/>
      <c r="P70" s="118"/>
      <c r="Q70" s="118"/>
      <c r="R70" s="118"/>
      <c r="S70" s="118"/>
      <c r="T70" s="86"/>
      <c r="U70" s="1"/>
      <c r="V70" s="119" t="s">
        <v>39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/>
      <c r="M71" s="126"/>
      <c r="N71" s="126"/>
      <c r="O71" s="118"/>
      <c r="P71" s="118"/>
      <c r="Q71" s="118"/>
      <c r="R71" s="118"/>
      <c r="S71" s="118"/>
      <c r="T71" s="86"/>
      <c r="U71" s="1"/>
      <c r="V71" s="119" t="s">
        <v>39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/>
      <c r="M72" s="126"/>
      <c r="N72" s="126"/>
      <c r="O72" s="118"/>
      <c r="P72" s="118"/>
      <c r="Q72" s="118"/>
      <c r="R72" s="118"/>
      <c r="S72" s="118"/>
      <c r="T72" s="86"/>
      <c r="U72" s="1"/>
      <c r="V72" s="119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/>
      <c r="M73" s="126"/>
      <c r="N73" s="126"/>
      <c r="O73" s="118"/>
      <c r="P73" s="118"/>
      <c r="Q73" s="118"/>
      <c r="R73" s="118"/>
      <c r="S73" s="118"/>
      <c r="T73" s="86"/>
      <c r="U73" s="1"/>
      <c r="V73" s="119" t="s">
        <v>39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/>
      <c r="M74" s="126"/>
      <c r="N74" s="126"/>
      <c r="O74" s="118"/>
      <c r="P74" s="118"/>
      <c r="Q74" s="118"/>
      <c r="R74" s="118"/>
      <c r="S74" s="118"/>
      <c r="T74" s="86"/>
      <c r="U74" s="1"/>
      <c r="V74" s="119" t="s">
        <v>39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/>
      <c r="M75" s="126"/>
      <c r="N75" s="126"/>
      <c r="O75" s="118"/>
      <c r="P75" s="118"/>
      <c r="Q75" s="118"/>
      <c r="R75" s="118"/>
      <c r="S75" s="118"/>
      <c r="T75" s="86"/>
      <c r="U75" s="1"/>
      <c r="V75" s="119" t="s">
        <v>39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/>
      <c r="M76" s="126"/>
      <c r="N76" s="126"/>
      <c r="O76" s="118"/>
      <c r="P76" s="118"/>
      <c r="Q76" s="118"/>
      <c r="R76" s="118"/>
      <c r="S76" s="118"/>
      <c r="T76" s="86"/>
      <c r="U76" s="1"/>
      <c r="V76" s="119" t="s">
        <v>39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/>
      <c r="M77" s="126"/>
      <c r="N77" s="126"/>
      <c r="O77" s="118"/>
      <c r="P77" s="118"/>
      <c r="Q77" s="118"/>
      <c r="R77" s="118"/>
      <c r="S77" s="118"/>
      <c r="T77" s="86"/>
      <c r="U77" s="1"/>
      <c r="V77" s="119" t="s">
        <v>39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/>
      <c r="M78" s="126"/>
      <c r="N78" s="126"/>
      <c r="O78" s="118"/>
      <c r="P78" s="118"/>
      <c r="Q78" s="118"/>
      <c r="R78" s="118"/>
      <c r="S78" s="118"/>
      <c r="T78" s="86"/>
      <c r="U78" s="1"/>
      <c r="V78" s="119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/>
      <c r="M79" s="126"/>
      <c r="N79" s="126"/>
      <c r="O79" s="118"/>
      <c r="P79" s="118"/>
      <c r="Q79" s="118"/>
      <c r="R79" s="118"/>
      <c r="S79" s="118"/>
      <c r="T79" s="86"/>
      <c r="U79" s="1"/>
      <c r="V79" s="119" t="s">
        <v>39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/>
      <c r="M80" s="126"/>
      <c r="N80" s="126"/>
      <c r="O80" s="118"/>
      <c r="P80" s="118"/>
      <c r="Q80" s="118"/>
      <c r="R80" s="118"/>
      <c r="S80" s="118"/>
      <c r="T80" s="86"/>
      <c r="U80" s="1"/>
      <c r="V80" s="119" t="s">
        <v>39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/>
      <c r="M81" s="126"/>
      <c r="N81" s="126"/>
      <c r="O81" s="118"/>
      <c r="P81" s="118"/>
      <c r="Q81" s="118"/>
      <c r="R81" s="118"/>
      <c r="S81" s="118"/>
      <c r="T81" s="86"/>
      <c r="U81" s="98"/>
      <c r="V81" s="119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/>
      <c r="M82" s="126"/>
      <c r="N82" s="126"/>
      <c r="O82" s="118"/>
      <c r="P82" s="118"/>
      <c r="Q82" s="118"/>
      <c r="R82" s="118"/>
      <c r="S82" s="118"/>
      <c r="T82" s="86"/>
      <c r="U82" s="1"/>
      <c r="V82" s="119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/>
      <c r="M83" s="126"/>
      <c r="N83" s="126"/>
      <c r="O83" s="118"/>
      <c r="P83" s="118"/>
      <c r="Q83" s="118"/>
      <c r="R83" s="118"/>
      <c r="S83" s="118"/>
      <c r="T83" s="86"/>
      <c r="U83" s="1"/>
      <c r="V83" s="119" t="s">
        <v>39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/>
      <c r="M84" s="126"/>
      <c r="N84" s="126"/>
      <c r="O84" s="118"/>
      <c r="P84" s="118"/>
      <c r="Q84" s="118"/>
      <c r="R84" s="118"/>
      <c r="S84" s="118"/>
      <c r="T84" s="86"/>
      <c r="U84" s="1"/>
      <c r="V84" s="119" t="s">
        <v>39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/>
      <c r="M85" s="126"/>
      <c r="N85" s="126"/>
      <c r="O85" s="118"/>
      <c r="P85" s="118"/>
      <c r="Q85" s="118"/>
      <c r="R85" s="118"/>
      <c r="S85" s="118"/>
      <c r="T85" s="86"/>
      <c r="U85" s="1"/>
      <c r="V85" s="119" t="s">
        <v>39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/>
      <c r="M86" s="126"/>
      <c r="N86" s="126"/>
      <c r="O86" s="118"/>
      <c r="P86" s="118"/>
      <c r="Q86" s="118"/>
      <c r="R86" s="118"/>
      <c r="S86" s="118"/>
      <c r="T86" s="86"/>
      <c r="U86" s="1"/>
      <c r="V86" s="119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/>
      <c r="M87" s="126"/>
      <c r="N87" s="126"/>
      <c r="O87" s="118"/>
      <c r="P87" s="118"/>
      <c r="Q87" s="118"/>
      <c r="R87" s="118"/>
      <c r="S87" s="118"/>
      <c r="T87" s="86"/>
      <c r="U87" s="1"/>
      <c r="V87" s="119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/>
      <c r="M88" s="126"/>
      <c r="N88" s="126"/>
      <c r="O88" s="118"/>
      <c r="P88" s="118"/>
      <c r="Q88" s="118"/>
      <c r="R88" s="118"/>
      <c r="S88" s="118"/>
      <c r="T88" s="86"/>
      <c r="U88" s="1"/>
      <c r="V88" s="119" t="s">
        <v>39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/>
      <c r="M89" s="126"/>
      <c r="N89" s="126"/>
      <c r="O89" s="118"/>
      <c r="P89" s="118"/>
      <c r="Q89" s="118"/>
      <c r="R89" s="118"/>
      <c r="S89" s="118"/>
      <c r="T89" s="86"/>
      <c r="U89" s="1"/>
      <c r="V89" s="119" t="s">
        <v>39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/>
      <c r="M90" s="126"/>
      <c r="N90" s="126"/>
      <c r="O90" s="118"/>
      <c r="P90" s="118"/>
      <c r="Q90" s="118"/>
      <c r="R90" s="118"/>
      <c r="S90" s="118"/>
      <c r="T90" s="86"/>
      <c r="U90" s="1"/>
      <c r="V90" s="119" t="s">
        <v>39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/>
      <c r="M91" s="126"/>
      <c r="N91" s="126"/>
      <c r="O91" s="118"/>
      <c r="P91" s="118"/>
      <c r="Q91" s="118"/>
      <c r="R91" s="118"/>
      <c r="S91" s="118"/>
      <c r="T91" s="86"/>
      <c r="U91" s="1"/>
      <c r="V91" s="119" t="s">
        <v>39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/>
      <c r="M92" s="126"/>
      <c r="N92" s="126"/>
      <c r="O92" s="118"/>
      <c r="P92" s="118"/>
      <c r="Q92" s="118"/>
      <c r="R92" s="118"/>
      <c r="S92" s="118"/>
      <c r="T92" s="86"/>
      <c r="U92" s="1"/>
      <c r="V92" s="119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/>
      <c r="M93" s="126"/>
      <c r="N93" s="126"/>
      <c r="O93" s="118"/>
      <c r="P93" s="118"/>
      <c r="Q93" s="118"/>
      <c r="R93" s="118"/>
      <c r="S93" s="118"/>
      <c r="T93" s="86"/>
      <c r="U93" s="1"/>
      <c r="V93" s="119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/>
      <c r="M94" s="126"/>
      <c r="N94" s="126"/>
      <c r="O94" s="118"/>
      <c r="P94" s="118"/>
      <c r="Q94" s="118"/>
      <c r="R94" s="118"/>
      <c r="S94" s="118"/>
      <c r="T94" s="86"/>
      <c r="U94" s="1"/>
      <c r="V94" s="119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/>
      <c r="M95" s="126"/>
      <c r="N95" s="126"/>
      <c r="O95" s="118"/>
      <c r="P95" s="118"/>
      <c r="Q95" s="118"/>
      <c r="R95" s="118"/>
      <c r="S95" s="118"/>
      <c r="T95" s="86"/>
      <c r="U95" s="1"/>
      <c r="V95" s="119" t="s">
        <v>39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/>
      <c r="M96" s="126"/>
      <c r="N96" s="126"/>
      <c r="O96" s="118"/>
      <c r="P96" s="118"/>
      <c r="Q96" s="118"/>
      <c r="R96" s="118"/>
      <c r="S96" s="118"/>
      <c r="T96" s="86"/>
      <c r="U96" s="1"/>
      <c r="V96" s="119" t="s">
        <v>39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/>
      <c r="M97" s="126"/>
      <c r="N97" s="126"/>
      <c r="O97" s="118"/>
      <c r="P97" s="118"/>
      <c r="Q97" s="118"/>
      <c r="R97" s="118"/>
      <c r="S97" s="118"/>
      <c r="T97" s="86"/>
      <c r="U97" s="1"/>
      <c r="V97" s="119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/>
      <c r="M98" s="126"/>
      <c r="N98" s="126"/>
      <c r="O98" s="118"/>
      <c r="P98" s="118"/>
      <c r="Q98" s="118"/>
      <c r="R98" s="118"/>
      <c r="S98" s="118"/>
      <c r="T98" s="86"/>
      <c r="U98" s="1"/>
      <c r="V98" s="119" t="s">
        <v>39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/>
      <c r="M99" s="126"/>
      <c r="N99" s="126"/>
      <c r="O99" s="118"/>
      <c r="P99" s="118"/>
      <c r="Q99" s="118"/>
      <c r="R99" s="118"/>
      <c r="S99" s="118"/>
      <c r="T99" s="86"/>
      <c r="U99" s="1"/>
      <c r="V99" s="119" t="s">
        <v>39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/>
      <c r="M100" s="126"/>
      <c r="N100" s="126"/>
      <c r="O100" s="118"/>
      <c r="P100" s="118"/>
      <c r="Q100" s="118"/>
      <c r="R100" s="118"/>
      <c r="S100" s="118"/>
      <c r="T100" s="86"/>
      <c r="U100" s="1"/>
      <c r="V100" s="119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/>
      <c r="M101" s="126"/>
      <c r="N101" s="126"/>
      <c r="O101" s="118"/>
      <c r="P101" s="118"/>
      <c r="Q101" s="118"/>
      <c r="R101" s="118"/>
      <c r="S101" s="118"/>
      <c r="T101" s="86"/>
      <c r="U101" s="1"/>
      <c r="V101" s="119" t="s">
        <v>39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/>
      <c r="M102" s="126"/>
      <c r="N102" s="126"/>
      <c r="O102" s="118"/>
      <c r="P102" s="118"/>
      <c r="Q102" s="118"/>
      <c r="R102" s="118"/>
      <c r="S102" s="118"/>
      <c r="T102" s="86"/>
      <c r="U102" s="1"/>
      <c r="V102" s="119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/>
      <c r="M103" s="126"/>
      <c r="N103" s="126"/>
      <c r="O103" s="118"/>
      <c r="P103" s="118"/>
      <c r="Q103" s="118"/>
      <c r="R103" s="118"/>
      <c r="S103" s="118"/>
      <c r="T103" s="86"/>
      <c r="U103" s="1"/>
      <c r="V103" s="119" t="s">
        <v>39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/>
      <c r="M104" s="126"/>
      <c r="N104" s="126"/>
      <c r="O104" s="118"/>
      <c r="P104" s="118"/>
      <c r="Q104" s="118"/>
      <c r="R104" s="118"/>
      <c r="S104" s="118"/>
      <c r="T104" s="86"/>
      <c r="U104" s="1"/>
      <c r="V104" s="119" t="s">
        <v>39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6"/>
      <c r="M105" s="126"/>
      <c r="N105" s="126"/>
      <c r="O105" s="118"/>
      <c r="P105" s="118"/>
      <c r="Q105" s="118"/>
      <c r="R105" s="118"/>
      <c r="S105" s="118"/>
      <c r="T105" s="86"/>
      <c r="U105" s="1"/>
      <c r="V105" s="119" t="s">
        <v>39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6"/>
      <c r="M106" s="126"/>
      <c r="N106" s="126"/>
      <c r="O106" s="118"/>
      <c r="P106" s="118"/>
      <c r="Q106" s="118"/>
      <c r="R106" s="118"/>
      <c r="S106" s="118"/>
      <c r="T106" s="86"/>
      <c r="U106" s="1"/>
      <c r="V106" s="119" t="s">
        <v>39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6"/>
      <c r="M107" s="126"/>
      <c r="N107" s="126"/>
      <c r="O107" s="118"/>
      <c r="P107" s="118"/>
      <c r="Q107" s="118"/>
      <c r="R107" s="118"/>
      <c r="S107" s="118"/>
      <c r="T107" s="86"/>
      <c r="U107" s="1"/>
      <c r="V107" s="119" t="s">
        <v>39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6"/>
      <c r="M108" s="126"/>
      <c r="N108" s="126"/>
      <c r="O108" s="118"/>
      <c r="P108" s="118"/>
      <c r="Q108" s="118"/>
      <c r="R108" s="118"/>
      <c r="S108" s="118"/>
      <c r="T108" s="86"/>
      <c r="U108" s="1"/>
      <c r="V108" s="119" t="s">
        <v>39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6"/>
      <c r="M109" s="126"/>
      <c r="N109" s="126"/>
      <c r="O109" s="118"/>
      <c r="P109" s="118"/>
      <c r="Q109" s="118"/>
      <c r="R109" s="118"/>
      <c r="S109" s="118"/>
      <c r="T109" s="86"/>
      <c r="U109" s="1"/>
      <c r="V109" s="119" t="s">
        <v>39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6"/>
      <c r="M110" s="126"/>
      <c r="N110" s="126"/>
      <c r="O110" s="118"/>
      <c r="P110" s="118"/>
      <c r="Q110" s="118"/>
      <c r="R110" s="118"/>
      <c r="S110" s="118"/>
      <c r="T110" s="86"/>
      <c r="U110" s="1"/>
      <c r="V110" s="119" t="s">
        <v>39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6"/>
      <c r="M111" s="126"/>
      <c r="N111" s="126"/>
      <c r="O111" s="118"/>
      <c r="P111" s="118"/>
      <c r="Q111" s="118"/>
      <c r="R111" s="118"/>
      <c r="S111" s="118"/>
      <c r="T111" s="86"/>
      <c r="U111" s="1"/>
      <c r="V111" s="119" t="s">
        <v>39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6"/>
      <c r="M112" s="126"/>
      <c r="N112" s="126"/>
      <c r="O112" s="118"/>
      <c r="P112" s="118"/>
      <c r="Q112" s="118"/>
      <c r="R112" s="118"/>
      <c r="S112" s="118"/>
      <c r="T112" s="86"/>
      <c r="U112" s="1"/>
      <c r="V112" s="119" t="s">
        <v>39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6"/>
      <c r="M113" s="126"/>
      <c r="N113" s="126"/>
      <c r="O113" s="118"/>
      <c r="P113" s="118"/>
      <c r="Q113" s="118"/>
      <c r="R113" s="118"/>
      <c r="S113" s="118"/>
      <c r="T113" s="86"/>
      <c r="U113" s="1"/>
      <c r="V113" s="119" t="s">
        <v>39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6"/>
      <c r="M114" s="126"/>
      <c r="N114" s="126"/>
      <c r="O114" s="118"/>
      <c r="P114" s="118"/>
      <c r="Q114" s="118"/>
      <c r="R114" s="118"/>
      <c r="S114" s="118"/>
      <c r="T114" s="86"/>
      <c r="U114" s="1"/>
      <c r="V114" s="119" t="s">
        <v>39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6"/>
      <c r="M115" s="126"/>
      <c r="N115" s="126"/>
      <c r="O115" s="118"/>
      <c r="P115" s="118"/>
      <c r="Q115" s="118"/>
      <c r="R115" s="118"/>
      <c r="S115" s="118"/>
      <c r="T115" s="86"/>
      <c r="U115" s="1"/>
      <c r="V115" s="119" t="s">
        <v>39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6"/>
      <c r="M116" s="126"/>
      <c r="N116" s="126"/>
      <c r="O116" s="118"/>
      <c r="P116" s="118"/>
      <c r="Q116" s="118"/>
      <c r="R116" s="118"/>
      <c r="S116" s="118"/>
      <c r="T116" s="86"/>
      <c r="U116" s="1"/>
      <c r="V116" s="119" t="s">
        <v>39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6"/>
      <c r="M117" s="126"/>
      <c r="N117" s="126"/>
      <c r="O117" s="118"/>
      <c r="P117" s="118"/>
      <c r="Q117" s="118"/>
      <c r="R117" s="118"/>
      <c r="S117" s="118"/>
      <c r="T117" s="86"/>
      <c r="U117" s="1"/>
      <c r="V117" s="119" t="s">
        <v>39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6"/>
      <c r="M118" s="126"/>
      <c r="N118" s="126"/>
      <c r="O118" s="118"/>
      <c r="P118" s="118"/>
      <c r="Q118" s="118"/>
      <c r="R118" s="118"/>
      <c r="S118" s="118"/>
      <c r="T118" s="86"/>
      <c r="U118" s="1"/>
      <c r="V118" s="119" t="s">
        <v>39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6"/>
      <c r="M119" s="126"/>
      <c r="N119" s="126"/>
      <c r="O119" s="118"/>
      <c r="P119" s="118"/>
      <c r="Q119" s="118"/>
      <c r="R119" s="118"/>
      <c r="S119" s="118"/>
      <c r="T119" s="86"/>
      <c r="U119" s="1"/>
      <c r="V119" s="119" t="s">
        <v>39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6"/>
      <c r="M120" s="126"/>
      <c r="N120" s="126"/>
      <c r="O120" s="118"/>
      <c r="P120" s="118"/>
      <c r="Q120" s="118"/>
      <c r="R120" s="118"/>
      <c r="S120" s="118"/>
      <c r="T120" s="86"/>
      <c r="U120" s="1"/>
      <c r="V120" s="119" t="s">
        <v>39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6"/>
      <c r="M121" s="126"/>
      <c r="N121" s="126"/>
      <c r="O121" s="118"/>
      <c r="P121" s="118"/>
      <c r="Q121" s="118"/>
      <c r="R121" s="118"/>
      <c r="S121" s="118"/>
      <c r="T121" s="86"/>
      <c r="U121" s="1"/>
      <c r="V121" s="119" t="s">
        <v>39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6"/>
      <c r="M122" s="126"/>
      <c r="N122" s="126"/>
      <c r="O122" s="118"/>
      <c r="P122" s="118"/>
      <c r="Q122" s="118"/>
      <c r="R122" s="118"/>
      <c r="S122" s="118"/>
      <c r="T122" s="86"/>
      <c r="U122" s="1"/>
      <c r="V122" s="119" t="s">
        <v>39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6"/>
      <c r="M123" s="126"/>
      <c r="N123" s="126"/>
      <c r="O123" s="118"/>
      <c r="P123" s="118"/>
      <c r="Q123" s="118"/>
      <c r="R123" s="118"/>
      <c r="S123" s="118"/>
      <c r="T123" s="86"/>
      <c r="U123" s="1"/>
      <c r="V123" s="119" t="s">
        <v>39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6"/>
      <c r="M124" s="126"/>
      <c r="N124" s="126"/>
      <c r="O124" s="118"/>
      <c r="P124" s="118"/>
      <c r="Q124" s="118"/>
      <c r="R124" s="118"/>
      <c r="S124" s="118"/>
      <c r="T124" s="86"/>
      <c r="U124" s="1"/>
      <c r="V124" s="119" t="s">
        <v>39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6"/>
      <c r="M125" s="126"/>
      <c r="N125" s="126"/>
      <c r="O125" s="118"/>
      <c r="P125" s="118"/>
      <c r="Q125" s="118"/>
      <c r="R125" s="118"/>
      <c r="S125" s="118"/>
      <c r="T125" s="86"/>
      <c r="U125" s="1"/>
      <c r="V125" s="119" t="s">
        <v>39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6"/>
      <c r="M126" s="126"/>
      <c r="N126" s="126"/>
      <c r="O126" s="118"/>
      <c r="P126" s="118"/>
      <c r="Q126" s="118"/>
      <c r="R126" s="118"/>
      <c r="S126" s="118"/>
      <c r="T126" s="86"/>
      <c r="U126" s="1"/>
      <c r="V126" s="119" t="s">
        <v>39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6"/>
      <c r="M127" s="126"/>
      <c r="N127" s="126"/>
      <c r="O127" s="118"/>
      <c r="P127" s="118"/>
      <c r="Q127" s="118"/>
      <c r="R127" s="118"/>
      <c r="S127" s="118"/>
      <c r="T127" s="86"/>
      <c r="U127" s="1"/>
      <c r="V127" s="119" t="s">
        <v>39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6"/>
      <c r="M128" s="126"/>
      <c r="N128" s="126"/>
      <c r="O128" s="118"/>
      <c r="P128" s="118"/>
      <c r="Q128" s="118"/>
      <c r="R128" s="118"/>
      <c r="S128" s="118"/>
      <c r="T128" s="86"/>
      <c r="U128" s="1"/>
      <c r="V128" s="119" t="s">
        <v>39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6"/>
      <c r="M129" s="126"/>
      <c r="N129" s="126"/>
      <c r="O129" s="118"/>
      <c r="P129" s="118"/>
      <c r="Q129" s="118"/>
      <c r="R129" s="118"/>
      <c r="S129" s="118"/>
      <c r="T129" s="86"/>
      <c r="U129" s="1"/>
      <c r="V129" s="119" t="s">
        <v>39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6"/>
      <c r="M130" s="126"/>
      <c r="N130" s="126"/>
      <c r="O130" s="118"/>
      <c r="P130" s="118"/>
      <c r="Q130" s="118"/>
      <c r="R130" s="118"/>
      <c r="S130" s="118"/>
      <c r="T130" s="86"/>
      <c r="U130" s="1"/>
      <c r="V130" s="119" t="s">
        <v>39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6"/>
      <c r="M131" s="126"/>
      <c r="N131" s="126"/>
      <c r="O131" s="118"/>
      <c r="P131" s="118"/>
      <c r="Q131" s="118"/>
      <c r="R131" s="118"/>
      <c r="S131" s="118"/>
      <c r="T131" s="86"/>
      <c r="U131" s="1"/>
      <c r="V131" s="119" t="s">
        <v>39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6"/>
      <c r="M132" s="126"/>
      <c r="N132" s="126"/>
      <c r="O132" s="118"/>
      <c r="P132" s="118"/>
      <c r="Q132" s="118"/>
      <c r="R132" s="118"/>
      <c r="S132" s="118"/>
      <c r="T132" s="86"/>
      <c r="U132" s="1"/>
      <c r="V132" s="119" t="s">
        <v>39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6"/>
      <c r="M133" s="126"/>
      <c r="N133" s="126"/>
      <c r="O133" s="118"/>
      <c r="P133" s="118"/>
      <c r="Q133" s="118"/>
      <c r="R133" s="118"/>
      <c r="S133" s="118"/>
      <c r="T133" s="86"/>
      <c r="U133" s="1"/>
      <c r="V133" s="119" t="s">
        <v>39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6"/>
      <c r="M134" s="126"/>
      <c r="N134" s="126"/>
      <c r="O134" s="118"/>
      <c r="P134" s="118"/>
      <c r="Q134" s="118"/>
      <c r="R134" s="118"/>
      <c r="S134" s="118"/>
      <c r="T134" s="86"/>
      <c r="U134" s="1"/>
      <c r="V134" s="119" t="s">
        <v>39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6"/>
      <c r="M135" s="126"/>
      <c r="N135" s="126"/>
      <c r="O135" s="118"/>
      <c r="P135" s="118"/>
      <c r="Q135" s="118"/>
      <c r="R135" s="118"/>
      <c r="S135" s="118"/>
      <c r="T135" s="86"/>
      <c r="U135" s="1"/>
      <c r="V135" s="119" t="s">
        <v>39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6"/>
      <c r="M136" s="126"/>
      <c r="N136" s="126"/>
      <c r="O136" s="118"/>
      <c r="P136" s="118"/>
      <c r="Q136" s="118"/>
      <c r="R136" s="118"/>
      <c r="S136" s="118"/>
      <c r="T136" s="86"/>
      <c r="U136" s="1"/>
      <c r="V136" s="119" t="s">
        <v>39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6"/>
      <c r="M137" s="126"/>
      <c r="N137" s="126"/>
      <c r="O137" s="118"/>
      <c r="P137" s="118"/>
      <c r="Q137" s="118"/>
      <c r="R137" s="118"/>
      <c r="S137" s="118"/>
      <c r="T137" s="86"/>
      <c r="U137" s="1"/>
      <c r="V137" s="119" t="s">
        <v>39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6"/>
      <c r="M138" s="126"/>
      <c r="N138" s="126"/>
      <c r="O138" s="118"/>
      <c r="P138" s="118"/>
      <c r="Q138" s="118"/>
      <c r="R138" s="118"/>
      <c r="S138" s="118"/>
      <c r="T138" s="86"/>
      <c r="U138" s="1"/>
      <c r="V138" s="119" t="s">
        <v>39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6"/>
      <c r="M139" s="126"/>
      <c r="N139" s="126"/>
      <c r="O139" s="118"/>
      <c r="P139" s="118"/>
      <c r="Q139" s="118"/>
      <c r="R139" s="118"/>
      <c r="S139" s="118"/>
      <c r="T139" s="86"/>
      <c r="U139" s="1"/>
      <c r="V139" s="119" t="s">
        <v>39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6"/>
      <c r="M140" s="126"/>
      <c r="N140" s="126"/>
      <c r="O140" s="118"/>
      <c r="P140" s="118"/>
      <c r="Q140" s="118"/>
      <c r="R140" s="118"/>
      <c r="S140" s="118"/>
      <c r="T140" s="86"/>
      <c r="U140" s="1"/>
      <c r="V140" s="119" t="s">
        <v>39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6"/>
      <c r="M141" s="126"/>
      <c r="N141" s="126"/>
      <c r="O141" s="118"/>
      <c r="P141" s="118"/>
      <c r="Q141" s="118"/>
      <c r="R141" s="118"/>
      <c r="S141" s="118"/>
      <c r="T141" s="86"/>
      <c r="U141" s="1"/>
      <c r="V141" s="119" t="s">
        <v>39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6"/>
      <c r="M142" s="126"/>
      <c r="N142" s="126"/>
      <c r="O142" s="118"/>
      <c r="P142" s="118"/>
      <c r="Q142" s="118"/>
      <c r="R142" s="118"/>
      <c r="S142" s="118"/>
      <c r="T142" s="86"/>
      <c r="U142" s="1"/>
      <c r="V142" s="119" t="s">
        <v>39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6"/>
      <c r="M143" s="126"/>
      <c r="N143" s="126"/>
      <c r="O143" s="118"/>
      <c r="P143" s="118"/>
      <c r="Q143" s="118"/>
      <c r="R143" s="118"/>
      <c r="S143" s="118"/>
      <c r="T143" s="86"/>
      <c r="U143" s="1"/>
      <c r="V143" s="119" t="s">
        <v>39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6"/>
      <c r="M144" s="86"/>
      <c r="N144" s="86"/>
      <c r="O144" s="86"/>
      <c r="P144" s="86"/>
      <c r="Q144" s="86"/>
      <c r="R144" s="86"/>
      <c r="S144" s="86"/>
      <c r="T144" s="86"/>
      <c r="U144" s="1"/>
      <c r="V144" s="119"/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6"/>
      <c r="M145" s="86"/>
      <c r="N145" s="86"/>
      <c r="O145" s="86"/>
      <c r="P145" s="86"/>
      <c r="Q145" s="86"/>
      <c r="R145" s="86"/>
      <c r="S145" s="86"/>
      <c r="T145" s="86"/>
      <c r="U145" s="1"/>
      <c r="V145" s="119"/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6"/>
      <c r="M146" s="86"/>
      <c r="N146" s="86"/>
      <c r="O146" s="86"/>
      <c r="P146" s="86"/>
      <c r="Q146" s="86"/>
      <c r="R146" s="86"/>
      <c r="S146" s="86"/>
      <c r="T146" s="86"/>
      <c r="U146" s="1"/>
      <c r="V146" s="119"/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6"/>
      <c r="M147" s="86"/>
      <c r="N147" s="86"/>
      <c r="O147" s="86"/>
      <c r="P147" s="86"/>
      <c r="Q147" s="86"/>
      <c r="R147" s="86"/>
      <c r="S147" s="86"/>
      <c r="T147" s="86"/>
      <c r="U147" s="1"/>
      <c r="V147" s="119"/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6"/>
      <c r="M148" s="86"/>
      <c r="N148" s="86"/>
      <c r="O148" s="86"/>
      <c r="P148" s="86"/>
      <c r="Q148" s="86"/>
      <c r="R148" s="86"/>
      <c r="S148" s="86"/>
      <c r="T148" s="86"/>
      <c r="U148" s="1"/>
      <c r="V148" s="119"/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6"/>
      <c r="M149" s="86"/>
      <c r="N149" s="86"/>
      <c r="O149" s="86"/>
      <c r="P149" s="86"/>
      <c r="Q149" s="86"/>
      <c r="R149" s="86"/>
      <c r="S149" s="86"/>
      <c r="T149" s="86"/>
      <c r="U149" s="1"/>
      <c r="V149" s="119"/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6"/>
      <c r="M150" s="86"/>
      <c r="N150" s="86"/>
      <c r="O150" s="86"/>
      <c r="P150" s="86"/>
      <c r="Q150" s="86"/>
      <c r="R150" s="86"/>
      <c r="S150" s="86"/>
      <c r="T150" s="86"/>
      <c r="U150" s="1"/>
      <c r="V150" s="119"/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6"/>
      <c r="M151" s="86"/>
      <c r="N151" s="86"/>
      <c r="O151" s="86"/>
      <c r="P151" s="86"/>
      <c r="Q151" s="86"/>
      <c r="R151" s="86"/>
      <c r="S151" s="86"/>
      <c r="T151" s="86"/>
      <c r="U151" s="1"/>
      <c r="V151" s="119"/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6"/>
      <c r="M152" s="86"/>
      <c r="N152" s="86"/>
      <c r="O152" s="86"/>
      <c r="P152" s="86"/>
      <c r="Q152" s="86"/>
      <c r="R152" s="86"/>
      <c r="S152" s="86"/>
      <c r="T152" s="86"/>
      <c r="U152" s="1"/>
      <c r="V152" s="119"/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6"/>
      <c r="M153" s="86"/>
      <c r="N153" s="86"/>
      <c r="O153" s="86"/>
      <c r="P153" s="86"/>
      <c r="Q153" s="86"/>
      <c r="R153" s="86"/>
      <c r="S153" s="86"/>
      <c r="T153" s="86"/>
      <c r="U153" s="1"/>
      <c r="V153" s="119"/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6"/>
      <c r="M154" s="86"/>
      <c r="N154" s="86"/>
      <c r="O154" s="86"/>
      <c r="P154" s="86"/>
      <c r="Q154" s="86"/>
      <c r="R154" s="86"/>
      <c r="S154" s="86"/>
      <c r="T154" s="86"/>
      <c r="U154" s="1"/>
      <c r="V154" s="119"/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6"/>
      <c r="M155" s="86"/>
      <c r="N155" s="86"/>
      <c r="O155" s="86"/>
      <c r="P155" s="86"/>
      <c r="Q155" s="86"/>
      <c r="R155" s="86"/>
      <c r="S155" s="86"/>
      <c r="T155" s="86"/>
      <c r="U155" s="1"/>
      <c r="V155" s="119"/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6"/>
      <c r="M156" s="86"/>
      <c r="N156" s="86"/>
      <c r="O156" s="86"/>
      <c r="P156" s="86"/>
      <c r="Q156" s="86"/>
      <c r="R156" s="86"/>
      <c r="S156" s="86"/>
      <c r="T156" s="86"/>
      <c r="U156" s="1"/>
      <c r="V156" s="119"/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6"/>
      <c r="M157" s="86"/>
      <c r="N157" s="86"/>
      <c r="O157" s="86"/>
      <c r="P157" s="86"/>
      <c r="Q157" s="86"/>
      <c r="R157" s="86"/>
      <c r="S157" s="86"/>
      <c r="T157" s="86"/>
      <c r="U157" s="1"/>
      <c r="V157" s="119"/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6"/>
      <c r="M158" s="86"/>
      <c r="N158" s="86"/>
      <c r="O158" s="86"/>
      <c r="P158" s="86"/>
      <c r="Q158" s="86"/>
      <c r="R158" s="86"/>
      <c r="S158" s="86"/>
      <c r="T158" s="86"/>
      <c r="U158" s="1"/>
      <c r="V158" s="119"/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6"/>
      <c r="M159" s="86"/>
      <c r="N159" s="86"/>
      <c r="O159" s="86"/>
      <c r="P159" s="86"/>
      <c r="Q159" s="86"/>
      <c r="R159" s="86"/>
      <c r="S159" s="86"/>
      <c r="T159" s="86"/>
      <c r="U159" s="1"/>
      <c r="V159" s="119"/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6"/>
      <c r="M160" s="86"/>
      <c r="N160" s="86"/>
      <c r="O160" s="86"/>
      <c r="P160" s="86"/>
      <c r="Q160" s="86"/>
      <c r="R160" s="86"/>
      <c r="S160" s="86"/>
      <c r="T160" s="86"/>
      <c r="U160" s="1"/>
      <c r="V160" s="119"/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6"/>
      <c r="M161" s="86"/>
      <c r="N161" s="86"/>
      <c r="O161" s="86"/>
      <c r="P161" s="86"/>
      <c r="Q161" s="86"/>
      <c r="R161" s="86"/>
      <c r="S161" s="86"/>
      <c r="T161" s="86"/>
      <c r="U161" s="1"/>
      <c r="V161" s="119"/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6"/>
      <c r="M162" s="86"/>
      <c r="N162" s="86"/>
      <c r="O162" s="86"/>
      <c r="P162" s="86"/>
      <c r="Q162" s="86"/>
      <c r="R162" s="86"/>
      <c r="S162" s="86"/>
      <c r="T162" s="86"/>
      <c r="U162" s="1"/>
      <c r="V162" s="119"/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6"/>
      <c r="M163" s="86"/>
      <c r="N163" s="86"/>
      <c r="O163" s="86"/>
      <c r="P163" s="86"/>
      <c r="Q163" s="86"/>
      <c r="R163" s="86"/>
      <c r="S163" s="86"/>
      <c r="T163" s="86"/>
      <c r="U163" s="1"/>
      <c r="V163" s="119"/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6"/>
      <c r="M164" s="86"/>
      <c r="N164" s="86"/>
      <c r="O164" s="86"/>
      <c r="P164" s="86"/>
      <c r="Q164" s="86"/>
      <c r="R164" s="86"/>
      <c r="S164" s="86"/>
      <c r="T164" s="86"/>
      <c r="U164" s="1"/>
      <c r="V164" s="119"/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6"/>
      <c r="M165" s="86"/>
      <c r="N165" s="86"/>
      <c r="O165" s="86"/>
      <c r="P165" s="86"/>
      <c r="Q165" s="86"/>
      <c r="R165" s="86"/>
      <c r="S165" s="86"/>
      <c r="T165" s="86"/>
      <c r="U165" s="1"/>
      <c r="V165" s="119"/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6"/>
      <c r="M166" s="86"/>
      <c r="N166" s="86"/>
      <c r="O166" s="86"/>
      <c r="P166" s="86"/>
      <c r="Q166" s="86"/>
      <c r="R166" s="86"/>
      <c r="S166" s="86"/>
      <c r="T166" s="86"/>
      <c r="U166" s="1"/>
      <c r="V166" s="119"/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6"/>
      <c r="M167" s="86"/>
      <c r="N167" s="86"/>
      <c r="O167" s="86"/>
      <c r="P167" s="86"/>
      <c r="Q167" s="86"/>
      <c r="R167" s="86"/>
      <c r="S167" s="86"/>
      <c r="T167" s="86"/>
      <c r="U167" s="1"/>
      <c r="V167" s="119"/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6"/>
      <c r="M168" s="86"/>
      <c r="N168" s="86"/>
      <c r="O168" s="86"/>
      <c r="P168" s="86"/>
      <c r="Q168" s="86"/>
      <c r="R168" s="86"/>
      <c r="S168" s="86"/>
      <c r="T168" s="86"/>
      <c r="U168" s="1"/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6"/>
      <c r="M169" s="86"/>
      <c r="N169" s="86"/>
      <c r="O169" s="86"/>
      <c r="P169" s="86"/>
      <c r="Q169" s="86"/>
      <c r="R169" s="86"/>
      <c r="S169" s="86"/>
      <c r="T169" s="86"/>
      <c r="U169" s="1"/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6"/>
      <c r="M170" s="86"/>
      <c r="N170" s="86"/>
      <c r="O170" s="86"/>
      <c r="P170" s="86"/>
      <c r="Q170" s="86"/>
      <c r="R170" s="86"/>
      <c r="S170" s="86"/>
      <c r="T170" s="86"/>
      <c r="U170" s="1"/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6"/>
      <c r="M171" s="86"/>
      <c r="N171" s="86"/>
      <c r="O171" s="86"/>
      <c r="P171" s="86"/>
      <c r="Q171" s="86"/>
      <c r="R171" s="86"/>
      <c r="S171" s="86"/>
      <c r="T171" s="86"/>
      <c r="U171" s="1"/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6"/>
      <c r="M172" s="86"/>
      <c r="N172" s="86"/>
      <c r="O172" s="86"/>
      <c r="P172" s="86"/>
      <c r="Q172" s="86"/>
      <c r="R172" s="86"/>
      <c r="S172" s="86"/>
      <c r="T172" s="86"/>
      <c r="U172" s="1"/>
      <c r="V172" s="88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6"/>
      <c r="M173" s="86"/>
      <c r="N173" s="86"/>
      <c r="O173" s="86"/>
      <c r="P173" s="86"/>
      <c r="Q173" s="86"/>
      <c r="R173" s="86"/>
      <c r="S173" s="86"/>
      <c r="T173" s="86"/>
      <c r="U173" s="1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6"/>
      <c r="M174" s="86"/>
      <c r="N174" s="86"/>
      <c r="O174" s="86"/>
      <c r="P174" s="86"/>
      <c r="Q174" s="86"/>
      <c r="R174" s="86"/>
      <c r="S174" s="86"/>
      <c r="T174" s="86"/>
      <c r="U174" s="1"/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6"/>
      <c r="M175" s="86"/>
      <c r="N175" s="86"/>
      <c r="O175" s="86"/>
      <c r="P175" s="86"/>
      <c r="Q175" s="86"/>
      <c r="R175" s="86"/>
      <c r="S175" s="86"/>
      <c r="T175" s="86"/>
      <c r="U175" s="1"/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6"/>
      <c r="M176" s="86"/>
      <c r="N176" s="86"/>
      <c r="O176" s="86"/>
      <c r="P176" s="86"/>
      <c r="Q176" s="86"/>
      <c r="R176" s="86"/>
      <c r="S176" s="86"/>
      <c r="T176" s="86"/>
      <c r="U176" s="1"/>
    </row>
    <row r="177" spans="3:21" x14ac:dyDescent="0.3">
      <c r="C177" s="21"/>
      <c r="D177" s="1"/>
      <c r="E177" s="1"/>
      <c r="F177" s="1"/>
      <c r="G177" s="1"/>
      <c r="H177" s="1"/>
      <c r="I177" s="1"/>
      <c r="J177" s="1"/>
      <c r="L177" s="86"/>
      <c r="M177" s="86"/>
      <c r="N177" s="86"/>
      <c r="O177" s="86"/>
      <c r="P177" s="86"/>
      <c r="Q177" s="86"/>
      <c r="R177" s="86"/>
      <c r="S177" s="86"/>
      <c r="T177" s="86"/>
      <c r="U177" s="1"/>
    </row>
    <row r="178" spans="3:21" x14ac:dyDescent="0.3">
      <c r="C178" s="21"/>
      <c r="D178" s="1"/>
      <c r="E178" s="1"/>
      <c r="F178" s="1"/>
      <c r="G178" s="1"/>
      <c r="H178" s="1"/>
      <c r="I178" s="1"/>
      <c r="J178" s="1"/>
      <c r="L178" s="86"/>
      <c r="M178" s="86"/>
      <c r="N178" s="86"/>
      <c r="O178" s="86"/>
      <c r="P178" s="86"/>
      <c r="Q178" s="86"/>
      <c r="R178" s="86"/>
      <c r="S178" s="86"/>
      <c r="T178" s="86"/>
      <c r="U178" s="1"/>
    </row>
    <row r="179" spans="3:21" x14ac:dyDescent="0.3">
      <c r="C179" s="21"/>
      <c r="D179" s="1"/>
      <c r="E179" s="1"/>
      <c r="F179" s="1"/>
      <c r="G179" s="1"/>
      <c r="H179" s="1"/>
      <c r="I179" s="1"/>
      <c r="J179" s="1"/>
      <c r="L179" s="86"/>
      <c r="M179" s="86"/>
      <c r="N179" s="86"/>
      <c r="O179" s="86"/>
      <c r="P179" s="86"/>
      <c r="Q179" s="86"/>
      <c r="R179" s="86"/>
      <c r="S179" s="86"/>
      <c r="T179" s="86"/>
      <c r="U179" s="1"/>
    </row>
    <row r="180" spans="3:21" x14ac:dyDescent="0.3">
      <c r="C180" s="21"/>
      <c r="D180" s="1"/>
      <c r="E180" s="1"/>
      <c r="F180" s="1"/>
      <c r="G180" s="1"/>
      <c r="H180" s="1"/>
      <c r="I180" s="1"/>
      <c r="J180" s="1"/>
      <c r="L180" s="86"/>
      <c r="M180" s="86"/>
      <c r="N180" s="86"/>
      <c r="O180" s="86"/>
      <c r="P180" s="86"/>
      <c r="Q180" s="86"/>
      <c r="R180" s="86"/>
      <c r="S180" s="86"/>
      <c r="T180" s="86"/>
      <c r="U180" s="1"/>
    </row>
    <row r="181" spans="3:21" x14ac:dyDescent="0.3">
      <c r="C181" s="21"/>
      <c r="D181" s="1"/>
      <c r="E181" s="1"/>
      <c r="F181" s="1"/>
      <c r="G181" s="1"/>
      <c r="H181" s="1"/>
      <c r="I181" s="1"/>
      <c r="J181" s="1"/>
      <c r="L181" s="86"/>
      <c r="M181" s="86"/>
      <c r="N181" s="86"/>
      <c r="O181" s="86"/>
      <c r="P181" s="86"/>
      <c r="Q181" s="86"/>
      <c r="R181" s="86"/>
      <c r="S181" s="86"/>
      <c r="T181" s="86"/>
      <c r="U181" s="1"/>
    </row>
    <row r="182" spans="3:21" x14ac:dyDescent="0.3">
      <c r="C182" s="21"/>
      <c r="D182" s="1"/>
      <c r="E182" s="1"/>
      <c r="F182" s="1"/>
      <c r="G182" s="1"/>
      <c r="H182" s="1"/>
      <c r="I182" s="1"/>
      <c r="J182" s="1"/>
      <c r="L182" s="86"/>
      <c r="M182" s="86"/>
      <c r="N182" s="86"/>
      <c r="O182" s="86"/>
      <c r="P182" s="86"/>
      <c r="Q182" s="86"/>
      <c r="R182" s="86"/>
      <c r="S182" s="86"/>
      <c r="T182" s="86"/>
      <c r="U182" s="1"/>
    </row>
    <row r="183" spans="3:21" x14ac:dyDescent="0.3">
      <c r="C183" s="21"/>
      <c r="D183" s="1"/>
      <c r="E183" s="1"/>
      <c r="F183" s="1"/>
      <c r="G183" s="1"/>
      <c r="H183" s="1"/>
      <c r="I183" s="1"/>
      <c r="J183" s="1"/>
      <c r="L183" s="86"/>
      <c r="M183" s="86"/>
      <c r="N183" s="86"/>
      <c r="O183" s="86"/>
      <c r="P183" s="86"/>
      <c r="Q183" s="86"/>
      <c r="R183" s="86"/>
      <c r="S183" s="86"/>
      <c r="T183" s="86"/>
      <c r="U183" s="1"/>
    </row>
    <row r="184" spans="3:21" x14ac:dyDescent="0.3">
      <c r="C184" s="21"/>
      <c r="D184" s="1"/>
      <c r="E184" s="1"/>
      <c r="F184" s="1"/>
      <c r="G184" s="1"/>
      <c r="H184" s="1"/>
      <c r="I184" s="1"/>
      <c r="J184" s="1"/>
      <c r="L184" s="86"/>
      <c r="M184" s="86"/>
      <c r="N184" s="86"/>
      <c r="O184" s="86"/>
      <c r="P184" s="86"/>
      <c r="Q184" s="86"/>
      <c r="R184" s="86"/>
      <c r="S184" s="86"/>
      <c r="T184" s="86"/>
      <c r="U184" s="1"/>
    </row>
    <row r="185" spans="3:21" x14ac:dyDescent="0.3">
      <c r="C185" s="21"/>
      <c r="D185" s="1"/>
      <c r="E185" s="1"/>
      <c r="F185" s="1"/>
      <c r="G185" s="1"/>
      <c r="H185" s="1"/>
      <c r="I185" s="1"/>
      <c r="J185" s="1"/>
      <c r="L185" s="86"/>
      <c r="M185" s="86"/>
      <c r="N185" s="86"/>
      <c r="O185" s="86"/>
      <c r="P185" s="86"/>
      <c r="Q185" s="86"/>
      <c r="R185" s="86"/>
      <c r="S185" s="86"/>
      <c r="T185" s="86"/>
      <c r="U185" s="1"/>
    </row>
    <row r="186" spans="3:21" x14ac:dyDescent="0.3">
      <c r="C186" s="21"/>
      <c r="D186" s="1"/>
      <c r="E186" s="1"/>
      <c r="F186" s="1"/>
      <c r="G186" s="1"/>
      <c r="H186" s="1"/>
      <c r="I186" s="1"/>
      <c r="J186" s="1"/>
      <c r="L186" s="86"/>
      <c r="M186" s="86"/>
      <c r="N186" s="86"/>
      <c r="O186" s="86"/>
      <c r="P186" s="86"/>
      <c r="Q186" s="86"/>
      <c r="R186" s="86"/>
      <c r="S186" s="86"/>
      <c r="T186" s="86"/>
      <c r="U186" s="1"/>
    </row>
    <row r="187" spans="3:21" x14ac:dyDescent="0.3">
      <c r="C187" s="21"/>
      <c r="D187" s="1"/>
      <c r="E187" s="1"/>
      <c r="F187" s="1"/>
      <c r="G187" s="1"/>
      <c r="H187" s="1"/>
      <c r="I187" s="1"/>
      <c r="J187" s="1"/>
      <c r="L187" s="86"/>
      <c r="M187" s="86"/>
      <c r="N187" s="86"/>
      <c r="O187" s="86"/>
      <c r="P187" s="86"/>
      <c r="Q187" s="86"/>
      <c r="R187" s="86"/>
      <c r="S187" s="86"/>
      <c r="T187" s="86"/>
      <c r="U187" s="1"/>
    </row>
    <row r="188" spans="3:21" x14ac:dyDescent="0.3">
      <c r="C188" s="21"/>
      <c r="D188" s="1"/>
      <c r="E188" s="1"/>
      <c r="F188" s="1"/>
      <c r="G188" s="1"/>
      <c r="H188" s="1"/>
      <c r="I188" s="1"/>
      <c r="J188" s="1"/>
      <c r="L188" s="86"/>
      <c r="M188" s="86"/>
      <c r="N188" s="86"/>
      <c r="O188" s="86"/>
      <c r="P188" s="86"/>
      <c r="Q188" s="86"/>
      <c r="R188" s="86"/>
      <c r="S188" s="86"/>
      <c r="T188" s="86"/>
      <c r="U188" s="1"/>
    </row>
    <row r="189" spans="3:21" x14ac:dyDescent="0.3">
      <c r="C189" s="21"/>
      <c r="D189" s="1"/>
      <c r="E189" s="1"/>
      <c r="F189" s="1"/>
      <c r="G189" s="1"/>
      <c r="H189" s="1"/>
      <c r="I189" s="1"/>
      <c r="J189" s="1"/>
      <c r="L189" s="86"/>
      <c r="M189" s="86"/>
      <c r="N189" s="86"/>
      <c r="O189" s="86"/>
      <c r="P189" s="86"/>
      <c r="Q189" s="86"/>
      <c r="R189" s="86"/>
      <c r="S189" s="86"/>
      <c r="T189" s="86"/>
      <c r="U189" s="1"/>
    </row>
    <row r="190" spans="3:21" x14ac:dyDescent="0.3">
      <c r="C190" s="21"/>
      <c r="D190" s="1"/>
      <c r="E190" s="1"/>
      <c r="F190" s="1"/>
      <c r="G190" s="1"/>
      <c r="H190" s="1"/>
      <c r="I190" s="1"/>
      <c r="J190" s="1"/>
      <c r="L190" s="86"/>
      <c r="M190" s="86"/>
      <c r="N190" s="86"/>
      <c r="O190" s="86"/>
      <c r="P190" s="86"/>
      <c r="Q190" s="86"/>
      <c r="R190" s="86"/>
      <c r="S190" s="86"/>
      <c r="T190" s="86"/>
      <c r="U190" s="1"/>
    </row>
    <row r="191" spans="3:21" ht="13.5" customHeight="1" x14ac:dyDescent="0.3">
      <c r="C191" s="21"/>
      <c r="D191" s="1"/>
      <c r="E191" s="1"/>
      <c r="F191" s="1"/>
      <c r="G191" s="1"/>
      <c r="H191" s="1"/>
      <c r="I191" s="1"/>
      <c r="J191" s="1"/>
      <c r="L191" s="86"/>
      <c r="M191" s="86"/>
      <c r="N191" s="86"/>
      <c r="O191" s="86"/>
      <c r="P191" s="86"/>
      <c r="Q191" s="86"/>
      <c r="R191" s="86"/>
      <c r="S191" s="86"/>
      <c r="T191" s="86"/>
      <c r="U191" s="1"/>
    </row>
    <row r="192" spans="3:21" x14ac:dyDescent="0.3">
      <c r="C192" s="21"/>
      <c r="D192" s="1"/>
      <c r="E192" s="1"/>
      <c r="F192" s="1"/>
      <c r="G192" s="1"/>
      <c r="H192" s="1"/>
      <c r="I192" s="1"/>
      <c r="J192" s="1"/>
      <c r="L192" s="86"/>
      <c r="M192" s="86"/>
      <c r="N192" s="86"/>
      <c r="O192" s="86"/>
      <c r="P192" s="86"/>
      <c r="Q192" s="86"/>
      <c r="R192" s="86"/>
      <c r="S192" s="86"/>
      <c r="T192" s="86"/>
      <c r="U192" s="1"/>
    </row>
    <row r="193" spans="3:21" x14ac:dyDescent="0.3">
      <c r="C193" s="21"/>
      <c r="D193" s="1"/>
      <c r="E193" s="1"/>
      <c r="F193" s="1"/>
      <c r="G193" s="1"/>
      <c r="H193" s="1"/>
      <c r="I193" s="1"/>
      <c r="J193" s="1"/>
      <c r="L193" s="86"/>
      <c r="M193" s="86"/>
      <c r="N193" s="86"/>
      <c r="O193" s="86"/>
      <c r="P193" s="86"/>
      <c r="Q193" s="86"/>
      <c r="R193" s="86"/>
      <c r="S193" s="86"/>
      <c r="T193" s="86"/>
      <c r="U193" s="1"/>
    </row>
    <row r="194" spans="3:21" x14ac:dyDescent="0.3">
      <c r="C194" s="21"/>
      <c r="D194" s="1"/>
      <c r="E194" s="1"/>
      <c r="F194" s="1"/>
      <c r="G194" s="1"/>
      <c r="H194" s="1"/>
      <c r="I194" s="1"/>
      <c r="J194" s="1"/>
      <c r="L194" s="86"/>
      <c r="M194" s="86"/>
      <c r="N194" s="86"/>
      <c r="O194" s="86"/>
      <c r="P194" s="86"/>
      <c r="Q194" s="86"/>
      <c r="R194" s="86"/>
      <c r="S194" s="86"/>
      <c r="T194" s="86"/>
      <c r="U194" s="1"/>
    </row>
    <row r="195" spans="3:21" x14ac:dyDescent="0.3">
      <c r="C195" s="21"/>
      <c r="D195" s="1"/>
      <c r="E195" s="1"/>
      <c r="F195" s="1"/>
      <c r="G195" s="1"/>
      <c r="H195" s="1"/>
      <c r="I195" s="1"/>
      <c r="J195" s="1"/>
      <c r="L195" s="86"/>
      <c r="M195" s="86"/>
      <c r="N195" s="86"/>
      <c r="O195" s="86"/>
      <c r="P195" s="86"/>
      <c r="Q195" s="86"/>
      <c r="R195" s="86"/>
      <c r="S195" s="86"/>
      <c r="T195" s="86"/>
      <c r="U195" s="1"/>
    </row>
    <row r="196" spans="3:21" x14ac:dyDescent="0.3">
      <c r="C196" s="21"/>
      <c r="D196" s="1"/>
      <c r="E196" s="1"/>
      <c r="F196" s="1"/>
      <c r="G196" s="1"/>
      <c r="H196" s="1"/>
      <c r="I196" s="1"/>
      <c r="J196" s="1"/>
      <c r="L196" s="86"/>
      <c r="M196" s="86"/>
      <c r="N196" s="86"/>
      <c r="O196" s="86"/>
      <c r="P196" s="86"/>
      <c r="Q196" s="86"/>
      <c r="R196" s="86"/>
      <c r="S196" s="86"/>
      <c r="T196" s="86"/>
      <c r="U196" s="1"/>
    </row>
    <row r="197" spans="3:21" x14ac:dyDescent="0.3">
      <c r="C197" s="21"/>
      <c r="D197" s="1"/>
      <c r="E197" s="1"/>
      <c r="F197" s="1"/>
      <c r="G197" s="1"/>
      <c r="H197" s="1"/>
      <c r="I197" s="1"/>
      <c r="J197" s="1"/>
      <c r="L197" s="86"/>
      <c r="M197" s="86"/>
      <c r="N197" s="86"/>
      <c r="O197" s="86"/>
      <c r="P197" s="86"/>
      <c r="Q197" s="86"/>
      <c r="R197" s="86"/>
      <c r="S197" s="86"/>
      <c r="T197" s="86"/>
      <c r="U197" s="1"/>
    </row>
    <row r="198" spans="3:21" x14ac:dyDescent="0.3">
      <c r="C198" s="21"/>
      <c r="D198" s="1"/>
      <c r="E198" s="1"/>
      <c r="F198" s="1"/>
      <c r="G198" s="1"/>
      <c r="H198" s="1"/>
      <c r="I198" s="1"/>
      <c r="J198" s="1"/>
      <c r="L198" s="86"/>
      <c r="M198" s="86"/>
      <c r="N198" s="86"/>
      <c r="O198" s="86"/>
      <c r="P198" s="86"/>
      <c r="Q198" s="86"/>
      <c r="R198" s="86"/>
      <c r="S198" s="86"/>
      <c r="T198" s="86"/>
      <c r="U198" s="1"/>
    </row>
    <row r="199" spans="3:21" x14ac:dyDescent="0.3">
      <c r="C199" s="21"/>
      <c r="D199" s="1"/>
      <c r="E199" s="1"/>
      <c r="F199" s="1"/>
      <c r="G199" s="1"/>
      <c r="H199" s="1"/>
      <c r="I199" s="1"/>
      <c r="J199" s="1"/>
      <c r="L199" s="86"/>
      <c r="M199" s="86"/>
      <c r="N199" s="86"/>
      <c r="O199" s="86"/>
      <c r="P199" s="86"/>
      <c r="Q199" s="86"/>
      <c r="R199" s="86"/>
      <c r="S199" s="86"/>
      <c r="T199" s="86"/>
      <c r="U199" s="1"/>
    </row>
    <row r="200" spans="3:21" x14ac:dyDescent="0.3">
      <c r="C200" s="21"/>
      <c r="D200" s="1"/>
      <c r="E200" s="1"/>
      <c r="F200" s="1"/>
      <c r="G200" s="1"/>
      <c r="H200" s="1"/>
      <c r="I200" s="1"/>
      <c r="J200" s="1"/>
      <c r="L200" s="86"/>
      <c r="M200" s="86"/>
      <c r="N200" s="86"/>
      <c r="O200" s="86"/>
      <c r="P200" s="86"/>
      <c r="Q200" s="86"/>
      <c r="R200" s="86"/>
      <c r="S200" s="86"/>
      <c r="T200" s="86"/>
      <c r="U200" s="1"/>
    </row>
    <row r="201" spans="3:21" x14ac:dyDescent="0.3">
      <c r="C201" s="21"/>
      <c r="D201" s="1"/>
      <c r="E201" s="1"/>
      <c r="F201" s="1"/>
      <c r="G201" s="1"/>
      <c r="H201" s="1"/>
      <c r="I201" s="1"/>
      <c r="J201" s="1"/>
      <c r="L201" s="86"/>
      <c r="M201" s="86"/>
      <c r="N201" s="86"/>
      <c r="O201" s="86"/>
      <c r="P201" s="86"/>
      <c r="Q201" s="86"/>
      <c r="R201" s="86"/>
      <c r="S201" s="86"/>
      <c r="T201" s="86"/>
      <c r="U201" s="1"/>
    </row>
    <row r="202" spans="3:21" x14ac:dyDescent="0.3">
      <c r="C202" s="21"/>
      <c r="D202" s="1"/>
      <c r="E202" s="1"/>
      <c r="F202" s="1"/>
      <c r="G202" s="1"/>
      <c r="H202" s="1"/>
      <c r="I202" s="1"/>
      <c r="J202" s="1"/>
      <c r="L202" s="86"/>
      <c r="M202" s="86"/>
      <c r="N202" s="86"/>
      <c r="O202" s="86"/>
      <c r="P202" s="86"/>
      <c r="Q202" s="86"/>
      <c r="R202" s="86"/>
      <c r="S202" s="86"/>
      <c r="T202" s="86"/>
      <c r="U202" s="1"/>
    </row>
    <row r="203" spans="3:21" x14ac:dyDescent="0.3">
      <c r="C203" s="21"/>
      <c r="D203" s="1"/>
      <c r="E203" s="1"/>
      <c r="F203" s="1"/>
      <c r="G203" s="1"/>
      <c r="H203" s="1"/>
      <c r="I203" s="1"/>
      <c r="J203" s="1"/>
      <c r="L203" s="86"/>
      <c r="M203" s="86"/>
      <c r="N203" s="86"/>
      <c r="O203" s="86"/>
      <c r="P203" s="86"/>
      <c r="Q203" s="86"/>
      <c r="R203" s="86"/>
      <c r="S203" s="86"/>
      <c r="T203" s="86"/>
      <c r="U203" s="1"/>
    </row>
    <row r="204" spans="3:21" x14ac:dyDescent="0.3">
      <c r="C204" s="21"/>
      <c r="D204" s="1"/>
      <c r="E204" s="1"/>
      <c r="F204" s="1"/>
      <c r="G204" s="1"/>
      <c r="H204" s="1"/>
      <c r="I204" s="1"/>
      <c r="J204" s="1"/>
      <c r="L204" s="86"/>
      <c r="M204" s="86"/>
      <c r="N204" s="86"/>
      <c r="O204" s="86"/>
      <c r="P204" s="86"/>
      <c r="Q204" s="86"/>
      <c r="R204" s="86"/>
      <c r="S204" s="86"/>
      <c r="T204" s="86"/>
      <c r="U204" s="1"/>
    </row>
    <row r="205" spans="3:21" x14ac:dyDescent="0.3">
      <c r="C205" s="21"/>
      <c r="D205" s="1"/>
      <c r="E205" s="1"/>
      <c r="F205" s="1"/>
      <c r="G205" s="1"/>
      <c r="H205" s="1"/>
      <c r="I205" s="1"/>
      <c r="J205" s="1"/>
      <c r="L205" s="86"/>
      <c r="M205" s="86"/>
      <c r="N205" s="86"/>
      <c r="O205" s="86"/>
      <c r="P205" s="86"/>
      <c r="Q205" s="86"/>
      <c r="R205" s="86"/>
      <c r="S205" s="86"/>
      <c r="T205" s="86"/>
      <c r="U205" s="1"/>
    </row>
    <row r="206" spans="3:21" x14ac:dyDescent="0.3">
      <c r="C206" s="21"/>
      <c r="D206" s="1"/>
      <c r="E206" s="1"/>
      <c r="F206" s="1"/>
      <c r="G206" s="1"/>
      <c r="H206" s="1"/>
      <c r="I206" s="1"/>
      <c r="J206" s="1"/>
      <c r="L206" s="86"/>
      <c r="M206" s="86"/>
      <c r="N206" s="86"/>
      <c r="O206" s="86"/>
      <c r="P206" s="86"/>
      <c r="Q206" s="86"/>
      <c r="R206" s="86"/>
      <c r="S206" s="86"/>
      <c r="T206" s="86"/>
      <c r="U206" s="1"/>
    </row>
    <row r="207" spans="3:21" x14ac:dyDescent="0.3">
      <c r="C207" s="21"/>
      <c r="D207" s="1"/>
      <c r="E207" s="1"/>
      <c r="F207" s="1"/>
      <c r="G207" s="1"/>
      <c r="H207" s="1"/>
      <c r="I207" s="1"/>
      <c r="J207" s="1"/>
      <c r="L207" s="86"/>
      <c r="M207" s="86"/>
      <c r="N207" s="86"/>
      <c r="O207" s="86"/>
      <c r="P207" s="86"/>
      <c r="Q207" s="86"/>
      <c r="R207" s="86"/>
      <c r="S207" s="86"/>
      <c r="T207" s="86"/>
      <c r="U207" s="1"/>
    </row>
    <row r="208" spans="3:21" x14ac:dyDescent="0.3">
      <c r="C208" s="21"/>
      <c r="D208" s="1"/>
      <c r="E208" s="1"/>
      <c r="F208" s="1"/>
      <c r="G208" s="1"/>
      <c r="H208" s="1"/>
      <c r="I208" s="1"/>
      <c r="J208" s="1"/>
      <c r="L208" s="86"/>
      <c r="M208" s="86"/>
      <c r="N208" s="86"/>
      <c r="O208" s="86"/>
      <c r="P208" s="86"/>
      <c r="Q208" s="86"/>
      <c r="R208" s="86"/>
      <c r="S208" s="86"/>
      <c r="T208" s="86"/>
      <c r="U208" s="1"/>
    </row>
    <row r="209" spans="3:21" x14ac:dyDescent="0.3">
      <c r="C209" s="21"/>
      <c r="D209" s="1"/>
      <c r="E209" s="1"/>
      <c r="F209" s="1"/>
      <c r="G209" s="1"/>
      <c r="H209" s="1"/>
      <c r="I209" s="1"/>
      <c r="J209" s="1"/>
      <c r="L209" s="86"/>
      <c r="M209" s="86"/>
      <c r="N209" s="86"/>
      <c r="O209" s="86"/>
      <c r="P209" s="86"/>
      <c r="Q209" s="86"/>
      <c r="R209" s="86"/>
      <c r="S209" s="86"/>
      <c r="T209" s="86"/>
      <c r="U209" s="1"/>
    </row>
    <row r="210" spans="3:21" x14ac:dyDescent="0.3">
      <c r="C210" s="21"/>
      <c r="D210" s="1"/>
      <c r="E210" s="1"/>
      <c r="F210" s="1"/>
      <c r="G210" s="1"/>
      <c r="H210" s="1"/>
      <c r="I210" s="1"/>
      <c r="J210" s="25"/>
      <c r="K210" s="81"/>
      <c r="L210" s="86"/>
      <c r="M210" s="86"/>
      <c r="N210" s="86"/>
      <c r="O210" s="86"/>
      <c r="P210" s="86"/>
      <c r="Q210" s="86"/>
      <c r="R210" s="86"/>
      <c r="S210" s="86"/>
      <c r="T210" s="86"/>
      <c r="U210" s="1"/>
    </row>
    <row r="211" spans="3:21" x14ac:dyDescent="0.3">
      <c r="C211" s="21"/>
      <c r="D211" s="1"/>
      <c r="E211" s="1"/>
      <c r="F211" s="1"/>
      <c r="G211" s="1"/>
      <c r="H211" s="1"/>
      <c r="I211" s="1"/>
      <c r="J211" s="25"/>
      <c r="K211" s="81"/>
      <c r="L211" s="86"/>
      <c r="M211" s="86"/>
      <c r="N211" s="86"/>
      <c r="O211" s="86"/>
      <c r="P211" s="86"/>
      <c r="Q211" s="86"/>
      <c r="R211" s="86"/>
      <c r="S211" s="86"/>
      <c r="T211" s="86"/>
      <c r="U211" s="1"/>
    </row>
    <row r="212" spans="3:21" x14ac:dyDescent="0.3">
      <c r="C212" s="21"/>
      <c r="D212" s="1"/>
      <c r="E212" s="1"/>
      <c r="F212" s="1"/>
      <c r="G212" s="1"/>
      <c r="H212" s="1"/>
      <c r="I212" s="1"/>
      <c r="J212" s="25"/>
      <c r="K212" s="81"/>
      <c r="L212" s="86"/>
      <c r="M212" s="86"/>
      <c r="N212" s="86"/>
      <c r="O212" s="86"/>
      <c r="P212" s="86"/>
      <c r="Q212" s="86"/>
      <c r="R212" s="86"/>
      <c r="S212" s="86"/>
      <c r="T212" s="86"/>
      <c r="U212" s="1"/>
    </row>
    <row r="213" spans="3:21" x14ac:dyDescent="0.3">
      <c r="C213" s="21"/>
      <c r="D213" s="1"/>
      <c r="E213" s="1"/>
      <c r="F213" s="1"/>
      <c r="G213" s="1"/>
      <c r="H213" s="1"/>
      <c r="I213" s="1"/>
      <c r="J213" s="25"/>
      <c r="K213" s="81"/>
      <c r="L213" s="86"/>
      <c r="M213" s="86"/>
      <c r="N213" s="86"/>
      <c r="O213" s="86"/>
      <c r="P213" s="86"/>
      <c r="Q213" s="86"/>
      <c r="R213" s="86"/>
      <c r="S213" s="86"/>
      <c r="T213" s="86"/>
      <c r="U213" s="1"/>
    </row>
    <row r="214" spans="3:21" x14ac:dyDescent="0.3">
      <c r="C214" s="21"/>
      <c r="D214" s="1"/>
      <c r="E214" s="1"/>
      <c r="F214" s="1"/>
      <c r="G214" s="1"/>
      <c r="H214" s="1"/>
      <c r="I214" s="1"/>
      <c r="J214" s="1"/>
      <c r="L214" s="86"/>
      <c r="M214" s="86"/>
      <c r="N214" s="86"/>
      <c r="O214" s="86"/>
      <c r="P214" s="86"/>
      <c r="Q214" s="86"/>
      <c r="R214" s="86"/>
      <c r="S214" s="86"/>
      <c r="T214" s="86"/>
      <c r="U214" s="1"/>
    </row>
    <row r="215" spans="3:21" x14ac:dyDescent="0.3">
      <c r="C215" s="21"/>
      <c r="D215" s="1"/>
      <c r="E215" s="1"/>
      <c r="F215" s="1"/>
      <c r="G215" s="1"/>
      <c r="H215" s="1"/>
      <c r="I215" s="1"/>
      <c r="J215" s="1"/>
      <c r="L215" s="86"/>
      <c r="M215" s="86"/>
      <c r="N215" s="86"/>
      <c r="O215" s="86"/>
      <c r="P215" s="86"/>
      <c r="Q215" s="86"/>
      <c r="R215" s="86"/>
      <c r="S215" s="86"/>
      <c r="T215" s="86"/>
      <c r="U215" s="1"/>
    </row>
    <row r="216" spans="3:21" x14ac:dyDescent="0.3">
      <c r="C216" s="21"/>
      <c r="D216" s="1"/>
      <c r="E216" s="1"/>
      <c r="F216" s="1"/>
      <c r="G216" s="1"/>
      <c r="H216" s="1"/>
      <c r="I216" s="1"/>
      <c r="J216" s="1"/>
      <c r="L216" s="86"/>
      <c r="M216" s="86"/>
      <c r="N216" s="86"/>
      <c r="O216" s="86"/>
      <c r="P216" s="86"/>
      <c r="Q216" s="86"/>
      <c r="R216" s="86"/>
      <c r="S216" s="86"/>
      <c r="T216" s="86"/>
      <c r="U216" s="1"/>
    </row>
    <row r="217" spans="3:21" x14ac:dyDescent="0.3">
      <c r="C217" s="21"/>
      <c r="D217" s="1"/>
      <c r="E217" s="1"/>
      <c r="F217" s="1"/>
      <c r="G217" s="1"/>
      <c r="H217" s="1"/>
      <c r="I217" s="1"/>
      <c r="J217" s="1"/>
      <c r="L217" s="86"/>
      <c r="M217" s="86"/>
      <c r="N217" s="86"/>
      <c r="O217" s="86"/>
      <c r="P217" s="86"/>
      <c r="Q217" s="86"/>
      <c r="R217" s="86"/>
      <c r="S217" s="86"/>
      <c r="T217" s="86"/>
      <c r="U217" s="1"/>
    </row>
    <row r="218" spans="3:21" x14ac:dyDescent="0.3">
      <c r="C218" s="21"/>
      <c r="D218" s="1"/>
      <c r="E218" s="1"/>
      <c r="F218" s="1"/>
      <c r="G218" s="1"/>
      <c r="H218" s="1"/>
      <c r="I218" s="1"/>
      <c r="J218" s="1"/>
      <c r="L218" s="86"/>
      <c r="M218" s="86"/>
      <c r="N218" s="86"/>
      <c r="O218" s="86"/>
      <c r="P218" s="86"/>
      <c r="Q218" s="86"/>
      <c r="R218" s="86"/>
      <c r="S218" s="86"/>
      <c r="T218" s="86"/>
      <c r="U218" s="1"/>
    </row>
    <row r="219" spans="3:21" x14ac:dyDescent="0.3">
      <c r="C219" s="21"/>
      <c r="D219" s="1"/>
      <c r="E219" s="1"/>
      <c r="F219" s="1"/>
      <c r="G219" s="1"/>
      <c r="H219" s="1"/>
      <c r="I219" s="1"/>
      <c r="J219" s="1"/>
      <c r="L219" s="86"/>
      <c r="M219" s="86"/>
      <c r="N219" s="86"/>
      <c r="O219" s="86"/>
      <c r="P219" s="86"/>
      <c r="Q219" s="86"/>
      <c r="R219" s="86"/>
      <c r="S219" s="86"/>
      <c r="T219" s="86"/>
      <c r="U219" s="1"/>
    </row>
    <row r="220" spans="3:21" x14ac:dyDescent="0.3">
      <c r="C220" s="21"/>
      <c r="D220" s="1"/>
      <c r="E220" s="1"/>
      <c r="F220" s="1"/>
      <c r="G220" s="1"/>
      <c r="H220" s="1"/>
      <c r="I220" s="1"/>
      <c r="J220" s="1"/>
      <c r="L220" s="86"/>
      <c r="M220" s="86"/>
      <c r="N220" s="86"/>
      <c r="O220" s="86"/>
      <c r="P220" s="86"/>
      <c r="Q220" s="86"/>
      <c r="R220" s="86"/>
      <c r="S220" s="86"/>
      <c r="T220" s="86"/>
      <c r="U220" s="1"/>
    </row>
    <row r="221" spans="3:21" x14ac:dyDescent="0.3">
      <c r="C221" s="21"/>
      <c r="D221" s="1"/>
      <c r="E221" s="1"/>
      <c r="F221" s="1"/>
      <c r="G221" s="1"/>
      <c r="H221" s="1"/>
      <c r="I221" s="1"/>
      <c r="J221" s="1"/>
      <c r="L221" s="86"/>
      <c r="M221" s="86"/>
      <c r="N221" s="86"/>
      <c r="O221" s="86"/>
      <c r="P221" s="86"/>
      <c r="Q221" s="86"/>
      <c r="R221" s="86"/>
      <c r="S221" s="86"/>
      <c r="T221" s="86"/>
      <c r="U221" s="1"/>
    </row>
    <row r="222" spans="3:21" x14ac:dyDescent="0.3">
      <c r="C222" s="21"/>
      <c r="D222" s="1"/>
      <c r="E222" s="1"/>
      <c r="F222" s="1"/>
      <c r="G222" s="1"/>
      <c r="H222" s="1"/>
      <c r="I222" s="1"/>
      <c r="J222" s="1"/>
      <c r="L222" s="86"/>
      <c r="M222" s="86"/>
      <c r="N222" s="86"/>
      <c r="O222" s="86"/>
      <c r="P222" s="86"/>
      <c r="Q222" s="86"/>
      <c r="R222" s="86"/>
      <c r="S222" s="86"/>
      <c r="T222" s="86"/>
      <c r="U222" s="1"/>
    </row>
    <row r="223" spans="3:21" x14ac:dyDescent="0.3">
      <c r="C223" s="21"/>
      <c r="D223" s="1"/>
      <c r="E223" s="1"/>
      <c r="F223" s="1"/>
      <c r="G223" s="1"/>
      <c r="H223" s="1"/>
      <c r="I223" s="1"/>
      <c r="J223" s="1"/>
      <c r="L223" s="86"/>
      <c r="M223" s="86"/>
      <c r="N223" s="86"/>
      <c r="O223" s="86"/>
      <c r="P223" s="86"/>
      <c r="Q223" s="86"/>
      <c r="R223" s="86"/>
      <c r="S223" s="86"/>
      <c r="T223" s="86"/>
      <c r="U223" s="1"/>
    </row>
    <row r="224" spans="3:21" x14ac:dyDescent="0.3">
      <c r="C224" s="21"/>
      <c r="D224" s="1"/>
      <c r="E224" s="1"/>
      <c r="F224" s="1"/>
      <c r="G224" s="1"/>
      <c r="H224" s="1"/>
      <c r="I224" s="1"/>
      <c r="J224" s="1"/>
      <c r="L224" s="86"/>
      <c r="M224" s="86"/>
      <c r="N224" s="86"/>
      <c r="O224" s="86"/>
      <c r="P224" s="86"/>
      <c r="Q224" s="86"/>
      <c r="R224" s="86"/>
      <c r="S224" s="86"/>
      <c r="T224" s="86"/>
      <c r="U224" s="1"/>
    </row>
    <row r="225" spans="3:21" x14ac:dyDescent="0.3">
      <c r="C225" s="21"/>
      <c r="D225" s="1"/>
      <c r="E225" s="1"/>
      <c r="F225" s="1"/>
      <c r="G225" s="1"/>
      <c r="H225" s="1"/>
      <c r="I225" s="1"/>
      <c r="J225" s="1"/>
      <c r="L225" s="86"/>
      <c r="M225" s="86"/>
      <c r="N225" s="86"/>
      <c r="O225" s="86"/>
      <c r="P225" s="86"/>
      <c r="Q225" s="86"/>
      <c r="R225" s="86"/>
      <c r="S225" s="86"/>
      <c r="T225" s="86"/>
      <c r="U225" s="1"/>
    </row>
    <row r="226" spans="3:21" x14ac:dyDescent="0.3">
      <c r="C226" s="21"/>
      <c r="D226" s="1"/>
      <c r="E226" s="1"/>
      <c r="F226" s="1"/>
      <c r="G226" s="1"/>
      <c r="H226" s="1"/>
      <c r="I226" s="1"/>
      <c r="J226" s="1"/>
      <c r="L226" s="86"/>
      <c r="M226" s="86"/>
      <c r="N226" s="86"/>
      <c r="O226" s="86"/>
      <c r="P226" s="86"/>
      <c r="Q226" s="86"/>
      <c r="R226" s="86"/>
      <c r="S226" s="86"/>
      <c r="T226" s="86"/>
      <c r="U226" s="1"/>
    </row>
    <row r="227" spans="3:21" x14ac:dyDescent="0.3">
      <c r="C227" s="21"/>
      <c r="D227" s="1"/>
      <c r="E227" s="1"/>
      <c r="F227" s="1"/>
      <c r="G227" s="1"/>
      <c r="H227" s="1"/>
      <c r="I227" s="1"/>
      <c r="J227" s="1"/>
      <c r="L227" s="86"/>
      <c r="M227" s="86"/>
      <c r="N227" s="86"/>
      <c r="O227" s="86"/>
      <c r="P227" s="86"/>
      <c r="Q227" s="86"/>
      <c r="R227" s="86"/>
      <c r="S227" s="86"/>
      <c r="T227" s="86"/>
      <c r="U227" s="1"/>
    </row>
    <row r="228" spans="3:21" x14ac:dyDescent="0.3">
      <c r="C228" s="21"/>
      <c r="D228" s="1"/>
      <c r="E228" s="1"/>
      <c r="F228" s="1"/>
      <c r="G228" s="1"/>
      <c r="H228" s="1"/>
      <c r="I228" s="1"/>
      <c r="J228" s="1"/>
      <c r="L228" s="86"/>
      <c r="M228" s="86"/>
      <c r="N228" s="86"/>
      <c r="O228" s="86"/>
      <c r="P228" s="86"/>
      <c r="Q228" s="86"/>
      <c r="R228" s="86"/>
      <c r="S228" s="86"/>
      <c r="T228" s="86"/>
      <c r="U228" s="1"/>
    </row>
    <row r="229" spans="3:21" x14ac:dyDescent="0.3">
      <c r="C229" s="21"/>
      <c r="D229" s="1"/>
      <c r="E229" s="1"/>
      <c r="F229" s="1"/>
      <c r="G229" s="1"/>
      <c r="H229" s="1"/>
      <c r="I229" s="1"/>
      <c r="J229" s="1"/>
      <c r="L229" s="86"/>
      <c r="M229" s="86"/>
      <c r="N229" s="86"/>
      <c r="O229" s="86"/>
      <c r="P229" s="86"/>
      <c r="Q229" s="86"/>
      <c r="R229" s="86"/>
      <c r="S229" s="86"/>
      <c r="T229" s="86"/>
      <c r="U229" s="1"/>
    </row>
    <row r="230" spans="3:21" x14ac:dyDescent="0.3">
      <c r="C230" s="21"/>
      <c r="D230" s="1"/>
      <c r="E230" s="1"/>
      <c r="F230" s="1"/>
      <c r="G230" s="1"/>
      <c r="H230" s="1"/>
      <c r="I230" s="1"/>
      <c r="J230" s="1"/>
      <c r="L230" s="86"/>
      <c r="M230" s="86"/>
      <c r="N230" s="86"/>
      <c r="O230" s="86"/>
      <c r="P230" s="86"/>
      <c r="Q230" s="86"/>
      <c r="R230" s="86"/>
      <c r="S230" s="86"/>
      <c r="T230" s="86"/>
      <c r="U230" s="1"/>
    </row>
    <row r="231" spans="3:21" x14ac:dyDescent="0.3">
      <c r="C231" s="21"/>
      <c r="D231" s="1"/>
      <c r="E231" s="1"/>
      <c r="F231" s="1"/>
      <c r="G231" s="1"/>
      <c r="H231" s="1"/>
      <c r="I231" s="1"/>
      <c r="J231" s="1"/>
      <c r="L231" s="86"/>
      <c r="M231" s="86"/>
      <c r="N231" s="86"/>
      <c r="O231" s="86"/>
      <c r="P231" s="86"/>
      <c r="Q231" s="86"/>
      <c r="R231" s="86"/>
      <c r="S231" s="86"/>
      <c r="T231" s="86"/>
      <c r="U231" s="1"/>
    </row>
    <row r="232" spans="3:21" x14ac:dyDescent="0.3">
      <c r="C232" s="21"/>
      <c r="D232" s="1"/>
      <c r="E232" s="1"/>
      <c r="F232" s="1"/>
      <c r="G232" s="1"/>
      <c r="H232" s="1"/>
      <c r="I232" s="1"/>
      <c r="J232" s="1"/>
      <c r="L232" s="86"/>
      <c r="M232" s="86"/>
      <c r="N232" s="86"/>
      <c r="O232" s="86"/>
      <c r="P232" s="86"/>
      <c r="Q232" s="86"/>
      <c r="R232" s="86"/>
      <c r="S232" s="86"/>
      <c r="T232" s="86"/>
      <c r="U232" s="1"/>
    </row>
    <row r="233" spans="3:21" x14ac:dyDescent="0.3">
      <c r="C233" s="21"/>
      <c r="D233" s="1"/>
      <c r="E233" s="1"/>
      <c r="F233" s="1"/>
      <c r="G233" s="1"/>
      <c r="H233" s="1"/>
      <c r="I233" s="1"/>
      <c r="J233" s="1"/>
      <c r="L233" s="86"/>
      <c r="M233" s="86"/>
      <c r="N233" s="86"/>
      <c r="O233" s="86"/>
      <c r="P233" s="86"/>
      <c r="Q233" s="86"/>
      <c r="R233" s="86"/>
      <c r="S233" s="86"/>
      <c r="T233" s="86"/>
      <c r="U233" s="1"/>
    </row>
    <row r="234" spans="3:21" x14ac:dyDescent="0.3">
      <c r="C234" s="21"/>
      <c r="D234" s="1"/>
      <c r="E234" s="1"/>
      <c r="F234" s="1"/>
      <c r="G234" s="1"/>
      <c r="H234" s="1"/>
      <c r="I234" s="1"/>
      <c r="J234" s="1"/>
      <c r="L234" s="86"/>
      <c r="M234" s="86"/>
      <c r="N234" s="86"/>
      <c r="O234" s="86"/>
      <c r="P234" s="86"/>
      <c r="Q234" s="86"/>
      <c r="R234" s="86"/>
      <c r="S234" s="86"/>
      <c r="T234" s="86"/>
      <c r="U234" s="1"/>
    </row>
    <row r="235" spans="3:21" x14ac:dyDescent="0.3">
      <c r="C235" s="21"/>
      <c r="D235" s="1"/>
      <c r="E235" s="1"/>
      <c r="F235" s="1"/>
      <c r="G235" s="1"/>
      <c r="H235" s="1"/>
      <c r="I235" s="1"/>
      <c r="J235" s="1"/>
      <c r="L235" s="86"/>
      <c r="M235" s="86"/>
      <c r="N235" s="86"/>
      <c r="O235" s="86"/>
      <c r="P235" s="86"/>
      <c r="Q235" s="86"/>
      <c r="R235" s="86"/>
      <c r="S235" s="86"/>
      <c r="T235" s="86"/>
      <c r="U235" s="1"/>
    </row>
    <row r="236" spans="3:21" x14ac:dyDescent="0.3">
      <c r="C236" s="21"/>
      <c r="D236" s="1"/>
      <c r="E236" s="1"/>
      <c r="F236" s="1"/>
      <c r="G236" s="1"/>
      <c r="H236" s="1"/>
      <c r="I236" s="1"/>
      <c r="J236" s="1"/>
      <c r="L236" s="86"/>
      <c r="M236" s="86"/>
      <c r="N236" s="86"/>
      <c r="O236" s="86"/>
      <c r="P236" s="86"/>
      <c r="Q236" s="86"/>
      <c r="R236" s="86"/>
      <c r="S236" s="86"/>
      <c r="T236" s="86"/>
      <c r="U236" s="1"/>
    </row>
    <row r="237" spans="3:21" x14ac:dyDescent="0.3">
      <c r="C237" s="21"/>
      <c r="D237" s="1"/>
      <c r="E237" s="1"/>
      <c r="F237" s="1"/>
      <c r="G237" s="1"/>
      <c r="H237" s="1"/>
      <c r="I237" s="1"/>
      <c r="J237" s="1"/>
      <c r="L237" s="86"/>
      <c r="M237" s="86"/>
      <c r="N237" s="86"/>
      <c r="O237" s="86"/>
      <c r="P237" s="86"/>
      <c r="Q237" s="86"/>
      <c r="R237" s="86"/>
      <c r="S237" s="86"/>
      <c r="T237" s="86"/>
      <c r="U237" s="1"/>
    </row>
    <row r="238" spans="3:21" x14ac:dyDescent="0.3">
      <c r="C238" s="21"/>
      <c r="D238" s="1"/>
      <c r="E238" s="1"/>
      <c r="F238" s="1"/>
      <c r="G238" s="1"/>
      <c r="H238" s="1"/>
      <c r="I238" s="1"/>
      <c r="J238" s="1"/>
      <c r="L238" s="86"/>
      <c r="M238" s="86"/>
      <c r="N238" s="86"/>
      <c r="O238" s="86"/>
      <c r="P238" s="86"/>
      <c r="Q238" s="86"/>
      <c r="R238" s="86"/>
      <c r="S238" s="86"/>
      <c r="T238" s="86"/>
      <c r="U238" s="1"/>
    </row>
    <row r="239" spans="3:21" x14ac:dyDescent="0.3">
      <c r="C239" s="21"/>
      <c r="D239" s="1"/>
      <c r="E239" s="1"/>
      <c r="F239" s="1"/>
      <c r="G239" s="1"/>
      <c r="H239" s="1"/>
      <c r="I239" s="1"/>
      <c r="J239" s="1"/>
      <c r="L239" s="86"/>
      <c r="M239" s="86"/>
      <c r="N239" s="86"/>
      <c r="O239" s="86"/>
      <c r="P239" s="86"/>
      <c r="Q239" s="86"/>
      <c r="R239" s="86"/>
      <c r="S239" s="86"/>
      <c r="T239" s="86"/>
      <c r="U239" s="1"/>
    </row>
    <row r="240" spans="3:21" x14ac:dyDescent="0.3">
      <c r="C240" s="21"/>
      <c r="D240" s="1"/>
      <c r="E240" s="1"/>
      <c r="F240" s="1"/>
      <c r="G240" s="1"/>
      <c r="H240" s="1"/>
      <c r="I240" s="1"/>
      <c r="J240" s="1"/>
      <c r="L240" s="86"/>
      <c r="M240" s="86"/>
      <c r="N240" s="86"/>
      <c r="O240" s="86"/>
      <c r="P240" s="86"/>
      <c r="Q240" s="86"/>
      <c r="R240" s="86"/>
      <c r="S240" s="86"/>
      <c r="T240" s="86"/>
      <c r="U240" s="1"/>
    </row>
    <row r="241" spans="3:21" x14ac:dyDescent="0.3">
      <c r="C241" s="21"/>
      <c r="D241" s="1"/>
      <c r="E241" s="1"/>
      <c r="F241" s="1"/>
      <c r="G241" s="1"/>
      <c r="H241" s="1"/>
      <c r="I241" s="1"/>
      <c r="J241" s="1"/>
      <c r="L241" s="86"/>
      <c r="M241" s="86"/>
      <c r="N241" s="86"/>
      <c r="O241" s="86"/>
      <c r="P241" s="86"/>
      <c r="Q241" s="86"/>
      <c r="R241" s="86"/>
      <c r="S241" s="86"/>
      <c r="T241" s="86"/>
      <c r="U241" s="1"/>
    </row>
    <row r="242" spans="3:21" x14ac:dyDescent="0.3">
      <c r="C242" s="21"/>
      <c r="D242" s="1"/>
      <c r="E242" s="1"/>
      <c r="F242" s="1"/>
      <c r="G242" s="1"/>
      <c r="H242" s="1"/>
      <c r="I242" s="1"/>
      <c r="J242" s="1"/>
      <c r="L242" s="86"/>
      <c r="M242" s="86"/>
      <c r="N242" s="86"/>
      <c r="O242" s="86"/>
      <c r="P242" s="86"/>
      <c r="Q242" s="86"/>
      <c r="R242" s="86"/>
      <c r="S242" s="86"/>
      <c r="T242" s="86"/>
      <c r="U242" s="1"/>
    </row>
    <row r="243" spans="3:21" x14ac:dyDescent="0.3">
      <c r="C243" s="21"/>
      <c r="D243" s="1"/>
      <c r="E243" s="1"/>
      <c r="F243" s="1"/>
      <c r="G243" s="1"/>
      <c r="H243" s="1"/>
      <c r="I243" s="1"/>
      <c r="J243" s="1"/>
      <c r="L243" s="86"/>
      <c r="M243" s="86"/>
      <c r="N243" s="86"/>
      <c r="O243" s="86"/>
      <c r="P243" s="86"/>
      <c r="Q243" s="86"/>
      <c r="R243" s="86"/>
      <c r="S243" s="86"/>
      <c r="T243" s="86"/>
      <c r="U243" s="1"/>
    </row>
    <row r="244" spans="3:21" x14ac:dyDescent="0.3">
      <c r="C244" s="21"/>
      <c r="D244" s="1"/>
      <c r="E244" s="1"/>
      <c r="F244" s="1"/>
      <c r="G244" s="1"/>
      <c r="H244" s="1"/>
      <c r="I244" s="1"/>
      <c r="J244" s="1"/>
      <c r="L244" s="86"/>
      <c r="M244" s="86"/>
      <c r="N244" s="86"/>
      <c r="O244" s="86"/>
      <c r="P244" s="86"/>
      <c r="Q244" s="86"/>
      <c r="R244" s="86"/>
      <c r="S244" s="86"/>
      <c r="T244" s="86"/>
      <c r="U244" s="1"/>
    </row>
    <row r="245" spans="3:21" x14ac:dyDescent="0.3">
      <c r="C245" s="21"/>
      <c r="D245" s="1"/>
      <c r="E245" s="1"/>
      <c r="F245" s="1"/>
      <c r="G245" s="1"/>
      <c r="H245" s="1"/>
      <c r="I245" s="1"/>
      <c r="J245" s="1"/>
      <c r="L245" s="86"/>
      <c r="M245" s="86"/>
      <c r="N245" s="86"/>
      <c r="O245" s="86"/>
      <c r="P245" s="86"/>
      <c r="Q245" s="86"/>
      <c r="R245" s="86"/>
      <c r="S245" s="86"/>
      <c r="T245" s="86"/>
      <c r="U245" s="1"/>
    </row>
    <row r="246" spans="3:21" x14ac:dyDescent="0.3">
      <c r="C246" s="21"/>
      <c r="D246" s="1"/>
      <c r="E246" s="1"/>
      <c r="F246" s="1"/>
      <c r="G246" s="1"/>
      <c r="H246" s="1"/>
      <c r="I246" s="1"/>
      <c r="J246" s="1"/>
      <c r="L246" s="86"/>
      <c r="M246" s="86"/>
      <c r="N246" s="86"/>
      <c r="O246" s="86"/>
      <c r="P246" s="86"/>
      <c r="Q246" s="86"/>
      <c r="R246" s="86"/>
      <c r="S246" s="86"/>
      <c r="T246" s="86"/>
      <c r="U246" s="1"/>
    </row>
    <row r="247" spans="3:21" x14ac:dyDescent="0.3">
      <c r="C247" s="21"/>
      <c r="D247" s="1"/>
      <c r="E247" s="1"/>
      <c r="F247" s="1"/>
      <c r="G247" s="1"/>
      <c r="H247" s="1"/>
      <c r="I247" s="1"/>
      <c r="J247" s="1"/>
      <c r="L247" s="86"/>
      <c r="M247" s="86"/>
      <c r="N247" s="86"/>
      <c r="O247" s="86"/>
      <c r="P247" s="86"/>
      <c r="Q247" s="86"/>
      <c r="R247" s="86"/>
      <c r="S247" s="86"/>
      <c r="T247" s="86"/>
      <c r="U247" s="1"/>
    </row>
    <row r="248" spans="3:21" x14ac:dyDescent="0.3">
      <c r="C248" s="21"/>
      <c r="D248" s="1"/>
      <c r="E248" s="1"/>
      <c r="F248" s="1"/>
      <c r="G248" s="1"/>
      <c r="H248" s="1"/>
      <c r="I248" s="1"/>
      <c r="J248" s="1"/>
      <c r="L248" s="86"/>
      <c r="M248" s="86"/>
      <c r="N248" s="86"/>
      <c r="O248" s="86"/>
      <c r="P248" s="86"/>
      <c r="Q248" s="86"/>
      <c r="R248" s="86"/>
      <c r="S248" s="86"/>
      <c r="T248" s="86"/>
      <c r="U248" s="1"/>
    </row>
    <row r="249" spans="3:21" x14ac:dyDescent="0.3">
      <c r="C249" s="21"/>
      <c r="D249" s="1"/>
      <c r="E249" s="1"/>
      <c r="F249" s="1"/>
      <c r="G249" s="1"/>
      <c r="H249" s="1"/>
      <c r="I249" s="1"/>
      <c r="J249" s="1"/>
      <c r="L249" s="86"/>
      <c r="M249" s="86"/>
      <c r="N249" s="86"/>
      <c r="O249" s="86"/>
      <c r="P249" s="86"/>
      <c r="Q249" s="86"/>
      <c r="R249" s="86"/>
      <c r="S249" s="86"/>
      <c r="T249" s="86"/>
      <c r="U249" s="1"/>
    </row>
    <row r="250" spans="3:21" x14ac:dyDescent="0.3">
      <c r="C250" s="21"/>
      <c r="D250" s="1"/>
      <c r="E250" s="1"/>
      <c r="F250" s="1"/>
      <c r="G250" s="1"/>
      <c r="H250" s="1"/>
      <c r="I250" s="1"/>
      <c r="J250" s="1"/>
      <c r="L250" s="86"/>
      <c r="M250" s="86"/>
      <c r="N250" s="86"/>
      <c r="O250" s="86"/>
      <c r="P250" s="86"/>
      <c r="Q250" s="86"/>
      <c r="R250" s="86"/>
      <c r="S250" s="86"/>
      <c r="T250" s="86"/>
      <c r="U250" s="1"/>
    </row>
    <row r="251" spans="3:21" x14ac:dyDescent="0.3">
      <c r="C251" s="21"/>
      <c r="D251" s="1"/>
      <c r="E251" s="1"/>
      <c r="F251" s="1"/>
      <c r="G251" s="1"/>
      <c r="H251" s="1"/>
      <c r="I251" s="1"/>
      <c r="J251" s="1"/>
      <c r="L251" s="86"/>
      <c r="M251" s="86"/>
      <c r="N251" s="86"/>
      <c r="O251" s="86"/>
      <c r="P251" s="86"/>
      <c r="Q251" s="86"/>
      <c r="R251" s="86"/>
      <c r="S251" s="86"/>
      <c r="T251" s="86"/>
      <c r="U251" s="1"/>
    </row>
    <row r="252" spans="3:21" x14ac:dyDescent="0.3">
      <c r="C252" s="21"/>
      <c r="D252" s="1"/>
      <c r="E252" s="1"/>
      <c r="F252" s="1"/>
      <c r="G252" s="1"/>
      <c r="H252" s="1"/>
      <c r="I252" s="1"/>
      <c r="J252" s="1"/>
      <c r="L252" s="86"/>
      <c r="M252" s="86"/>
      <c r="N252" s="86"/>
      <c r="O252" s="86"/>
      <c r="P252" s="86"/>
      <c r="Q252" s="86"/>
      <c r="R252" s="86"/>
      <c r="S252" s="86"/>
      <c r="T252" s="86"/>
      <c r="U252" s="1"/>
    </row>
    <row r="253" spans="3:21" x14ac:dyDescent="0.3">
      <c r="C253" s="21"/>
      <c r="D253" s="1"/>
      <c r="E253" s="1"/>
      <c r="F253" s="1"/>
      <c r="G253" s="1"/>
      <c r="H253" s="1"/>
      <c r="I253" s="1"/>
      <c r="J253" s="1"/>
      <c r="L253" s="86"/>
      <c r="M253" s="86"/>
      <c r="N253" s="86"/>
      <c r="O253" s="86"/>
      <c r="P253" s="86"/>
      <c r="Q253" s="86"/>
      <c r="R253" s="86"/>
      <c r="S253" s="86"/>
      <c r="T253" s="86"/>
      <c r="U253" s="1"/>
    </row>
    <row r="254" spans="3:21" x14ac:dyDescent="0.3">
      <c r="C254" s="21"/>
      <c r="D254" s="1"/>
      <c r="E254" s="1"/>
      <c r="F254" s="1"/>
      <c r="G254" s="1"/>
      <c r="H254" s="1"/>
      <c r="I254" s="1"/>
      <c r="J254" s="1"/>
      <c r="L254" s="86"/>
      <c r="M254" s="86"/>
      <c r="N254" s="86"/>
      <c r="O254" s="86"/>
      <c r="P254" s="86"/>
      <c r="Q254" s="86"/>
      <c r="R254" s="86"/>
      <c r="S254" s="86"/>
      <c r="T254" s="86"/>
      <c r="U254" s="1"/>
    </row>
    <row r="255" spans="3:21" x14ac:dyDescent="0.3">
      <c r="C255" s="21"/>
      <c r="D255" s="1"/>
      <c r="E255" s="1"/>
      <c r="F255" s="1"/>
      <c r="G255" s="1"/>
      <c r="H255" s="1"/>
      <c r="I255" s="1"/>
      <c r="J255" s="1"/>
      <c r="L255" s="86"/>
      <c r="M255" s="86"/>
      <c r="N255" s="86"/>
      <c r="O255" s="86"/>
      <c r="P255" s="86"/>
      <c r="Q255" s="86"/>
      <c r="R255" s="86"/>
      <c r="S255" s="86"/>
      <c r="T255" s="86"/>
      <c r="U255" s="1"/>
    </row>
    <row r="256" spans="3:21" x14ac:dyDescent="0.3">
      <c r="C256" s="21"/>
      <c r="D256" s="1"/>
      <c r="E256" s="1"/>
      <c r="F256" s="1"/>
      <c r="G256" s="1"/>
      <c r="H256" s="1"/>
      <c r="I256" s="1"/>
      <c r="J256" s="1"/>
      <c r="L256" s="86"/>
      <c r="M256" s="86"/>
      <c r="N256" s="86"/>
      <c r="O256" s="86"/>
      <c r="P256" s="86"/>
      <c r="Q256" s="86"/>
      <c r="R256" s="86"/>
      <c r="S256" s="86"/>
      <c r="T256" s="86"/>
      <c r="U256" s="1"/>
    </row>
    <row r="257" spans="3:21" x14ac:dyDescent="0.3">
      <c r="C257" s="21"/>
      <c r="D257" s="1"/>
      <c r="E257" s="1"/>
      <c r="F257" s="1"/>
      <c r="G257" s="1"/>
      <c r="H257" s="1"/>
      <c r="I257" s="1"/>
      <c r="J257" s="1"/>
      <c r="L257" s="86"/>
      <c r="M257" s="86"/>
      <c r="N257" s="86"/>
      <c r="O257" s="86"/>
      <c r="P257" s="86"/>
      <c r="Q257" s="86"/>
      <c r="R257" s="86"/>
      <c r="S257" s="86"/>
      <c r="T257" s="86"/>
      <c r="U257" s="1"/>
    </row>
    <row r="258" spans="3:21" x14ac:dyDescent="0.3">
      <c r="C258" s="21"/>
      <c r="D258" s="1"/>
      <c r="E258" s="1"/>
      <c r="F258" s="1"/>
      <c r="G258" s="1"/>
      <c r="H258" s="1"/>
      <c r="I258" s="1"/>
      <c r="J258" s="1"/>
      <c r="L258" s="86"/>
      <c r="M258" s="86"/>
      <c r="N258" s="86"/>
      <c r="O258" s="86"/>
      <c r="P258" s="86"/>
      <c r="Q258" s="86"/>
      <c r="R258" s="86"/>
      <c r="S258" s="86"/>
      <c r="T258" s="86"/>
      <c r="U258" s="1"/>
    </row>
    <row r="259" spans="3:21" x14ac:dyDescent="0.3">
      <c r="C259" s="21"/>
      <c r="D259" s="1"/>
      <c r="E259" s="1"/>
      <c r="F259" s="1"/>
      <c r="G259" s="1"/>
      <c r="H259" s="1"/>
      <c r="I259" s="1"/>
      <c r="J259" s="1"/>
      <c r="L259" s="86"/>
      <c r="M259" s="86"/>
      <c r="N259" s="86"/>
      <c r="O259" s="86"/>
      <c r="P259" s="86"/>
      <c r="Q259" s="86"/>
      <c r="R259" s="86"/>
      <c r="S259" s="86"/>
      <c r="T259" s="86"/>
      <c r="U259" s="1"/>
    </row>
    <row r="260" spans="3:21" x14ac:dyDescent="0.3">
      <c r="C260" s="21"/>
      <c r="D260" s="1"/>
      <c r="E260" s="1"/>
      <c r="F260" s="1"/>
      <c r="G260" s="1"/>
      <c r="H260" s="1"/>
      <c r="I260" s="1"/>
      <c r="J260" s="1"/>
      <c r="L260" s="86"/>
      <c r="M260" s="86"/>
      <c r="N260" s="86"/>
      <c r="O260" s="86"/>
      <c r="P260" s="86"/>
      <c r="Q260" s="86"/>
      <c r="R260" s="86"/>
      <c r="S260" s="86"/>
      <c r="T260" s="86"/>
      <c r="U260" s="1"/>
    </row>
    <row r="261" spans="3:21" x14ac:dyDescent="0.3">
      <c r="C261" s="21"/>
      <c r="D261" s="1"/>
      <c r="E261" s="1"/>
      <c r="F261" s="1"/>
      <c r="G261" s="1"/>
      <c r="H261" s="1"/>
      <c r="I261" s="1"/>
      <c r="J261" s="1"/>
      <c r="L261" s="86"/>
      <c r="M261" s="86"/>
      <c r="N261" s="86"/>
      <c r="O261" s="86"/>
      <c r="P261" s="86"/>
      <c r="Q261" s="86"/>
      <c r="R261" s="86"/>
      <c r="S261" s="86"/>
      <c r="T261" s="86"/>
      <c r="U261" s="1"/>
    </row>
    <row r="262" spans="3:21" x14ac:dyDescent="0.3">
      <c r="C262" s="21"/>
      <c r="D262" s="1"/>
      <c r="E262" s="1"/>
      <c r="F262" s="1"/>
      <c r="G262" s="1"/>
      <c r="H262" s="1"/>
      <c r="I262" s="1"/>
      <c r="J262" s="1"/>
      <c r="L262" s="86"/>
      <c r="M262" s="86"/>
      <c r="N262" s="86"/>
      <c r="O262" s="86"/>
      <c r="P262" s="86"/>
      <c r="Q262" s="86"/>
      <c r="R262" s="86"/>
      <c r="S262" s="86"/>
      <c r="T262" s="86"/>
      <c r="U262" s="1"/>
    </row>
    <row r="263" spans="3:21" x14ac:dyDescent="0.3">
      <c r="C263" s="21"/>
      <c r="D263" s="1"/>
      <c r="E263" s="1"/>
      <c r="F263" s="1"/>
      <c r="G263" s="1"/>
      <c r="H263" s="1"/>
      <c r="I263" s="1"/>
      <c r="J263" s="1"/>
      <c r="L263" s="86"/>
      <c r="M263" s="86"/>
      <c r="N263" s="86"/>
      <c r="O263" s="86"/>
      <c r="P263" s="86"/>
      <c r="Q263" s="86"/>
      <c r="R263" s="86"/>
      <c r="S263" s="86"/>
      <c r="T263" s="86"/>
      <c r="U263" s="1"/>
    </row>
    <row r="264" spans="3:21" x14ac:dyDescent="0.3">
      <c r="C264" s="21"/>
      <c r="D264" s="1"/>
      <c r="E264" s="1"/>
      <c r="F264" s="1"/>
      <c r="G264" s="1"/>
      <c r="H264" s="1"/>
      <c r="I264" s="1"/>
      <c r="J264" s="1"/>
      <c r="L264" s="86"/>
      <c r="M264" s="86"/>
      <c r="N264" s="86"/>
      <c r="O264" s="86"/>
      <c r="P264" s="86"/>
      <c r="Q264" s="86"/>
      <c r="R264" s="86"/>
      <c r="S264" s="86"/>
      <c r="T264" s="86"/>
      <c r="U264" s="1"/>
    </row>
    <row r="265" spans="3:21" x14ac:dyDescent="0.3">
      <c r="C265" s="21"/>
      <c r="D265" s="1"/>
      <c r="E265" s="1"/>
      <c r="F265" s="1"/>
      <c r="G265" s="1"/>
      <c r="H265" s="1"/>
      <c r="I265" s="1"/>
      <c r="J265" s="1"/>
      <c r="L265" s="86"/>
      <c r="M265" s="86"/>
      <c r="N265" s="86"/>
      <c r="O265" s="86"/>
      <c r="P265" s="86"/>
      <c r="Q265" s="86"/>
      <c r="R265" s="86"/>
      <c r="S265" s="86"/>
      <c r="T265" s="86"/>
      <c r="U265" s="1"/>
    </row>
    <row r="266" spans="3:21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86"/>
      <c r="N266" s="86"/>
      <c r="O266" s="86"/>
      <c r="P266" s="86"/>
      <c r="Q266" s="86"/>
      <c r="R266" s="86"/>
      <c r="S266" s="86"/>
      <c r="T266" s="86"/>
      <c r="U266" s="1"/>
    </row>
    <row r="267" spans="3:21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86"/>
      <c r="N267" s="86"/>
      <c r="O267" s="86"/>
      <c r="P267" s="86"/>
      <c r="Q267" s="86"/>
      <c r="R267" s="86"/>
      <c r="S267" s="86"/>
      <c r="T267" s="86"/>
      <c r="U267" s="1"/>
    </row>
    <row r="268" spans="3:21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86"/>
      <c r="N268" s="86"/>
      <c r="O268" s="86"/>
      <c r="P268" s="86"/>
      <c r="Q268" s="86"/>
      <c r="R268" s="86"/>
      <c r="S268" s="86"/>
      <c r="T268" s="86"/>
      <c r="U268" s="1"/>
    </row>
    <row r="269" spans="3:21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86"/>
      <c r="N269" s="86"/>
      <c r="O269" s="86"/>
      <c r="P269" s="86"/>
      <c r="Q269" s="86"/>
      <c r="R269" s="86"/>
      <c r="S269" s="86"/>
      <c r="T269" s="86"/>
      <c r="U269" s="1"/>
    </row>
    <row r="270" spans="3:21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86"/>
      <c r="N270" s="86"/>
      <c r="O270" s="86"/>
      <c r="P270" s="86"/>
      <c r="Q270" s="86"/>
      <c r="R270" s="86"/>
      <c r="S270" s="86"/>
      <c r="T270" s="86"/>
      <c r="U270" s="1"/>
    </row>
    <row r="271" spans="3:21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86"/>
      <c r="N271" s="86"/>
      <c r="O271" s="86"/>
      <c r="P271" s="86"/>
      <c r="Q271" s="86"/>
      <c r="R271" s="86"/>
      <c r="S271" s="86"/>
      <c r="T271" s="86"/>
      <c r="U271" s="1"/>
    </row>
    <row r="272" spans="3:21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86"/>
      <c r="N272" s="86"/>
      <c r="O272" s="86"/>
      <c r="P272" s="86"/>
      <c r="Q272" s="86"/>
      <c r="R272" s="86"/>
      <c r="S272" s="86"/>
      <c r="T272" s="86"/>
      <c r="U272" s="1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86"/>
      <c r="N273" s="86"/>
      <c r="O273" s="86"/>
      <c r="P273" s="86"/>
      <c r="Q273" s="86"/>
      <c r="R273" s="86"/>
      <c r="S273" s="86"/>
      <c r="T273" s="86"/>
      <c r="U273" s="1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86"/>
      <c r="N274" s="86"/>
      <c r="O274" s="86"/>
      <c r="P274" s="86"/>
      <c r="Q274" s="86"/>
      <c r="R274" s="86"/>
      <c r="S274" s="86"/>
      <c r="T274" s="86"/>
      <c r="U274" s="1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86"/>
      <c r="N275" s="86"/>
      <c r="O275" s="86"/>
      <c r="P275" s="86"/>
      <c r="Q275" s="86"/>
      <c r="R275" s="86"/>
      <c r="S275" s="86"/>
      <c r="T275" s="86"/>
      <c r="U275" s="1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86"/>
      <c r="N276" s="86"/>
      <c r="O276" s="86"/>
      <c r="P276" s="86"/>
      <c r="Q276" s="86"/>
      <c r="R276" s="86"/>
      <c r="S276" s="86"/>
      <c r="T276" s="86"/>
      <c r="U276" s="1"/>
      <c r="V276" s="96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86"/>
      <c r="N277" s="86"/>
      <c r="O277" s="86"/>
      <c r="P277" s="86"/>
      <c r="Q277" s="86"/>
      <c r="R277" s="86"/>
      <c r="S277" s="86"/>
      <c r="T277" s="86"/>
      <c r="U277" s="1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86"/>
      <c r="N278" s="86"/>
      <c r="O278" s="86"/>
      <c r="P278" s="86"/>
      <c r="Q278" s="86"/>
      <c r="R278" s="86"/>
      <c r="S278" s="86"/>
      <c r="T278" s="86"/>
      <c r="U278" s="1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86"/>
      <c r="N279" s="86"/>
      <c r="O279" s="86"/>
      <c r="P279" s="86"/>
      <c r="Q279" s="86"/>
      <c r="R279" s="86"/>
      <c r="S279" s="86"/>
      <c r="T279" s="86"/>
      <c r="U279" s="1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86"/>
      <c r="N280" s="86"/>
      <c r="O280" s="86"/>
      <c r="P280" s="86"/>
      <c r="Q280" s="86"/>
      <c r="R280" s="86"/>
      <c r="S280" s="86"/>
      <c r="T280" s="86"/>
      <c r="U280" s="1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86"/>
      <c r="N281" s="86"/>
      <c r="O281" s="86"/>
      <c r="P281" s="86"/>
      <c r="Q281" s="86"/>
      <c r="R281" s="86"/>
      <c r="S281" s="86"/>
      <c r="T281" s="86"/>
      <c r="U281" s="1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86"/>
      <c r="N282" s="86"/>
      <c r="O282" s="86"/>
      <c r="P282" s="86"/>
      <c r="Q282" s="86"/>
      <c r="R282" s="86"/>
      <c r="S282" s="86"/>
      <c r="T282" s="86"/>
      <c r="U282" s="1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86"/>
      <c r="N283" s="86"/>
      <c r="O283" s="86"/>
      <c r="P283" s="86"/>
      <c r="Q283" s="86"/>
      <c r="R283" s="86"/>
      <c r="S283" s="86"/>
      <c r="T283" s="86"/>
      <c r="U283" s="1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86"/>
      <c r="N284" s="86"/>
      <c r="O284" s="86"/>
      <c r="P284" s="86"/>
      <c r="Q284" s="86"/>
      <c r="R284" s="86"/>
      <c r="S284" s="86"/>
      <c r="T284" s="86"/>
      <c r="U284" s="1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86"/>
      <c r="N285" s="86"/>
      <c r="O285" s="86"/>
      <c r="P285" s="86"/>
      <c r="Q285" s="86"/>
      <c r="R285" s="86"/>
      <c r="S285" s="86"/>
      <c r="T285" s="86"/>
      <c r="U285" s="1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86"/>
      <c r="N286" s="86"/>
      <c r="O286" s="86"/>
      <c r="P286" s="86"/>
      <c r="Q286" s="86"/>
      <c r="R286" s="86"/>
      <c r="S286" s="86"/>
      <c r="T286" s="86"/>
      <c r="U286" s="1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86"/>
      <c r="N287" s="86"/>
      <c r="O287" s="86"/>
      <c r="P287" s="86"/>
      <c r="Q287" s="86"/>
      <c r="R287" s="86"/>
      <c r="S287" s="86"/>
      <c r="T287" s="86"/>
      <c r="U287" s="1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86"/>
      <c r="N288" s="86"/>
      <c r="O288" s="86"/>
      <c r="P288" s="86"/>
      <c r="Q288" s="86"/>
      <c r="R288" s="86"/>
      <c r="S288" s="86"/>
      <c r="T288" s="86"/>
      <c r="U288" s="1"/>
    </row>
    <row r="289" spans="3:21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86"/>
      <c r="N289" s="86"/>
      <c r="O289" s="86"/>
      <c r="P289" s="86"/>
      <c r="Q289" s="86"/>
      <c r="R289" s="86"/>
      <c r="S289" s="86"/>
      <c r="T289" s="86"/>
      <c r="U289" s="1"/>
    </row>
    <row r="290" spans="3:21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86"/>
      <c r="N290" s="86"/>
      <c r="O290" s="86"/>
      <c r="P290" s="86"/>
      <c r="Q290" s="86"/>
      <c r="R290" s="86"/>
      <c r="S290" s="86"/>
      <c r="T290" s="86"/>
      <c r="U290" s="1"/>
    </row>
    <row r="291" spans="3:21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86"/>
      <c r="N291" s="86"/>
      <c r="O291" s="86"/>
      <c r="P291" s="86"/>
      <c r="Q291" s="86"/>
      <c r="R291" s="86"/>
      <c r="S291" s="86"/>
      <c r="T291" s="86"/>
      <c r="U291" s="1"/>
    </row>
    <row r="292" spans="3:21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86"/>
      <c r="N292" s="86"/>
      <c r="O292" s="86"/>
      <c r="P292" s="86"/>
      <c r="Q292" s="86"/>
      <c r="R292" s="86"/>
      <c r="S292" s="86"/>
      <c r="T292" s="86"/>
      <c r="U292" s="1"/>
    </row>
    <row r="293" spans="3:21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86"/>
      <c r="N293" s="86"/>
      <c r="O293" s="86"/>
      <c r="P293" s="86"/>
      <c r="Q293" s="86"/>
      <c r="R293" s="86"/>
      <c r="S293" s="86"/>
      <c r="T293" s="86"/>
      <c r="U293" s="1"/>
    </row>
    <row r="294" spans="3:21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86"/>
      <c r="N294" s="86"/>
      <c r="O294" s="86"/>
      <c r="P294" s="86"/>
      <c r="Q294" s="86"/>
      <c r="R294" s="86"/>
      <c r="S294" s="86"/>
      <c r="T294" s="86"/>
      <c r="U294" s="1"/>
    </row>
    <row r="295" spans="3:21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86"/>
      <c r="N295" s="86"/>
      <c r="O295" s="86"/>
      <c r="P295" s="86"/>
      <c r="Q295" s="86"/>
      <c r="R295" s="86"/>
      <c r="S295" s="86"/>
      <c r="T295" s="86"/>
      <c r="U295" s="1"/>
    </row>
    <row r="296" spans="3:21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86"/>
      <c r="N296" s="86"/>
      <c r="O296" s="86"/>
      <c r="P296" s="86"/>
      <c r="Q296" s="86"/>
      <c r="R296" s="86"/>
      <c r="S296" s="86"/>
      <c r="T296" s="86"/>
      <c r="U296" s="1"/>
    </row>
    <row r="297" spans="3:21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86"/>
      <c r="N297" s="86"/>
      <c r="O297" s="86"/>
      <c r="P297" s="86"/>
      <c r="Q297" s="86"/>
      <c r="R297" s="86"/>
      <c r="S297" s="86"/>
      <c r="T297" s="86"/>
      <c r="U297" s="1"/>
    </row>
    <row r="298" spans="3:21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1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1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1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1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1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1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1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1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1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1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1" x14ac:dyDescent="0.3">
      <c r="C325" s="21"/>
      <c r="D325" s="1"/>
      <c r="E325" s="1"/>
      <c r="F325" s="1"/>
      <c r="G325" s="1"/>
      <c r="H325" s="1"/>
      <c r="I325" s="1"/>
      <c r="J325" s="1"/>
      <c r="L325" s="97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1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1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1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1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1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1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1" x14ac:dyDescent="0.3">
      <c r="C332" s="21"/>
      <c r="D332" s="1"/>
      <c r="E332" s="1"/>
      <c r="F332" s="1"/>
      <c r="G332" s="1"/>
      <c r="H332" s="1"/>
      <c r="I332" s="1"/>
      <c r="J332" s="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1" x14ac:dyDescent="0.3">
      <c r="C333" s="21"/>
      <c r="D333" s="1"/>
      <c r="E333" s="1"/>
      <c r="F333" s="1"/>
      <c r="G333" s="1"/>
      <c r="H333" s="1"/>
      <c r="I333" s="1"/>
      <c r="J333" s="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1" x14ac:dyDescent="0.3">
      <c r="C334" s="21"/>
      <c r="D334" s="1"/>
      <c r="E334" s="1"/>
      <c r="F334" s="1"/>
      <c r="G334" s="1"/>
      <c r="H334" s="1"/>
      <c r="I334" s="1"/>
      <c r="J334" s="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1" x14ac:dyDescent="0.3">
      <c r="C335" s="21"/>
      <c r="D335" s="1"/>
      <c r="E335" s="1"/>
      <c r="F335" s="1"/>
      <c r="G335" s="1"/>
      <c r="H335" s="1"/>
      <c r="I335" s="1"/>
      <c r="J335" s="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1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86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1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  <c r="V373" s="83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1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1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1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1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1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</row>
    <row r="390" spans="3:21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1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1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1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1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1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1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1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1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</row>
    <row r="399" spans="3:21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1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86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25"/>
      <c r="K430" s="8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1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1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</row>
    <row r="435" spans="3:21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1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1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1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1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1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</row>
    <row r="441" spans="3:21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1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1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1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1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1" x14ac:dyDescent="0.3">
      <c r="C446" s="21"/>
      <c r="D446" s="1"/>
      <c r="E446" s="1"/>
      <c r="F446" s="1"/>
      <c r="G446" s="1"/>
      <c r="H446" s="1"/>
      <c r="I446" s="1"/>
      <c r="J446" s="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1" x14ac:dyDescent="0.3">
      <c r="C447" s="21"/>
      <c r="D447" s="1"/>
      <c r="E447" s="1"/>
      <c r="F447" s="1"/>
      <c r="G447" s="1"/>
      <c r="H447" s="1"/>
      <c r="I447" s="1"/>
      <c r="J447" s="1"/>
      <c r="L447" s="86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1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1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1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1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1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1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</row>
    <row r="470" spans="3:21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1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1" x14ac:dyDescent="0.3">
      <c r="C472" s="21"/>
      <c r="D472" s="1"/>
      <c r="E472" s="1"/>
      <c r="F472" s="1"/>
      <c r="G472" s="1"/>
      <c r="H472" s="1"/>
      <c r="I472" s="1"/>
      <c r="J472" s="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1" x14ac:dyDescent="0.3">
      <c r="C473" s="21"/>
      <c r="D473" s="1"/>
      <c r="E473" s="1"/>
      <c r="F473" s="1"/>
      <c r="G473" s="1"/>
      <c r="H473" s="1"/>
      <c r="I473" s="1"/>
      <c r="J473" s="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1" x14ac:dyDescent="0.3">
      <c r="C474" s="21"/>
      <c r="D474" s="1"/>
      <c r="E474" s="1"/>
      <c r="F474" s="1"/>
      <c r="G474" s="1"/>
      <c r="H474" s="1"/>
      <c r="I474" s="1"/>
      <c r="J474" s="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1" x14ac:dyDescent="0.3">
      <c r="C475" s="21"/>
      <c r="D475" s="1"/>
      <c r="E475" s="1"/>
      <c r="F475" s="1"/>
      <c r="G475" s="1"/>
      <c r="H475" s="1"/>
      <c r="I475" s="1"/>
      <c r="J475" s="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1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1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1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1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1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1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1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1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1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1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1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1" x14ac:dyDescent="0.3">
      <c r="C487" s="21"/>
      <c r="D487" s="1"/>
      <c r="E487" s="1"/>
      <c r="F487" s="1"/>
      <c r="G487" s="1"/>
      <c r="H487" s="1"/>
      <c r="I487" s="1"/>
      <c r="J487" s="25"/>
      <c r="K487" s="8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1" x14ac:dyDescent="0.3">
      <c r="C488" s="21"/>
      <c r="D488" s="1"/>
      <c r="E488" s="1"/>
      <c r="F488" s="1"/>
      <c r="G488" s="1"/>
      <c r="H488" s="1"/>
      <c r="I488" s="1"/>
      <c r="J488" s="25"/>
      <c r="K488" s="8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1" x14ac:dyDescent="0.3">
      <c r="C489" s="21"/>
      <c r="D489" s="1"/>
      <c r="E489" s="1"/>
      <c r="F489" s="1"/>
      <c r="G489" s="1"/>
      <c r="H489" s="1"/>
      <c r="I489" s="1"/>
      <c r="J489" s="25"/>
      <c r="K489" s="81"/>
      <c r="L489" s="86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1" x14ac:dyDescent="0.3">
      <c r="C490" s="21"/>
      <c r="D490" s="1"/>
      <c r="E490" s="1"/>
      <c r="F490" s="1"/>
      <c r="G490" s="1"/>
      <c r="H490" s="1"/>
      <c r="I490" s="1"/>
      <c r="J490" s="25"/>
      <c r="K490" s="8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1" x14ac:dyDescent="0.3">
      <c r="C491" s="21"/>
      <c r="D491" s="1"/>
      <c r="E491" s="1"/>
      <c r="F491" s="1"/>
      <c r="G491" s="1"/>
      <c r="H491" s="1"/>
      <c r="I491" s="1"/>
      <c r="J491" s="25"/>
      <c r="K491" s="8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1" x14ac:dyDescent="0.3">
      <c r="C492" s="21"/>
      <c r="D492" s="1"/>
      <c r="E492" s="1"/>
      <c r="F492" s="1"/>
      <c r="G492" s="1"/>
      <c r="H492" s="1"/>
      <c r="I492" s="1"/>
      <c r="J492" s="25"/>
      <c r="K492" s="8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1" x14ac:dyDescent="0.3">
      <c r="C493" s="21"/>
      <c r="D493" s="1"/>
      <c r="E493" s="1"/>
      <c r="F493" s="1"/>
      <c r="G493" s="1"/>
      <c r="H493" s="1"/>
      <c r="I493" s="1"/>
      <c r="J493" s="25"/>
      <c r="K493" s="8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1" x14ac:dyDescent="0.3">
      <c r="C494" s="21"/>
      <c r="D494" s="1"/>
      <c r="E494" s="1"/>
      <c r="F494" s="1"/>
      <c r="G494" s="1"/>
      <c r="H494" s="1"/>
      <c r="I494" s="1"/>
      <c r="J494" s="25"/>
      <c r="K494" s="8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1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</row>
    <row r="496" spans="3:21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6"/>
      <c r="M503" s="86"/>
      <c r="N503" s="86"/>
      <c r="O503" s="86"/>
      <c r="P503" s="86"/>
      <c r="Q503" s="86"/>
      <c r="R503" s="86"/>
      <c r="S503" s="86"/>
      <c r="T503" s="86"/>
      <c r="U503" s="1"/>
      <c r="V503" s="83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  <c r="V514" s="83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1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1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</row>
    <row r="531" spans="3:21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1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1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1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1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1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1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</row>
    <row r="538" spans="3:21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</row>
    <row r="539" spans="3:21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1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1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1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1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1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1"/>
      <c r="L587" s="86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1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1" x14ac:dyDescent="0.3">
      <c r="C594" s="21"/>
      <c r="D594" s="1"/>
      <c r="E594" s="1"/>
      <c r="F594" s="1"/>
      <c r="G594" s="1"/>
      <c r="H594" s="1"/>
      <c r="I594" s="1"/>
      <c r="J594" s="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1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1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1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1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1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</row>
    <row r="600" spans="3:21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1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1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1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1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1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1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1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1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1" x14ac:dyDescent="0.3">
      <c r="C609" s="21"/>
      <c r="D609" s="1"/>
      <c r="E609" s="1"/>
      <c r="F609" s="1"/>
      <c r="G609" s="1"/>
      <c r="H609" s="1"/>
      <c r="I609" s="1"/>
      <c r="J609" s="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1" x14ac:dyDescent="0.3">
      <c r="C610" s="21"/>
      <c r="D610" s="1"/>
      <c r="E610" s="1"/>
      <c r="F610" s="1"/>
      <c r="G610" s="1"/>
      <c r="H610" s="1"/>
      <c r="I610" s="1"/>
      <c r="J610" s="1"/>
      <c r="L610" s="86"/>
      <c r="M610" s="86"/>
      <c r="N610" s="86"/>
      <c r="O610" s="86"/>
      <c r="P610" s="86"/>
      <c r="Q610" s="86"/>
      <c r="R610" s="86"/>
      <c r="S610" s="86"/>
      <c r="T610" s="86"/>
      <c r="U610" s="1"/>
    </row>
    <row r="611" spans="3:21" x14ac:dyDescent="0.3">
      <c r="C611" s="21"/>
      <c r="D611" s="1"/>
      <c r="E611" s="1"/>
      <c r="F611" s="1"/>
      <c r="G611" s="1"/>
      <c r="H611" s="1"/>
      <c r="I611" s="1"/>
      <c r="J611" s="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1" x14ac:dyDescent="0.3">
      <c r="C612" s="21"/>
      <c r="D612" s="1"/>
      <c r="E612" s="1"/>
      <c r="F612" s="1"/>
      <c r="G612" s="1"/>
      <c r="H612" s="1"/>
      <c r="I612" s="1"/>
      <c r="J612" s="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1" x14ac:dyDescent="0.3">
      <c r="C613" s="21"/>
      <c r="D613" s="1"/>
      <c r="E613" s="1"/>
      <c r="F613" s="1"/>
      <c r="G613" s="1"/>
      <c r="H613" s="1"/>
      <c r="I613" s="1"/>
      <c r="J613" s="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1" x14ac:dyDescent="0.3">
      <c r="C614" s="21"/>
      <c r="D614" s="1"/>
      <c r="E614" s="1"/>
      <c r="F614" s="1"/>
      <c r="G614" s="1"/>
      <c r="H614" s="1"/>
      <c r="I614" s="1"/>
      <c r="J614" s="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1" x14ac:dyDescent="0.3">
      <c r="C615" s="21"/>
      <c r="D615" s="1"/>
      <c r="E615" s="1"/>
      <c r="F615" s="1"/>
      <c r="G615" s="1"/>
      <c r="H615" s="1"/>
      <c r="I615" s="1"/>
      <c r="J615" s="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1" x14ac:dyDescent="0.3">
      <c r="C616" s="21"/>
      <c r="D616" s="1"/>
      <c r="E616" s="1"/>
      <c r="F616" s="1"/>
      <c r="G616" s="1"/>
      <c r="H616" s="1"/>
      <c r="I616" s="1"/>
      <c r="J616" s="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1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1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1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1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1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1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1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1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1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</row>
    <row r="626" spans="3:21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1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1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1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1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1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1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1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1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1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</row>
    <row r="636" spans="3:21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</row>
    <row r="637" spans="3:21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1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1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1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1" x14ac:dyDescent="0.3">
      <c r="C657" s="21"/>
      <c r="D657" s="1"/>
      <c r="E657" s="1"/>
      <c r="F657" s="1"/>
      <c r="G657" s="1"/>
      <c r="H657" s="1"/>
      <c r="I657" s="1"/>
      <c r="J657" s="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1" x14ac:dyDescent="0.3">
      <c r="C658" s="21"/>
      <c r="D658" s="1"/>
      <c r="E658" s="1"/>
      <c r="F658" s="1"/>
      <c r="G658" s="1"/>
      <c r="H658" s="1"/>
      <c r="I658" s="1"/>
      <c r="J658" s="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1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1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1" x14ac:dyDescent="0.3">
      <c r="C661" s="21"/>
      <c r="D661" s="1"/>
      <c r="E661" s="1"/>
      <c r="F661" s="1"/>
      <c r="G661" s="1"/>
      <c r="H661" s="1"/>
      <c r="I661" s="1"/>
      <c r="J661" s="25"/>
      <c r="K661" s="8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1" x14ac:dyDescent="0.3">
      <c r="C662" s="21"/>
      <c r="D662" s="1"/>
      <c r="E662" s="1"/>
      <c r="F662" s="1"/>
      <c r="G662" s="1"/>
      <c r="H662" s="1"/>
      <c r="I662" s="1"/>
      <c r="J662" s="25"/>
      <c r="K662" s="8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1" x14ac:dyDescent="0.3">
      <c r="C663" s="21"/>
      <c r="D663" s="1"/>
      <c r="E663" s="1"/>
      <c r="F663" s="1"/>
      <c r="G663" s="1"/>
      <c r="H663" s="1"/>
      <c r="I663" s="1"/>
      <c r="J663" s="25"/>
      <c r="K663" s="8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1" x14ac:dyDescent="0.3">
      <c r="C664" s="21"/>
      <c r="D664" s="1"/>
      <c r="E664" s="1"/>
      <c r="F664" s="1"/>
      <c r="G664" s="1"/>
      <c r="H664" s="1"/>
      <c r="I664" s="1"/>
      <c r="J664" s="25"/>
      <c r="K664" s="8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1" x14ac:dyDescent="0.3">
      <c r="C665" s="21"/>
      <c r="D665" s="1"/>
      <c r="E665" s="1"/>
      <c r="F665" s="1"/>
      <c r="G665" s="1"/>
      <c r="H665" s="1"/>
      <c r="I665" s="1"/>
      <c r="J665" s="25"/>
      <c r="K665" s="8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1" x14ac:dyDescent="0.3">
      <c r="C666" s="21"/>
      <c r="D666" s="1"/>
      <c r="E666" s="1"/>
      <c r="F666" s="1"/>
      <c r="G666" s="1"/>
      <c r="H666" s="1"/>
      <c r="I666" s="1"/>
      <c r="J666" s="25"/>
      <c r="K666" s="8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1" x14ac:dyDescent="0.3">
      <c r="C667" s="21"/>
      <c r="D667" s="1"/>
      <c r="E667" s="1"/>
      <c r="F667" s="1"/>
      <c r="G667" s="1"/>
      <c r="H667" s="1"/>
      <c r="I667" s="1"/>
      <c r="J667" s="25"/>
      <c r="K667" s="81"/>
      <c r="L667" s="86"/>
      <c r="M667" s="86"/>
      <c r="N667" s="86"/>
      <c r="O667" s="86"/>
      <c r="P667" s="86"/>
      <c r="Q667" s="86"/>
      <c r="R667" s="86"/>
      <c r="S667" s="86"/>
      <c r="T667" s="86"/>
      <c r="U667" s="1"/>
    </row>
    <row r="668" spans="3:21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1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1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1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1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1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1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1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1" x14ac:dyDescent="0.3">
      <c r="C676" s="21"/>
      <c r="D676" s="1"/>
      <c r="E676" s="1"/>
      <c r="F676" s="1"/>
      <c r="G676" s="1"/>
      <c r="H676" s="1"/>
      <c r="I676" s="1"/>
      <c r="J676" s="25"/>
      <c r="K676" s="8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1" x14ac:dyDescent="0.3">
      <c r="C677" s="21"/>
      <c r="D677" s="1"/>
      <c r="E677" s="1"/>
      <c r="F677" s="1"/>
      <c r="G677" s="1"/>
      <c r="H677" s="1"/>
      <c r="I677" s="1"/>
      <c r="J677" s="25"/>
      <c r="K677" s="8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1" x14ac:dyDescent="0.3">
      <c r="C678" s="21"/>
      <c r="D678" s="1"/>
      <c r="E678" s="1"/>
      <c r="F678" s="1"/>
      <c r="G678" s="1"/>
      <c r="H678" s="1"/>
      <c r="I678" s="1"/>
      <c r="J678" s="25"/>
      <c r="K678" s="81"/>
      <c r="L678" s="86"/>
      <c r="M678" s="86"/>
      <c r="N678" s="86"/>
      <c r="O678" s="86"/>
      <c r="P678" s="86"/>
      <c r="Q678" s="86"/>
      <c r="R678" s="86"/>
      <c r="S678" s="86"/>
      <c r="T678" s="86"/>
      <c r="U678" s="1"/>
    </row>
    <row r="679" spans="3:21" x14ac:dyDescent="0.3">
      <c r="C679" s="21"/>
      <c r="D679" s="1"/>
      <c r="E679" s="1"/>
      <c r="F679" s="1"/>
      <c r="G679" s="1"/>
      <c r="H679" s="1"/>
      <c r="I679" s="1"/>
      <c r="J679" s="25"/>
      <c r="K679" s="8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1" x14ac:dyDescent="0.3">
      <c r="C680" s="21"/>
      <c r="D680" s="1"/>
      <c r="E680" s="1"/>
      <c r="F680" s="1"/>
      <c r="G680" s="1"/>
      <c r="H680" s="1"/>
      <c r="I680" s="1"/>
      <c r="J680" s="25"/>
      <c r="K680" s="8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1" x14ac:dyDescent="0.3">
      <c r="C681" s="21"/>
      <c r="D681" s="1"/>
      <c r="E681" s="1"/>
      <c r="F681" s="1"/>
      <c r="G681" s="1"/>
      <c r="H681" s="1"/>
      <c r="I681" s="1"/>
      <c r="J681" s="25"/>
      <c r="K681" s="8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1" x14ac:dyDescent="0.3">
      <c r="C682" s="21"/>
      <c r="D682" s="1"/>
      <c r="E682" s="1"/>
      <c r="F682" s="1"/>
      <c r="G682" s="1"/>
      <c r="H682" s="1"/>
      <c r="I682" s="1"/>
      <c r="J682" s="25"/>
      <c r="K682" s="8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1" x14ac:dyDescent="0.3">
      <c r="C683" s="21"/>
      <c r="D683" s="1"/>
      <c r="E683" s="1"/>
      <c r="F683" s="1"/>
      <c r="G683" s="1"/>
      <c r="H683" s="1"/>
      <c r="I683" s="1"/>
      <c r="J683" s="25"/>
      <c r="K683" s="8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1" x14ac:dyDescent="0.3">
      <c r="C684" s="21"/>
      <c r="D684" s="1"/>
      <c r="E684" s="1"/>
      <c r="F684" s="1"/>
      <c r="G684" s="1"/>
      <c r="H684" s="1"/>
      <c r="I684" s="1"/>
      <c r="J684" s="25"/>
      <c r="K684" s="8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1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1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1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1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25"/>
      <c r="K723" s="8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25"/>
      <c r="K724" s="8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25"/>
      <c r="K725" s="8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25"/>
      <c r="K726" s="8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25"/>
      <c r="K727" s="8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25"/>
      <c r="K728" s="8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25"/>
      <c r="K729" s="8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25"/>
      <c r="K730" s="8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25"/>
      <c r="K731" s="8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25"/>
      <c r="K732" s="8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  <c r="V767" s="92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1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1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1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1" x14ac:dyDescent="0.3">
      <c r="C772" s="21"/>
      <c r="D772" s="1"/>
      <c r="E772" s="1"/>
      <c r="F772" s="1"/>
      <c r="G772" s="1"/>
      <c r="H772" s="1"/>
      <c r="I772" s="1"/>
      <c r="J772" s="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1" x14ac:dyDescent="0.3">
      <c r="C773" s="21"/>
      <c r="D773" s="1"/>
      <c r="E773" s="1"/>
      <c r="F773" s="1"/>
      <c r="G773" s="1"/>
      <c r="H773" s="1"/>
      <c r="I773" s="1"/>
      <c r="J773" s="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1" x14ac:dyDescent="0.3">
      <c r="C774" s="21"/>
      <c r="D774" s="1"/>
      <c r="E774" s="1"/>
      <c r="F774" s="1"/>
      <c r="G774" s="1"/>
      <c r="H774" s="1"/>
      <c r="I774" s="1"/>
      <c r="J774" s="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1" x14ac:dyDescent="0.3">
      <c r="C775" s="21"/>
      <c r="D775" s="1"/>
      <c r="E775" s="1"/>
      <c r="F775" s="1"/>
      <c r="G775" s="1"/>
      <c r="H775" s="1"/>
      <c r="I775" s="1"/>
      <c r="J775" s="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1" x14ac:dyDescent="0.3">
      <c r="C776" s="21"/>
      <c r="D776" s="1"/>
      <c r="E776" s="1"/>
      <c r="F776" s="1"/>
      <c r="G776" s="1"/>
      <c r="H776" s="1"/>
      <c r="I776" s="1"/>
      <c r="J776" s="1"/>
      <c r="L776" s="86"/>
      <c r="M776" s="86"/>
      <c r="N776" s="86"/>
      <c r="O776" s="86"/>
      <c r="P776" s="86"/>
      <c r="Q776" s="86"/>
      <c r="R776" s="86"/>
      <c r="S776" s="86"/>
      <c r="T776" s="86"/>
      <c r="U776" s="1"/>
    </row>
    <row r="777" spans="3:21" x14ac:dyDescent="0.3">
      <c r="C777" s="21"/>
      <c r="D777" s="1"/>
      <c r="E777" s="1"/>
      <c r="F777" s="1"/>
      <c r="G777" s="1"/>
      <c r="H777" s="1"/>
      <c r="I777" s="1"/>
      <c r="J777" s="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1" x14ac:dyDescent="0.3">
      <c r="C778" s="21"/>
      <c r="D778" s="1"/>
      <c r="E778" s="1"/>
      <c r="F778" s="1"/>
      <c r="G778" s="1"/>
      <c r="H778" s="1"/>
      <c r="I778" s="1"/>
      <c r="J778" s="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1" x14ac:dyDescent="0.3">
      <c r="C779" s="21"/>
      <c r="D779" s="1"/>
      <c r="E779" s="1"/>
      <c r="F779" s="1"/>
      <c r="G779" s="1"/>
      <c r="H779" s="1"/>
      <c r="I779" s="1"/>
      <c r="J779" s="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1" x14ac:dyDescent="0.3">
      <c r="C780" s="21"/>
      <c r="D780" s="1"/>
      <c r="E780" s="1"/>
      <c r="F780" s="1"/>
      <c r="G780" s="1"/>
      <c r="H780" s="1"/>
      <c r="I780" s="1"/>
      <c r="J780" s="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1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1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1" x14ac:dyDescent="0.3">
      <c r="C783" s="21"/>
      <c r="D783" s="1"/>
      <c r="E783" s="1"/>
      <c r="F783" s="1"/>
      <c r="G783" s="1"/>
      <c r="H783" s="1"/>
      <c r="I783" s="1"/>
      <c r="J783" s="1"/>
      <c r="L783" s="86"/>
      <c r="M783" s="86"/>
      <c r="N783" s="86"/>
      <c r="O783" s="86"/>
      <c r="P783" s="86"/>
      <c r="Q783" s="86"/>
      <c r="R783" s="86"/>
      <c r="S783" s="86"/>
      <c r="T783" s="86"/>
      <c r="U783" s="1"/>
    </row>
    <row r="784" spans="3:21" x14ac:dyDescent="0.3">
      <c r="C784" s="21"/>
      <c r="D784" s="1"/>
      <c r="E784" s="1"/>
      <c r="F784" s="1"/>
      <c r="G784" s="1"/>
      <c r="H784" s="1"/>
      <c r="I784" s="1"/>
      <c r="J784" s="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1"/>
      <c r="L803" s="86"/>
      <c r="M803" s="86"/>
      <c r="N803" s="86"/>
      <c r="O803" s="86"/>
      <c r="P803" s="86"/>
      <c r="Q803" s="86"/>
      <c r="R803" s="86"/>
      <c r="S803" s="86"/>
      <c r="T803" s="86"/>
      <c r="U803" s="1"/>
      <c r="V803" s="92"/>
    </row>
    <row r="804" spans="3:22" x14ac:dyDescent="0.3">
      <c r="C804" s="21"/>
      <c r="D804" s="1"/>
      <c r="E804" s="1"/>
      <c r="F804" s="1"/>
      <c r="G804" s="1"/>
      <c r="H804" s="1"/>
      <c r="I804" s="1"/>
      <c r="J804" s="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1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1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1" x14ac:dyDescent="0.3">
      <c r="C819" s="21"/>
      <c r="D819" s="1"/>
      <c r="E819" s="1"/>
      <c r="F819" s="1"/>
      <c r="G819" s="1"/>
      <c r="H819" s="1"/>
      <c r="I819" s="1"/>
      <c r="J819" s="1"/>
      <c r="L819" s="86"/>
      <c r="M819" s="86"/>
      <c r="N819" s="86"/>
      <c r="O819" s="86"/>
      <c r="P819" s="86"/>
      <c r="Q819" s="86"/>
      <c r="R819" s="86"/>
      <c r="S819" s="86"/>
      <c r="T819" s="86"/>
      <c r="U819" s="1"/>
    </row>
    <row r="820" spans="3:21" x14ac:dyDescent="0.3">
      <c r="C820" s="21"/>
      <c r="D820" s="1"/>
      <c r="E820" s="1"/>
      <c r="F820" s="1"/>
      <c r="G820" s="1"/>
      <c r="H820" s="1"/>
      <c r="I820" s="1"/>
      <c r="J820" s="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1" x14ac:dyDescent="0.3">
      <c r="C821" s="21"/>
      <c r="D821" s="1"/>
      <c r="E821" s="1"/>
      <c r="F821" s="1"/>
      <c r="G821" s="1"/>
      <c r="H821" s="1"/>
      <c r="I821" s="1"/>
      <c r="J821" s="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1" x14ac:dyDescent="0.3">
      <c r="C822" s="21"/>
      <c r="D822" s="1"/>
      <c r="E822" s="1"/>
      <c r="F822" s="1"/>
      <c r="G822" s="1"/>
      <c r="H822" s="1"/>
      <c r="I822" s="1"/>
      <c r="J822" s="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1" x14ac:dyDescent="0.3">
      <c r="C823" s="21"/>
      <c r="D823" s="1"/>
      <c r="E823" s="1"/>
      <c r="F823" s="1"/>
      <c r="G823" s="1"/>
      <c r="H823" s="1"/>
      <c r="I823" s="1"/>
      <c r="J823" s="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1" x14ac:dyDescent="0.3">
      <c r="C824" s="21"/>
      <c r="D824" s="1"/>
      <c r="E824" s="1"/>
      <c r="F824" s="1"/>
      <c r="G824" s="1"/>
      <c r="H824" s="1"/>
      <c r="I824" s="1"/>
      <c r="J824" s="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1" x14ac:dyDescent="0.3">
      <c r="C825" s="21"/>
      <c r="D825" s="1"/>
      <c r="E825" s="1"/>
      <c r="F825" s="1"/>
      <c r="G825" s="1"/>
      <c r="H825" s="1"/>
      <c r="I825" s="1"/>
      <c r="J825" s="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1" x14ac:dyDescent="0.3">
      <c r="C826" s="21"/>
      <c r="D826" s="1"/>
      <c r="E826" s="1"/>
      <c r="F826" s="1"/>
      <c r="G826" s="1"/>
      <c r="H826" s="1"/>
      <c r="I826" s="1"/>
      <c r="J826" s="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1" x14ac:dyDescent="0.3">
      <c r="C827" s="21"/>
      <c r="D827" s="1"/>
      <c r="E827" s="1"/>
      <c r="F827" s="1"/>
      <c r="G827" s="1"/>
      <c r="H827" s="1"/>
      <c r="I827" s="1"/>
      <c r="J827" s="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1" x14ac:dyDescent="0.3">
      <c r="C828" s="21"/>
      <c r="D828" s="1"/>
      <c r="E828" s="1"/>
      <c r="F828" s="1"/>
      <c r="G828" s="1"/>
      <c r="H828" s="1"/>
      <c r="I828" s="1"/>
      <c r="J828" s="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1" x14ac:dyDescent="0.3">
      <c r="C829" s="21"/>
      <c r="D829" s="1"/>
      <c r="E829" s="1"/>
      <c r="F829" s="1"/>
      <c r="G829" s="1"/>
      <c r="H829" s="1"/>
      <c r="I829" s="1"/>
      <c r="J829" s="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1" x14ac:dyDescent="0.3">
      <c r="C830" s="21"/>
      <c r="D830" s="1"/>
      <c r="E830" s="1"/>
      <c r="F830" s="1"/>
      <c r="G830" s="1"/>
      <c r="H830" s="1"/>
      <c r="I830" s="1"/>
      <c r="J830" s="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1" x14ac:dyDescent="0.3">
      <c r="C831" s="21"/>
      <c r="D831" s="1"/>
      <c r="E831" s="1"/>
      <c r="F831" s="1"/>
      <c r="G831" s="1"/>
      <c r="H831" s="1"/>
      <c r="I831" s="1"/>
      <c r="J831" s="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1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1" x14ac:dyDescent="0.3">
      <c r="C849" s="21"/>
      <c r="D849" s="1"/>
      <c r="E849" s="1"/>
      <c r="F849" s="1"/>
      <c r="G849" s="1"/>
      <c r="H849" s="1"/>
      <c r="I849" s="1"/>
      <c r="J849" s="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1" x14ac:dyDescent="0.3">
      <c r="C850" s="21"/>
      <c r="D850" s="1"/>
      <c r="E850" s="1"/>
      <c r="F850" s="1"/>
      <c r="G850" s="1"/>
      <c r="H850" s="1"/>
      <c r="I850" s="1"/>
      <c r="J850" s="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1" x14ac:dyDescent="0.3">
      <c r="C851" s="21"/>
      <c r="D851" s="1"/>
      <c r="E851" s="1"/>
      <c r="F851" s="1"/>
      <c r="G851" s="1"/>
      <c r="H851" s="1"/>
      <c r="I851" s="1"/>
      <c r="J851" s="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1" x14ac:dyDescent="0.3">
      <c r="C852" s="21"/>
      <c r="D852" s="1"/>
      <c r="E852" s="1"/>
      <c r="F852" s="1"/>
      <c r="G852" s="1"/>
      <c r="H852" s="1"/>
      <c r="I852" s="1"/>
      <c r="J852" s="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1" x14ac:dyDescent="0.3">
      <c r="C853" s="21"/>
      <c r="D853" s="1"/>
      <c r="E853" s="1"/>
      <c r="F853" s="1"/>
      <c r="G853" s="1"/>
      <c r="H853" s="1"/>
      <c r="I853" s="1"/>
      <c r="J853" s="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1" x14ac:dyDescent="0.3">
      <c r="C854" s="21"/>
      <c r="D854" s="1"/>
      <c r="E854" s="1"/>
      <c r="F854" s="1"/>
      <c r="G854" s="1"/>
      <c r="H854" s="1"/>
      <c r="I854" s="1"/>
      <c r="J854" s="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1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1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1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1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1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1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1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1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1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</row>
    <row r="864" spans="3:21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1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1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1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1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1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1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1" x14ac:dyDescent="0.3">
      <c r="C887" s="21"/>
      <c r="D887" s="1"/>
      <c r="E887" s="1"/>
      <c r="F887" s="1"/>
      <c r="G887" s="1"/>
      <c r="H887" s="1"/>
      <c r="I887" s="1"/>
      <c r="J887" s="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1" x14ac:dyDescent="0.3">
      <c r="C888" s="21"/>
      <c r="D888" s="1"/>
      <c r="E888" s="1"/>
      <c r="F888" s="1"/>
      <c r="G888" s="1"/>
      <c r="H888" s="1"/>
      <c r="I888" s="1"/>
      <c r="J888" s="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1" x14ac:dyDescent="0.3">
      <c r="C889" s="21"/>
      <c r="D889" s="1"/>
      <c r="E889" s="1"/>
      <c r="F889" s="1"/>
      <c r="G889" s="1"/>
      <c r="H889" s="1"/>
      <c r="I889" s="1"/>
      <c r="J889" s="1"/>
      <c r="L889" s="86"/>
      <c r="M889" s="86"/>
      <c r="N889" s="86"/>
      <c r="O889" s="86"/>
      <c r="P889" s="86"/>
      <c r="Q889" s="86"/>
      <c r="R889" s="86"/>
      <c r="S889" s="86"/>
      <c r="T889" s="86"/>
      <c r="U889" s="1"/>
    </row>
    <row r="890" spans="3:21" x14ac:dyDescent="0.3">
      <c r="C890" s="21"/>
      <c r="D890" s="1"/>
      <c r="E890" s="1"/>
      <c r="F890" s="1"/>
      <c r="G890" s="1"/>
      <c r="H890" s="1"/>
      <c r="I890" s="1"/>
      <c r="J890" s="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1" x14ac:dyDescent="0.3">
      <c r="C891" s="21"/>
      <c r="D891" s="1"/>
      <c r="E891" s="1"/>
      <c r="F891" s="1"/>
      <c r="G891" s="1"/>
      <c r="H891" s="1"/>
      <c r="I891" s="1"/>
      <c r="J891" s="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1" x14ac:dyDescent="0.3">
      <c r="C892" s="21"/>
      <c r="D892" s="1"/>
      <c r="E892" s="1"/>
      <c r="F892" s="1"/>
      <c r="G892" s="1"/>
      <c r="H892" s="1"/>
      <c r="I892" s="1"/>
      <c r="J892" s="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1" x14ac:dyDescent="0.3">
      <c r="C893" s="21"/>
      <c r="D893" s="1"/>
      <c r="E893" s="1"/>
      <c r="F893" s="1"/>
      <c r="G893" s="1"/>
      <c r="H893" s="1"/>
      <c r="I893" s="1"/>
      <c r="J893" s="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1" x14ac:dyDescent="0.3">
      <c r="C894" s="21"/>
      <c r="D894" s="1"/>
      <c r="E894" s="1"/>
      <c r="F894" s="1"/>
      <c r="G894" s="1"/>
      <c r="H894" s="1"/>
      <c r="I894" s="1"/>
      <c r="J894" s="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1" x14ac:dyDescent="0.3">
      <c r="C895" s="21"/>
      <c r="D895" s="1"/>
      <c r="E895" s="1"/>
      <c r="F895" s="1"/>
      <c r="G895" s="1"/>
      <c r="H895" s="1"/>
      <c r="I895" s="1"/>
      <c r="J895" s="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1" x14ac:dyDescent="0.3">
      <c r="C896" s="21"/>
      <c r="D896" s="1"/>
      <c r="E896" s="1"/>
      <c r="F896" s="1"/>
      <c r="G896" s="1"/>
      <c r="H896" s="1"/>
      <c r="I896" s="1"/>
      <c r="J896" s="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1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1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1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</row>
    <row r="900" spans="3:21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1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1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1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1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1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1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1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1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1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1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1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1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1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1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1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1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1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1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1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1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1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1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1" x14ac:dyDescent="0.3">
      <c r="C923" s="21"/>
      <c r="D923" s="1"/>
      <c r="E923" s="1"/>
      <c r="F923" s="1"/>
      <c r="G923" s="1"/>
      <c r="H923" s="1"/>
      <c r="I923" s="1"/>
      <c r="J923" s="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1" x14ac:dyDescent="0.3">
      <c r="C924" s="21"/>
      <c r="D924" s="1"/>
      <c r="E924" s="1"/>
      <c r="F924" s="1"/>
      <c r="G924" s="1"/>
      <c r="H924" s="1"/>
      <c r="I924" s="1"/>
      <c r="J924" s="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1" x14ac:dyDescent="0.3">
      <c r="C925" s="21"/>
      <c r="D925" s="1"/>
      <c r="E925" s="1"/>
      <c r="F925" s="1"/>
      <c r="G925" s="1"/>
      <c r="H925" s="1"/>
      <c r="I925" s="1"/>
      <c r="J925" s="1"/>
      <c r="L925" s="86"/>
      <c r="M925" s="86"/>
      <c r="N925" s="86"/>
      <c r="O925" s="86"/>
      <c r="P925" s="86"/>
      <c r="Q925" s="86"/>
      <c r="R925" s="86"/>
      <c r="S925" s="86"/>
      <c r="T925" s="86"/>
      <c r="U925" s="1"/>
    </row>
    <row r="926" spans="3:21" x14ac:dyDescent="0.3">
      <c r="C926" s="21"/>
      <c r="D926" s="1"/>
      <c r="E926" s="1"/>
      <c r="F926" s="1"/>
      <c r="G926" s="1"/>
      <c r="H926" s="1"/>
      <c r="I926" s="1"/>
      <c r="J926" s="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1" x14ac:dyDescent="0.3">
      <c r="C927" s="21"/>
      <c r="D927" s="1"/>
      <c r="E927" s="1"/>
      <c r="F927" s="1"/>
      <c r="G927" s="1"/>
      <c r="H927" s="1"/>
      <c r="I927" s="1"/>
      <c r="J927" s="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1" x14ac:dyDescent="0.3">
      <c r="C928" s="21"/>
      <c r="D928" s="1"/>
      <c r="E928" s="1"/>
      <c r="F928" s="1"/>
      <c r="G928" s="1"/>
      <c r="H928" s="1"/>
      <c r="I928" s="1"/>
      <c r="J928" s="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1" x14ac:dyDescent="0.3">
      <c r="C929" s="21"/>
      <c r="D929" s="1"/>
      <c r="E929" s="1"/>
      <c r="F929" s="1"/>
      <c r="G929" s="1"/>
      <c r="H929" s="1"/>
      <c r="I929" s="1"/>
      <c r="J929" s="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1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1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</row>
    <row r="932" spans="3:21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1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1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1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1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1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1" x14ac:dyDescent="0.3">
      <c r="C938" s="21"/>
      <c r="D938" s="1"/>
      <c r="E938" s="1"/>
      <c r="F938" s="1"/>
      <c r="G938" s="1"/>
      <c r="H938" s="1"/>
      <c r="I938" s="1"/>
      <c r="J938" s="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1" x14ac:dyDescent="0.3">
      <c r="C939" s="21"/>
      <c r="D939" s="1"/>
      <c r="E939" s="1"/>
      <c r="F939" s="1"/>
      <c r="G939" s="1"/>
      <c r="H939" s="1"/>
      <c r="I939" s="1"/>
      <c r="J939" s="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1" x14ac:dyDescent="0.3">
      <c r="C940" s="21"/>
      <c r="D940" s="1"/>
      <c r="E940" s="1"/>
      <c r="F940" s="1"/>
      <c r="G940" s="1"/>
      <c r="H940" s="1"/>
      <c r="I940" s="1"/>
      <c r="J940" s="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1" x14ac:dyDescent="0.3">
      <c r="C941" s="21"/>
      <c r="D941" s="1"/>
      <c r="E941" s="1"/>
      <c r="F941" s="1"/>
      <c r="G941" s="1"/>
      <c r="H941" s="1"/>
      <c r="I941" s="1"/>
      <c r="J941" s="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1" x14ac:dyDescent="0.3">
      <c r="C942" s="21"/>
      <c r="D942" s="1"/>
      <c r="E942" s="1"/>
      <c r="F942" s="1"/>
      <c r="G942" s="1"/>
      <c r="H942" s="1"/>
      <c r="I942" s="1"/>
      <c r="J942" s="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1" x14ac:dyDescent="0.3">
      <c r="C943" s="21"/>
      <c r="D943" s="1"/>
      <c r="E943" s="1"/>
      <c r="F943" s="1"/>
      <c r="G943" s="1"/>
      <c r="H943" s="1"/>
      <c r="I943" s="1"/>
      <c r="J943" s="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1" x14ac:dyDescent="0.3">
      <c r="C944" s="21"/>
      <c r="D944" s="1"/>
      <c r="E944" s="1"/>
      <c r="F944" s="1"/>
      <c r="G944" s="1"/>
      <c r="H944" s="1"/>
      <c r="I944" s="1"/>
      <c r="J944" s="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1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1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1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1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1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1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1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</row>
    <row r="968" spans="3:21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1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1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1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1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1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1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1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1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25"/>
      <c r="K1003" s="8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25"/>
      <c r="K1004" s="8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25"/>
      <c r="K1005" s="8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25"/>
      <c r="K1006" s="8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25"/>
      <c r="K1007" s="8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25"/>
      <c r="K1008" s="8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25"/>
      <c r="K1009" s="8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25"/>
      <c r="K1010" s="8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25"/>
      <c r="K1011" s="8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25"/>
      <c r="K1012" s="8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25"/>
      <c r="K1013" s="8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25"/>
      <c r="K1014" s="8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25"/>
      <c r="K1015" s="8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25"/>
      <c r="K1016" s="8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25"/>
      <c r="K1017" s="8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25"/>
      <c r="K1018" s="8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25"/>
      <c r="K1019" s="8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25"/>
      <c r="K1020" s="8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1" x14ac:dyDescent="0.3">
      <c r="C1025" s="21"/>
      <c r="D1025" s="1"/>
      <c r="E1025" s="1"/>
      <c r="F1025" s="1"/>
      <c r="G1025" s="1"/>
      <c r="H1025" s="1"/>
      <c r="I1025" s="1"/>
      <c r="J1025" s="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1" x14ac:dyDescent="0.3">
      <c r="C1026" s="21"/>
      <c r="D1026" s="1"/>
      <c r="E1026" s="1"/>
      <c r="F1026" s="1"/>
      <c r="G1026" s="1"/>
      <c r="H1026" s="1"/>
      <c r="I1026" s="1"/>
      <c r="J1026" s="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1" x14ac:dyDescent="0.3">
      <c r="C1027" s="21"/>
      <c r="D1027" s="1"/>
      <c r="E1027" s="1"/>
      <c r="F1027" s="1"/>
      <c r="G1027" s="1"/>
      <c r="H1027" s="1"/>
      <c r="I1027" s="1"/>
      <c r="J1027" s="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1" x14ac:dyDescent="0.3">
      <c r="C1028" s="21"/>
      <c r="D1028" s="1"/>
      <c r="E1028" s="1"/>
      <c r="F1028" s="1"/>
      <c r="G1028" s="1"/>
      <c r="H1028" s="1"/>
      <c r="I1028" s="1"/>
      <c r="J1028" s="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1" x14ac:dyDescent="0.3">
      <c r="C1029" s="21"/>
      <c r="D1029" s="1"/>
      <c r="E1029" s="1"/>
      <c r="F1029" s="1"/>
      <c r="G1029" s="1"/>
      <c r="H1029" s="1"/>
      <c r="I1029" s="1"/>
      <c r="J1029" s="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</row>
    <row r="1030" spans="3:21" x14ac:dyDescent="0.3">
      <c r="C1030" s="21"/>
      <c r="D1030" s="1"/>
      <c r="E1030" s="1"/>
      <c r="F1030" s="1"/>
      <c r="G1030" s="1"/>
      <c r="H1030" s="1"/>
      <c r="I1030" s="1"/>
      <c r="J1030" s="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1" x14ac:dyDescent="0.3">
      <c r="C1031" s="21"/>
      <c r="D1031" s="1"/>
      <c r="E1031" s="1"/>
      <c r="F1031" s="1"/>
      <c r="G1031" s="1"/>
      <c r="H1031" s="1"/>
      <c r="I1031" s="1"/>
      <c r="J1031" s="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1" x14ac:dyDescent="0.3">
      <c r="C1032" s="21"/>
      <c r="D1032" s="1"/>
      <c r="E1032" s="1"/>
      <c r="F1032" s="1"/>
      <c r="G1032" s="1"/>
      <c r="H1032" s="1"/>
      <c r="I1032" s="1"/>
      <c r="J1032" s="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1" x14ac:dyDescent="0.3">
      <c r="C1033" s="21"/>
      <c r="D1033" s="1"/>
      <c r="E1033" s="1"/>
      <c r="F1033" s="1"/>
      <c r="G1033" s="1"/>
      <c r="H1033" s="1"/>
      <c r="I1033" s="1"/>
      <c r="J1033" s="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1" x14ac:dyDescent="0.3">
      <c r="C1034" s="21"/>
      <c r="D1034" s="1"/>
      <c r="E1034" s="1"/>
      <c r="F1034" s="1"/>
      <c r="G1034" s="1"/>
      <c r="H1034" s="1"/>
      <c r="I1034" s="1"/>
      <c r="J1034" s="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1" x14ac:dyDescent="0.3">
      <c r="C1035" s="21"/>
      <c r="D1035" s="1"/>
      <c r="E1035" s="1"/>
      <c r="F1035" s="1"/>
      <c r="G1035" s="1"/>
      <c r="H1035" s="1"/>
      <c r="I1035" s="1"/>
      <c r="J1035" s="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1" x14ac:dyDescent="0.3">
      <c r="C1036" s="21"/>
      <c r="D1036" s="1"/>
      <c r="E1036" s="1"/>
      <c r="F1036" s="1"/>
      <c r="G1036" s="1"/>
      <c r="H1036" s="1"/>
      <c r="I1036" s="1"/>
      <c r="J1036" s="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1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1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1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1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1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1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1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1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1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1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1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1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1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</row>
    <row r="1066" spans="3:21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1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1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1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1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1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1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12:21" x14ac:dyDescent="0.3"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12:21" x14ac:dyDescent="0.3"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12:21" x14ac:dyDescent="0.3"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12:21" x14ac:dyDescent="0.3"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12:21" x14ac:dyDescent="0.3"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12:21" x14ac:dyDescent="0.3"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12:21" x14ac:dyDescent="0.3"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12:21" x14ac:dyDescent="0.3"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12:21" x14ac:dyDescent="0.3"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12:21" x14ac:dyDescent="0.3"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12:21" x14ac:dyDescent="0.3"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12:21" x14ac:dyDescent="0.3"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12:21" x14ac:dyDescent="0.3"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12:21" x14ac:dyDescent="0.3"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12:21" x14ac:dyDescent="0.3"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12:21" x14ac:dyDescent="0.3"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12:21" x14ac:dyDescent="0.3"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12:21" x14ac:dyDescent="0.3"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12:21" x14ac:dyDescent="0.3"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12:21" x14ac:dyDescent="0.3"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12:21" x14ac:dyDescent="0.3"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12:21" x14ac:dyDescent="0.3"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12:21" x14ac:dyDescent="0.3"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12:21" x14ac:dyDescent="0.3"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12:21" x14ac:dyDescent="0.3"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12:21" x14ac:dyDescent="0.3"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12:21" x14ac:dyDescent="0.3"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12:21" x14ac:dyDescent="0.3">
      <c r="L1148" s="86"/>
      <c r="M1148" s="86"/>
      <c r="N1148" s="86"/>
      <c r="O1148" s="86"/>
      <c r="P1148" s="86"/>
      <c r="Q1148" s="86"/>
      <c r="R1148" s="86"/>
      <c r="S1148" s="86"/>
      <c r="T1148" s="86"/>
    </row>
    <row r="1149" spans="12:21" x14ac:dyDescent="0.3">
      <c r="L1149" s="86"/>
      <c r="M1149" s="86"/>
      <c r="N1149" s="86"/>
      <c r="O1149" s="86"/>
      <c r="P1149" s="86"/>
      <c r="Q1149" s="86"/>
      <c r="R1149" s="86"/>
      <c r="S1149" s="86"/>
      <c r="T1149" s="86"/>
    </row>
    <row r="1150" spans="12:21" x14ac:dyDescent="0.3">
      <c r="L1150" s="86"/>
      <c r="M1150" s="86"/>
      <c r="N1150" s="86"/>
      <c r="O1150" s="86"/>
      <c r="P1150" s="86"/>
      <c r="Q1150" s="86"/>
      <c r="R1150" s="86"/>
      <c r="S1150" s="86"/>
      <c r="T1150" s="86"/>
    </row>
    <row r="1151" spans="12:21" x14ac:dyDescent="0.3">
      <c r="L1151" s="86"/>
      <c r="M1151" s="86"/>
      <c r="N1151" s="86"/>
      <c r="O1151" s="86"/>
      <c r="P1151" s="86"/>
      <c r="Q1151" s="86"/>
      <c r="R1151" s="86"/>
      <c r="S1151" s="86"/>
      <c r="T1151" s="86"/>
    </row>
    <row r="1152" spans="12:21" x14ac:dyDescent="0.3">
      <c r="L1152" s="86"/>
      <c r="M1152" s="86"/>
      <c r="N1152" s="86"/>
      <c r="O1152" s="86"/>
      <c r="P1152" s="86"/>
      <c r="Q1152" s="86"/>
      <c r="R1152" s="86"/>
      <c r="S1152" s="86"/>
      <c r="T1152" s="86"/>
    </row>
    <row r="1153" spans="12:20" x14ac:dyDescent="0.3">
      <c r="L1153" s="86"/>
      <c r="M1153" s="86"/>
      <c r="N1153" s="86"/>
      <c r="O1153" s="86"/>
      <c r="P1153" s="86"/>
      <c r="Q1153" s="86"/>
      <c r="R1153" s="86"/>
      <c r="S1153" s="86"/>
      <c r="T1153" s="86"/>
    </row>
    <row r="1154" spans="12:20" x14ac:dyDescent="0.3">
      <c r="L1154" s="86"/>
      <c r="M1154" s="86"/>
      <c r="N1154" s="86"/>
      <c r="O1154" s="86"/>
      <c r="P1154" s="86"/>
      <c r="Q1154" s="86"/>
      <c r="R1154" s="86"/>
      <c r="S1154" s="86"/>
      <c r="T1154" s="86"/>
    </row>
    <row r="1155" spans="12:20" x14ac:dyDescent="0.3">
      <c r="L1155" s="86"/>
      <c r="M1155" s="86"/>
      <c r="N1155" s="86"/>
      <c r="O1155" s="86"/>
      <c r="P1155" s="86"/>
      <c r="Q1155" s="86"/>
      <c r="R1155" s="86"/>
      <c r="S1155" s="86"/>
      <c r="T1155" s="86"/>
    </row>
    <row r="1156" spans="12:20" x14ac:dyDescent="0.3">
      <c r="L1156" s="86"/>
      <c r="M1156" s="86"/>
      <c r="N1156" s="86"/>
      <c r="O1156" s="86"/>
      <c r="P1156" s="86"/>
      <c r="Q1156" s="86"/>
      <c r="R1156" s="86"/>
      <c r="S1156" s="86"/>
      <c r="T1156" s="86"/>
    </row>
    <row r="1157" spans="12:20" x14ac:dyDescent="0.3">
      <c r="L1157" s="86"/>
      <c r="M1157" s="86"/>
      <c r="N1157" s="86"/>
      <c r="O1157" s="86"/>
      <c r="P1157" s="86"/>
      <c r="Q1157" s="86"/>
      <c r="R1157" s="86"/>
      <c r="S1157" s="86"/>
      <c r="T1157" s="86"/>
    </row>
    <row r="1158" spans="12:20" x14ac:dyDescent="0.3">
      <c r="L1158" s="86"/>
      <c r="M1158" s="86"/>
      <c r="N1158" s="86"/>
      <c r="O1158" s="86"/>
      <c r="P1158" s="86"/>
      <c r="Q1158" s="86"/>
      <c r="R1158" s="86"/>
      <c r="S1158" s="86"/>
      <c r="T1158" s="86"/>
    </row>
    <row r="1159" spans="12:20" x14ac:dyDescent="0.3">
      <c r="L1159" s="86"/>
      <c r="M1159" s="86"/>
      <c r="N1159" s="86"/>
      <c r="O1159" s="86"/>
      <c r="P1159" s="86"/>
      <c r="Q1159" s="86"/>
      <c r="R1159" s="86"/>
      <c r="S1159" s="86"/>
      <c r="T1159" s="86"/>
    </row>
    <row r="1160" spans="12:20" x14ac:dyDescent="0.3">
      <c r="L1160" s="86"/>
      <c r="M1160" s="86"/>
      <c r="N1160" s="86"/>
      <c r="O1160" s="86"/>
      <c r="P1160" s="86"/>
      <c r="Q1160" s="86"/>
      <c r="R1160" s="86"/>
      <c r="S1160" s="86"/>
      <c r="T1160" s="86"/>
    </row>
    <row r="1161" spans="12:20" x14ac:dyDescent="0.3">
      <c r="L1161" s="86"/>
      <c r="M1161" s="86"/>
      <c r="N1161" s="86"/>
      <c r="O1161" s="86"/>
      <c r="P1161" s="86"/>
      <c r="Q1161" s="86"/>
      <c r="R1161" s="86"/>
      <c r="S1161" s="86"/>
      <c r="T1161" s="86"/>
    </row>
    <row r="1162" spans="12:20" x14ac:dyDescent="0.3">
      <c r="L1162" s="86"/>
      <c r="M1162" s="86"/>
      <c r="N1162" s="86"/>
      <c r="O1162" s="86"/>
      <c r="P1162" s="86"/>
      <c r="Q1162" s="86"/>
      <c r="R1162" s="86"/>
      <c r="S1162" s="86"/>
      <c r="T1162" s="86"/>
    </row>
    <row r="1163" spans="12:20" x14ac:dyDescent="0.3">
      <c r="L1163" s="86"/>
      <c r="M1163" s="86"/>
      <c r="N1163" s="86"/>
      <c r="O1163" s="86"/>
      <c r="P1163" s="86"/>
      <c r="Q1163" s="86"/>
      <c r="R1163" s="86"/>
      <c r="S1163" s="86"/>
      <c r="T1163" s="86"/>
    </row>
    <row r="1164" spans="12:20" x14ac:dyDescent="0.3">
      <c r="L1164" s="86"/>
      <c r="M1164" s="86"/>
      <c r="N1164" s="86"/>
      <c r="O1164" s="86"/>
      <c r="P1164" s="86"/>
      <c r="Q1164" s="86"/>
      <c r="R1164" s="86"/>
      <c r="S1164" s="86"/>
      <c r="T1164" s="86"/>
    </row>
    <row r="1165" spans="12:20" x14ac:dyDescent="0.3">
      <c r="L1165" s="86"/>
      <c r="M1165" s="86"/>
      <c r="N1165" s="86"/>
      <c r="O1165" s="86"/>
      <c r="P1165" s="86"/>
      <c r="Q1165" s="86"/>
      <c r="R1165" s="86"/>
      <c r="S1165" s="86"/>
      <c r="T1165" s="86"/>
    </row>
    <row r="1166" spans="12:20" x14ac:dyDescent="0.3">
      <c r="L1166" s="86"/>
      <c r="M1166" s="86"/>
      <c r="N1166" s="86"/>
      <c r="O1166" s="86"/>
      <c r="P1166" s="86"/>
      <c r="Q1166" s="86"/>
      <c r="R1166" s="86"/>
      <c r="S1166" s="86"/>
      <c r="T1166" s="86"/>
    </row>
    <row r="1167" spans="12:20" x14ac:dyDescent="0.3">
      <c r="L1167" s="86"/>
      <c r="M1167" s="86"/>
      <c r="N1167" s="86"/>
      <c r="O1167" s="86"/>
      <c r="P1167" s="86"/>
      <c r="Q1167" s="86"/>
      <c r="R1167" s="86"/>
      <c r="S1167" s="86"/>
      <c r="T1167" s="86"/>
    </row>
    <row r="1168" spans="12:20" x14ac:dyDescent="0.3">
      <c r="L1168" s="86"/>
      <c r="M1168" s="86"/>
      <c r="N1168" s="86"/>
      <c r="O1168" s="86"/>
      <c r="P1168" s="86"/>
      <c r="Q1168" s="86"/>
      <c r="R1168" s="86"/>
      <c r="S1168" s="86"/>
      <c r="T1168" s="86"/>
    </row>
    <row r="1169" spans="12:20" x14ac:dyDescent="0.3">
      <c r="L1169" s="86"/>
      <c r="M1169" s="86"/>
      <c r="N1169" s="86"/>
      <c r="O1169" s="86"/>
      <c r="P1169" s="86"/>
      <c r="Q1169" s="86"/>
      <c r="R1169" s="86"/>
      <c r="S1169" s="86"/>
      <c r="T1169" s="86"/>
    </row>
    <row r="1170" spans="12:20" x14ac:dyDescent="0.3">
      <c r="L1170" s="86"/>
      <c r="M1170" s="86"/>
      <c r="N1170" s="86"/>
      <c r="O1170" s="86"/>
      <c r="P1170" s="86"/>
      <c r="Q1170" s="86"/>
      <c r="R1170" s="86"/>
      <c r="S1170" s="86"/>
      <c r="T1170" s="86"/>
    </row>
    <row r="1171" spans="12:20" x14ac:dyDescent="0.3">
      <c r="L1171" s="86"/>
      <c r="M1171" s="86"/>
      <c r="N1171" s="86"/>
      <c r="O1171" s="86"/>
      <c r="P1171" s="86"/>
      <c r="Q1171" s="86"/>
      <c r="R1171" s="86"/>
      <c r="S1171" s="86"/>
      <c r="T1171" s="86"/>
    </row>
    <row r="1172" spans="12:20" x14ac:dyDescent="0.3">
      <c r="L1172" s="86"/>
      <c r="M1172" s="86"/>
      <c r="N1172" s="86"/>
      <c r="O1172" s="86"/>
      <c r="P1172" s="86"/>
      <c r="Q1172" s="86"/>
      <c r="R1172" s="86"/>
      <c r="S1172" s="86"/>
      <c r="T1172" s="86"/>
    </row>
    <row r="1173" spans="12:20" x14ac:dyDescent="0.3">
      <c r="L1173" s="86"/>
      <c r="M1173" s="86"/>
      <c r="N1173" s="86"/>
      <c r="O1173" s="86"/>
      <c r="P1173" s="86"/>
      <c r="Q1173" s="86"/>
      <c r="R1173" s="86"/>
      <c r="S1173" s="86"/>
      <c r="T1173" s="86"/>
    </row>
    <row r="1174" spans="12:20" x14ac:dyDescent="0.3">
      <c r="L1174" s="86"/>
      <c r="M1174" s="86"/>
      <c r="N1174" s="86"/>
      <c r="O1174" s="86"/>
      <c r="P1174" s="86"/>
      <c r="Q1174" s="86"/>
      <c r="R1174" s="86"/>
      <c r="S1174" s="86"/>
      <c r="T1174" s="86"/>
    </row>
    <row r="1175" spans="12:20" x14ac:dyDescent="0.3">
      <c r="L1175" s="86"/>
      <c r="M1175" s="86"/>
      <c r="N1175" s="86"/>
      <c r="O1175" s="86"/>
      <c r="P1175" s="86"/>
      <c r="Q1175" s="86"/>
      <c r="R1175" s="86"/>
      <c r="S1175" s="86"/>
      <c r="T1175" s="86"/>
    </row>
    <row r="1176" spans="12:20" x14ac:dyDescent="0.3">
      <c r="L1176" s="86"/>
      <c r="M1176" s="86"/>
      <c r="N1176" s="86"/>
      <c r="O1176" s="86"/>
      <c r="P1176" s="86"/>
      <c r="Q1176" s="86"/>
      <c r="R1176" s="86"/>
      <c r="S1176" s="86"/>
      <c r="T1176" s="86"/>
    </row>
    <row r="1177" spans="12:20" x14ac:dyDescent="0.3">
      <c r="L1177" s="86"/>
      <c r="M1177" s="86"/>
      <c r="N1177" s="86"/>
      <c r="O1177" s="86"/>
      <c r="P1177" s="86"/>
      <c r="Q1177" s="86"/>
      <c r="R1177" s="86"/>
      <c r="S1177" s="86"/>
      <c r="T1177" s="86"/>
    </row>
    <row r="1178" spans="12:20" x14ac:dyDescent="0.3">
      <c r="L1178" s="86"/>
      <c r="M1178" s="86"/>
      <c r="N1178" s="86"/>
      <c r="O1178" s="86"/>
      <c r="P1178" s="86"/>
      <c r="Q1178" s="86"/>
      <c r="R1178" s="86"/>
      <c r="S1178" s="86"/>
      <c r="T1178" s="86"/>
    </row>
    <row r="1179" spans="12:20" x14ac:dyDescent="0.3">
      <c r="L1179" s="86"/>
      <c r="M1179" s="86"/>
      <c r="N1179" s="86"/>
      <c r="O1179" s="86"/>
      <c r="P1179" s="86"/>
      <c r="Q1179" s="86"/>
      <c r="R1179" s="86"/>
      <c r="S1179" s="86"/>
      <c r="T1179" s="86"/>
    </row>
    <row r="1180" spans="12:20" x14ac:dyDescent="0.3">
      <c r="L1180" s="86"/>
      <c r="M1180" s="86"/>
      <c r="N1180" s="86"/>
      <c r="O1180" s="86"/>
      <c r="P1180" s="86"/>
      <c r="Q1180" s="86"/>
      <c r="R1180" s="86"/>
      <c r="S1180" s="86"/>
      <c r="T1180" s="86"/>
    </row>
    <row r="1181" spans="12:20" x14ac:dyDescent="0.3">
      <c r="L1181" s="86"/>
      <c r="M1181" s="86"/>
      <c r="N1181" s="86"/>
      <c r="O1181" s="86"/>
      <c r="P1181" s="86"/>
      <c r="Q1181" s="86"/>
      <c r="R1181" s="86"/>
      <c r="S1181" s="86"/>
      <c r="T1181" s="86"/>
    </row>
    <row r="1182" spans="12:20" x14ac:dyDescent="0.3">
      <c r="L1182" s="86"/>
      <c r="M1182" s="86"/>
      <c r="N1182" s="86"/>
      <c r="O1182" s="86"/>
      <c r="P1182" s="86"/>
      <c r="Q1182" s="86"/>
      <c r="R1182" s="86"/>
      <c r="S1182" s="86"/>
      <c r="T1182" s="86"/>
    </row>
    <row r="1183" spans="12:20" x14ac:dyDescent="0.3">
      <c r="L1183" s="86"/>
      <c r="M1183" s="86"/>
      <c r="N1183" s="86"/>
      <c r="O1183" s="86"/>
      <c r="P1183" s="86"/>
      <c r="Q1183" s="86"/>
      <c r="R1183" s="86"/>
      <c r="S1183" s="86"/>
      <c r="T1183" s="86"/>
    </row>
    <row r="1184" spans="12:20" x14ac:dyDescent="0.3">
      <c r="L1184" s="86"/>
      <c r="M1184" s="86"/>
      <c r="N1184" s="86"/>
      <c r="O1184" s="86"/>
      <c r="P1184" s="86"/>
      <c r="Q1184" s="86"/>
      <c r="R1184" s="86"/>
      <c r="S1184" s="86"/>
      <c r="T1184" s="86"/>
    </row>
    <row r="1185" spans="12:20" x14ac:dyDescent="0.3">
      <c r="L1185" s="86"/>
      <c r="M1185" s="86"/>
      <c r="N1185" s="86"/>
      <c r="O1185" s="86"/>
      <c r="P1185" s="86"/>
      <c r="Q1185" s="86"/>
      <c r="R1185" s="86"/>
      <c r="S1185" s="86"/>
      <c r="T1185" s="86"/>
    </row>
    <row r="1186" spans="12:20" x14ac:dyDescent="0.3">
      <c r="L1186" s="86"/>
      <c r="M1186" s="86"/>
      <c r="N1186" s="86"/>
      <c r="O1186" s="86"/>
      <c r="P1186" s="86"/>
      <c r="Q1186" s="86"/>
      <c r="R1186" s="86"/>
      <c r="S1186" s="86"/>
      <c r="T1186" s="86"/>
    </row>
    <row r="1187" spans="12:20" x14ac:dyDescent="0.3">
      <c r="L1187" s="86"/>
      <c r="M1187" s="86"/>
      <c r="N1187" s="86"/>
      <c r="O1187" s="86"/>
      <c r="P1187" s="86"/>
      <c r="Q1187" s="86"/>
      <c r="R1187" s="86"/>
      <c r="S1187" s="86"/>
      <c r="T1187" s="86"/>
    </row>
    <row r="1188" spans="12:20" x14ac:dyDescent="0.3">
      <c r="L1188" s="86"/>
      <c r="M1188" s="86"/>
      <c r="N1188" s="86"/>
      <c r="O1188" s="86"/>
      <c r="P1188" s="86"/>
      <c r="Q1188" s="86"/>
      <c r="R1188" s="86"/>
      <c r="S1188" s="86"/>
      <c r="T1188" s="86"/>
    </row>
    <row r="1189" spans="12:20" x14ac:dyDescent="0.3">
      <c r="L1189" s="86"/>
      <c r="M1189" s="86"/>
      <c r="N1189" s="86"/>
      <c r="O1189" s="86"/>
      <c r="P1189" s="86"/>
      <c r="Q1189" s="86"/>
      <c r="R1189" s="86"/>
      <c r="S1189" s="86"/>
      <c r="T1189" s="86"/>
    </row>
    <row r="1190" spans="12:20" x14ac:dyDescent="0.3">
      <c r="L1190" s="86"/>
      <c r="M1190" s="86"/>
      <c r="N1190" s="86"/>
      <c r="O1190" s="86"/>
      <c r="P1190" s="86"/>
      <c r="Q1190" s="86"/>
      <c r="R1190" s="86"/>
      <c r="S1190" s="86"/>
      <c r="T1190" s="86"/>
    </row>
    <row r="1191" spans="12:20" x14ac:dyDescent="0.3">
      <c r="L1191" s="86"/>
      <c r="M1191" s="86"/>
      <c r="N1191" s="86"/>
      <c r="O1191" s="86"/>
      <c r="P1191" s="86"/>
      <c r="Q1191" s="86"/>
      <c r="R1191" s="86"/>
      <c r="S1191" s="86"/>
      <c r="T1191" s="86"/>
    </row>
    <row r="1192" spans="12:20" x14ac:dyDescent="0.3">
      <c r="L1192" s="86"/>
      <c r="M1192" s="86"/>
      <c r="N1192" s="86"/>
      <c r="O1192" s="86"/>
      <c r="P1192" s="86"/>
      <c r="Q1192" s="86"/>
      <c r="R1192" s="86"/>
      <c r="S1192" s="86"/>
      <c r="T1192" s="86"/>
    </row>
    <row r="1193" spans="12:20" x14ac:dyDescent="0.3">
      <c r="L1193" s="86"/>
      <c r="M1193" s="86"/>
      <c r="N1193" s="86"/>
      <c r="O1193" s="86"/>
      <c r="P1193" s="86"/>
      <c r="Q1193" s="86"/>
      <c r="R1193" s="86"/>
      <c r="S1193" s="86"/>
      <c r="T1193" s="86"/>
    </row>
    <row r="1194" spans="12:20" x14ac:dyDescent="0.3">
      <c r="L1194" s="86"/>
      <c r="M1194" s="86"/>
      <c r="N1194" s="86"/>
      <c r="O1194" s="86"/>
      <c r="P1194" s="86"/>
      <c r="Q1194" s="86"/>
      <c r="R1194" s="86"/>
      <c r="S1194" s="86"/>
      <c r="T1194" s="86"/>
    </row>
    <row r="1195" spans="12:20" x14ac:dyDescent="0.3">
      <c r="L1195" s="86"/>
      <c r="M1195" s="86"/>
      <c r="N1195" s="86"/>
      <c r="O1195" s="86"/>
      <c r="P1195" s="86"/>
      <c r="Q1195" s="86"/>
      <c r="R1195" s="86"/>
      <c r="S1195" s="86"/>
      <c r="T1195" s="86"/>
    </row>
    <row r="1196" spans="12:20" x14ac:dyDescent="0.3">
      <c r="L1196" s="86"/>
      <c r="M1196" s="86"/>
      <c r="N1196" s="86"/>
      <c r="O1196" s="86"/>
      <c r="P1196" s="86"/>
      <c r="Q1196" s="86"/>
      <c r="R1196" s="86"/>
      <c r="S1196" s="86"/>
      <c r="T1196" s="86"/>
    </row>
    <row r="1197" spans="12:20" x14ac:dyDescent="0.3">
      <c r="L1197" s="86"/>
      <c r="M1197" s="86"/>
      <c r="N1197" s="86"/>
      <c r="O1197" s="86"/>
      <c r="P1197" s="86"/>
      <c r="Q1197" s="86"/>
      <c r="R1197" s="86"/>
      <c r="S1197" s="86"/>
      <c r="T1197" s="86"/>
    </row>
    <row r="1198" spans="12:20" x14ac:dyDescent="0.3">
      <c r="L1198" s="86"/>
      <c r="M1198" s="86"/>
      <c r="N1198" s="86"/>
      <c r="O1198" s="86"/>
      <c r="P1198" s="86"/>
      <c r="Q1198" s="86"/>
      <c r="R1198" s="86"/>
      <c r="S1198" s="86"/>
      <c r="T1198" s="86"/>
    </row>
    <row r="1199" spans="12:20" x14ac:dyDescent="0.3">
      <c r="L1199" s="86"/>
      <c r="M1199" s="86"/>
      <c r="N1199" s="86"/>
      <c r="O1199" s="86"/>
      <c r="P1199" s="86"/>
      <c r="Q1199" s="86"/>
      <c r="R1199" s="86"/>
      <c r="S1199" s="86"/>
      <c r="T1199" s="86"/>
    </row>
    <row r="1200" spans="12:20" x14ac:dyDescent="0.3">
      <c r="L1200" s="86"/>
      <c r="M1200" s="86"/>
      <c r="N1200" s="86"/>
      <c r="O1200" s="86"/>
      <c r="P1200" s="86"/>
      <c r="Q1200" s="86"/>
      <c r="R1200" s="86"/>
      <c r="S1200" s="86"/>
      <c r="T1200" s="86"/>
    </row>
    <row r="1201" spans="12:20" x14ac:dyDescent="0.3">
      <c r="L1201" s="86"/>
      <c r="M1201" s="86"/>
      <c r="N1201" s="86"/>
      <c r="O1201" s="86"/>
      <c r="P1201" s="86"/>
      <c r="Q1201" s="86"/>
      <c r="R1201" s="86"/>
      <c r="S1201" s="86"/>
      <c r="T1201" s="86"/>
    </row>
    <row r="1202" spans="12:20" x14ac:dyDescent="0.3">
      <c r="L1202" s="86"/>
      <c r="M1202" s="86"/>
      <c r="N1202" s="86"/>
      <c r="O1202" s="86"/>
      <c r="P1202" s="86"/>
      <c r="Q1202" s="86"/>
      <c r="R1202" s="86"/>
      <c r="S1202" s="86"/>
      <c r="T1202" s="86"/>
    </row>
    <row r="1203" spans="12:20" x14ac:dyDescent="0.3">
      <c r="L1203" s="86"/>
      <c r="M1203" s="86"/>
      <c r="N1203" s="86"/>
      <c r="O1203" s="86"/>
      <c r="P1203" s="86"/>
      <c r="Q1203" s="86"/>
      <c r="R1203" s="86"/>
      <c r="S1203" s="86"/>
      <c r="T1203" s="86"/>
    </row>
    <row r="1204" spans="12:20" x14ac:dyDescent="0.3">
      <c r="L1204" s="86"/>
      <c r="M1204" s="86"/>
      <c r="N1204" s="86"/>
      <c r="O1204" s="86"/>
      <c r="P1204" s="86"/>
      <c r="Q1204" s="86"/>
      <c r="R1204" s="86"/>
      <c r="S1204" s="86"/>
      <c r="T1204" s="86"/>
    </row>
    <row r="1205" spans="12:20" x14ac:dyDescent="0.3">
      <c r="L1205" s="86"/>
      <c r="M1205" s="86"/>
      <c r="N1205" s="86"/>
      <c r="O1205" s="86"/>
      <c r="P1205" s="86"/>
      <c r="Q1205" s="86"/>
      <c r="R1205" s="86"/>
      <c r="S1205" s="86"/>
      <c r="T1205" s="86"/>
    </row>
    <row r="1206" spans="12:20" x14ac:dyDescent="0.3">
      <c r="L1206" s="86"/>
      <c r="M1206" s="86"/>
      <c r="N1206" s="86"/>
      <c r="O1206" s="86"/>
      <c r="P1206" s="86"/>
      <c r="Q1206" s="86"/>
      <c r="R1206" s="86"/>
      <c r="S1206" s="86"/>
      <c r="T1206" s="86"/>
    </row>
    <row r="1207" spans="12:20" x14ac:dyDescent="0.3">
      <c r="L1207" s="86"/>
      <c r="M1207" s="86"/>
      <c r="N1207" s="86"/>
      <c r="O1207" s="86"/>
      <c r="P1207" s="86"/>
      <c r="Q1207" s="86"/>
      <c r="R1207" s="86"/>
      <c r="S1207" s="86"/>
      <c r="T1207" s="86"/>
    </row>
    <row r="1208" spans="12:20" x14ac:dyDescent="0.3">
      <c r="L1208" s="86"/>
      <c r="M1208" s="86"/>
      <c r="N1208" s="86"/>
      <c r="O1208" s="86"/>
      <c r="P1208" s="86"/>
      <c r="Q1208" s="86"/>
      <c r="R1208" s="86"/>
      <c r="S1208" s="86"/>
      <c r="T1208" s="86"/>
    </row>
    <row r="1209" spans="12:20" x14ac:dyDescent="0.3">
      <c r="L1209" s="86"/>
      <c r="M1209" s="86"/>
      <c r="N1209" s="86"/>
      <c r="O1209" s="86"/>
      <c r="P1209" s="86"/>
      <c r="Q1209" s="86"/>
      <c r="R1209" s="86"/>
      <c r="S1209" s="86"/>
      <c r="T1209" s="86"/>
    </row>
    <row r="1210" spans="12:20" x14ac:dyDescent="0.3">
      <c r="L1210" s="86"/>
      <c r="M1210" s="86"/>
      <c r="N1210" s="86"/>
      <c r="O1210" s="86"/>
      <c r="P1210" s="86"/>
      <c r="Q1210" s="86"/>
      <c r="R1210" s="86"/>
      <c r="S1210" s="86"/>
      <c r="T1210" s="86"/>
    </row>
    <row r="1211" spans="12:20" x14ac:dyDescent="0.3">
      <c r="L1211" s="86"/>
      <c r="M1211" s="86"/>
      <c r="N1211" s="86"/>
      <c r="O1211" s="86"/>
      <c r="P1211" s="86"/>
      <c r="Q1211" s="86"/>
      <c r="R1211" s="86"/>
      <c r="S1211" s="86"/>
      <c r="T1211" s="86"/>
    </row>
    <row r="1212" spans="12:20" x14ac:dyDescent="0.3">
      <c r="L1212" s="86"/>
      <c r="M1212" s="86"/>
      <c r="N1212" s="86"/>
      <c r="O1212" s="86"/>
      <c r="P1212" s="86"/>
      <c r="Q1212" s="86"/>
      <c r="R1212" s="86"/>
      <c r="S1212" s="86"/>
      <c r="T1212" s="86"/>
    </row>
    <row r="1213" spans="12:20" x14ac:dyDescent="0.3">
      <c r="L1213" s="86"/>
      <c r="M1213" s="86"/>
      <c r="N1213" s="86"/>
      <c r="O1213" s="86"/>
      <c r="P1213" s="86"/>
      <c r="Q1213" s="86"/>
      <c r="R1213" s="86"/>
      <c r="S1213" s="86"/>
      <c r="T1213" s="86"/>
    </row>
    <row r="1214" spans="12:20" x14ac:dyDescent="0.3">
      <c r="L1214" s="86"/>
      <c r="M1214" s="86"/>
      <c r="N1214" s="86"/>
      <c r="O1214" s="86"/>
      <c r="P1214" s="86"/>
      <c r="Q1214" s="86"/>
      <c r="R1214" s="86"/>
      <c r="S1214" s="86"/>
      <c r="T1214" s="86"/>
    </row>
    <row r="1215" spans="12:20" x14ac:dyDescent="0.3">
      <c r="L1215" s="86"/>
      <c r="M1215" s="86"/>
      <c r="N1215" s="86"/>
      <c r="O1215" s="86"/>
      <c r="P1215" s="86"/>
      <c r="Q1215" s="86"/>
      <c r="R1215" s="86"/>
      <c r="S1215" s="86"/>
      <c r="T1215" s="86"/>
    </row>
    <row r="1216" spans="12:20" x14ac:dyDescent="0.3">
      <c r="L1216" s="86"/>
      <c r="M1216" s="86"/>
      <c r="N1216" s="86"/>
      <c r="O1216" s="86"/>
      <c r="P1216" s="86"/>
      <c r="Q1216" s="86"/>
      <c r="R1216" s="86"/>
      <c r="S1216" s="86"/>
      <c r="T1216" s="86"/>
    </row>
    <row r="1217" spans="12:20" x14ac:dyDescent="0.3">
      <c r="L1217" s="86"/>
      <c r="M1217" s="86"/>
      <c r="N1217" s="86"/>
      <c r="O1217" s="86"/>
      <c r="P1217" s="86"/>
      <c r="Q1217" s="86"/>
      <c r="R1217" s="86"/>
      <c r="S1217" s="86"/>
      <c r="T1217" s="86"/>
    </row>
    <row r="1218" spans="12:20" x14ac:dyDescent="0.3">
      <c r="L1218" s="86"/>
      <c r="M1218" s="86"/>
      <c r="N1218" s="86"/>
      <c r="O1218" s="86"/>
      <c r="P1218" s="86"/>
      <c r="Q1218" s="86"/>
      <c r="R1218" s="86"/>
      <c r="S1218" s="86"/>
      <c r="T1218" s="86"/>
    </row>
    <row r="1219" spans="12:20" x14ac:dyDescent="0.3">
      <c r="L1219" s="86"/>
      <c r="M1219" s="86"/>
      <c r="N1219" s="86"/>
      <c r="O1219" s="86"/>
      <c r="P1219" s="86"/>
      <c r="Q1219" s="86"/>
      <c r="R1219" s="86"/>
      <c r="S1219" s="86"/>
      <c r="T1219" s="86"/>
    </row>
    <row r="1220" spans="12:20" x14ac:dyDescent="0.3">
      <c r="L1220" s="86"/>
      <c r="M1220" s="86"/>
      <c r="N1220" s="86"/>
      <c r="O1220" s="86"/>
      <c r="P1220" s="86"/>
      <c r="Q1220" s="86"/>
      <c r="R1220" s="86"/>
      <c r="S1220" s="86"/>
      <c r="T1220" s="86"/>
    </row>
    <row r="1221" spans="12:20" x14ac:dyDescent="0.3">
      <c r="L1221" s="86"/>
      <c r="M1221" s="86"/>
      <c r="N1221" s="86"/>
      <c r="O1221" s="86"/>
      <c r="P1221" s="86"/>
      <c r="Q1221" s="86"/>
      <c r="R1221" s="86"/>
      <c r="S1221" s="86"/>
      <c r="T1221" s="86"/>
    </row>
    <row r="1222" spans="12:20" x14ac:dyDescent="0.3">
      <c r="L1222" s="86"/>
      <c r="M1222" s="86"/>
      <c r="N1222" s="86"/>
      <c r="O1222" s="86"/>
      <c r="P1222" s="86"/>
      <c r="Q1222" s="86"/>
      <c r="R1222" s="86"/>
      <c r="S1222" s="86"/>
      <c r="T1222" s="86"/>
    </row>
    <row r="1223" spans="12:20" x14ac:dyDescent="0.3">
      <c r="L1223" s="86"/>
      <c r="M1223" s="86"/>
      <c r="N1223" s="86"/>
      <c r="O1223" s="86"/>
      <c r="P1223" s="86"/>
      <c r="Q1223" s="86"/>
      <c r="R1223" s="86"/>
      <c r="S1223" s="86"/>
      <c r="T1223" s="86"/>
    </row>
    <row r="1224" spans="12:20" x14ac:dyDescent="0.3">
      <c r="L1224" s="86"/>
      <c r="M1224" s="86"/>
      <c r="N1224" s="86"/>
      <c r="O1224" s="86"/>
      <c r="P1224" s="86"/>
      <c r="Q1224" s="86"/>
      <c r="R1224" s="86"/>
      <c r="S1224" s="86"/>
      <c r="T1224" s="86"/>
    </row>
    <row r="1225" spans="12:20" x14ac:dyDescent="0.3">
      <c r="L1225" s="86"/>
      <c r="M1225" s="86"/>
      <c r="N1225" s="86"/>
      <c r="O1225" s="86"/>
      <c r="P1225" s="86"/>
      <c r="Q1225" s="86"/>
      <c r="R1225" s="86"/>
      <c r="S1225" s="86"/>
      <c r="T1225" s="86"/>
    </row>
    <row r="1226" spans="12:20" x14ac:dyDescent="0.3">
      <c r="L1226" s="86"/>
      <c r="M1226" s="86"/>
      <c r="N1226" s="86"/>
      <c r="O1226" s="86"/>
      <c r="P1226" s="86"/>
      <c r="Q1226" s="86"/>
      <c r="R1226" s="86"/>
      <c r="S1226" s="86"/>
      <c r="T1226" s="86"/>
    </row>
    <row r="1227" spans="12:20" x14ac:dyDescent="0.3">
      <c r="L1227" s="86"/>
      <c r="M1227" s="86"/>
      <c r="N1227" s="86"/>
      <c r="O1227" s="86"/>
      <c r="P1227" s="86"/>
      <c r="Q1227" s="86"/>
      <c r="R1227" s="86"/>
      <c r="S1227" s="86"/>
      <c r="T1227" s="86"/>
    </row>
    <row r="1228" spans="12:20" x14ac:dyDescent="0.3">
      <c r="L1228" s="86"/>
      <c r="M1228" s="86"/>
      <c r="N1228" s="86"/>
      <c r="O1228" s="86"/>
      <c r="P1228" s="86"/>
      <c r="Q1228" s="86"/>
      <c r="R1228" s="86"/>
      <c r="S1228" s="86"/>
      <c r="T1228" s="86"/>
    </row>
    <row r="1229" spans="12:20" x14ac:dyDescent="0.3">
      <c r="L1229" s="86"/>
      <c r="M1229" s="86"/>
      <c r="N1229" s="86"/>
      <c r="O1229" s="86"/>
      <c r="P1229" s="86"/>
      <c r="Q1229" s="86"/>
      <c r="R1229" s="86"/>
      <c r="S1229" s="86"/>
      <c r="T1229" s="86"/>
    </row>
    <row r="1230" spans="12:20" x14ac:dyDescent="0.3">
      <c r="L1230" s="86"/>
      <c r="M1230" s="86"/>
      <c r="N1230" s="86"/>
      <c r="O1230" s="86"/>
      <c r="P1230" s="86"/>
      <c r="Q1230" s="86"/>
      <c r="R1230" s="86"/>
      <c r="S1230" s="86"/>
      <c r="T1230" s="86"/>
    </row>
    <row r="1231" spans="12:20" x14ac:dyDescent="0.3">
      <c r="L1231" s="86"/>
      <c r="M1231" s="86"/>
      <c r="N1231" s="86"/>
      <c r="O1231" s="86"/>
      <c r="P1231" s="86"/>
      <c r="Q1231" s="86"/>
      <c r="R1231" s="86"/>
      <c r="S1231" s="86"/>
      <c r="T1231" s="86"/>
    </row>
    <row r="1232" spans="12:20" x14ac:dyDescent="0.3">
      <c r="L1232" s="86"/>
      <c r="M1232" s="86"/>
      <c r="N1232" s="86"/>
      <c r="O1232" s="86"/>
      <c r="P1232" s="86"/>
      <c r="Q1232" s="86"/>
      <c r="R1232" s="86"/>
      <c r="S1232" s="86"/>
      <c r="T1232" s="86"/>
    </row>
    <row r="1233" spans="12:20" x14ac:dyDescent="0.3">
      <c r="L1233" s="86"/>
      <c r="M1233" s="86"/>
      <c r="N1233" s="86"/>
      <c r="O1233" s="86"/>
      <c r="P1233" s="86"/>
      <c r="Q1233" s="86"/>
      <c r="R1233" s="86"/>
      <c r="S1233" s="86"/>
      <c r="T1233" s="86"/>
    </row>
    <row r="1234" spans="12:20" x14ac:dyDescent="0.3">
      <c r="L1234" s="86"/>
      <c r="M1234" s="86"/>
      <c r="N1234" s="86"/>
      <c r="O1234" s="86"/>
      <c r="P1234" s="86"/>
      <c r="Q1234" s="86"/>
      <c r="R1234" s="86"/>
      <c r="S1234" s="86"/>
      <c r="T1234" s="86"/>
    </row>
    <row r="1235" spans="12:20" x14ac:dyDescent="0.3">
      <c r="L1235" s="86"/>
      <c r="M1235" s="86"/>
      <c r="N1235" s="86"/>
      <c r="O1235" s="86"/>
      <c r="P1235" s="86"/>
      <c r="Q1235" s="86"/>
      <c r="R1235" s="86"/>
      <c r="S1235" s="86"/>
      <c r="T1235" s="86"/>
    </row>
    <row r="1236" spans="12:20" x14ac:dyDescent="0.3">
      <c r="L1236" s="86"/>
      <c r="M1236" s="86"/>
      <c r="N1236" s="86"/>
      <c r="O1236" s="86"/>
      <c r="P1236" s="86"/>
      <c r="Q1236" s="86"/>
      <c r="R1236" s="86"/>
      <c r="S1236" s="86"/>
      <c r="T1236" s="86"/>
    </row>
    <row r="1237" spans="12:20" x14ac:dyDescent="0.3">
      <c r="L1237" s="86"/>
      <c r="M1237" s="86"/>
      <c r="N1237" s="86"/>
      <c r="O1237" s="86"/>
      <c r="P1237" s="86"/>
      <c r="Q1237" s="86"/>
      <c r="R1237" s="86"/>
      <c r="S1237" s="86"/>
      <c r="T1237" s="86"/>
    </row>
    <row r="1238" spans="12:20" x14ac:dyDescent="0.3">
      <c r="L1238" s="86"/>
      <c r="M1238" s="86"/>
      <c r="N1238" s="86"/>
      <c r="O1238" s="86"/>
      <c r="P1238" s="86"/>
      <c r="Q1238" s="86"/>
      <c r="R1238" s="86"/>
      <c r="S1238" s="86"/>
      <c r="T1238" s="86"/>
    </row>
    <row r="1239" spans="12:20" x14ac:dyDescent="0.3">
      <c r="L1239" s="86"/>
      <c r="M1239" s="86"/>
      <c r="N1239" s="86"/>
      <c r="O1239" s="86"/>
      <c r="P1239" s="86"/>
      <c r="Q1239" s="86"/>
      <c r="R1239" s="86"/>
      <c r="S1239" s="86"/>
      <c r="T1239" s="86"/>
    </row>
    <row r="1240" spans="12:20" x14ac:dyDescent="0.3">
      <c r="L1240" s="86"/>
      <c r="M1240" s="86"/>
      <c r="N1240" s="86"/>
      <c r="O1240" s="86"/>
      <c r="P1240" s="86"/>
      <c r="Q1240" s="86"/>
      <c r="R1240" s="86"/>
      <c r="S1240" s="86"/>
      <c r="T1240" s="86"/>
    </row>
    <row r="1241" spans="12:20" x14ac:dyDescent="0.3">
      <c r="L1241" s="86"/>
      <c r="M1241" s="86"/>
      <c r="N1241" s="86"/>
      <c r="O1241" s="86"/>
      <c r="P1241" s="86"/>
      <c r="Q1241" s="86"/>
      <c r="R1241" s="86"/>
      <c r="S1241" s="86"/>
      <c r="T1241" s="86"/>
    </row>
    <row r="1242" spans="12:20" x14ac:dyDescent="0.3">
      <c r="L1242" s="86"/>
      <c r="M1242" s="86"/>
      <c r="N1242" s="86"/>
      <c r="O1242" s="86"/>
      <c r="P1242" s="86"/>
      <c r="Q1242" s="86"/>
      <c r="R1242" s="86"/>
      <c r="S1242" s="86"/>
      <c r="T1242" s="86"/>
    </row>
    <row r="1243" spans="12:20" x14ac:dyDescent="0.3">
      <c r="L1243" s="86"/>
      <c r="M1243" s="86"/>
      <c r="N1243" s="86"/>
      <c r="O1243" s="86"/>
      <c r="P1243" s="86"/>
      <c r="Q1243" s="86"/>
      <c r="R1243" s="86"/>
      <c r="S1243" s="86"/>
      <c r="T1243" s="86"/>
    </row>
    <row r="1244" spans="12:20" x14ac:dyDescent="0.3">
      <c r="L1244" s="86"/>
      <c r="M1244" s="86"/>
      <c r="N1244" s="86"/>
      <c r="O1244" s="86"/>
      <c r="P1244" s="86"/>
      <c r="Q1244" s="86"/>
      <c r="R1244" s="86"/>
      <c r="S1244" s="86"/>
      <c r="T1244" s="86"/>
    </row>
    <row r="1245" spans="12:20" x14ac:dyDescent="0.3">
      <c r="L1245" s="86"/>
      <c r="M1245" s="86"/>
      <c r="N1245" s="86"/>
      <c r="O1245" s="86"/>
      <c r="P1245" s="86"/>
      <c r="Q1245" s="86"/>
      <c r="R1245" s="86"/>
      <c r="S1245" s="86"/>
      <c r="T1245" s="86"/>
    </row>
    <row r="1246" spans="12:20" x14ac:dyDescent="0.3">
      <c r="L1246" s="86"/>
      <c r="M1246" s="86"/>
      <c r="N1246" s="86"/>
      <c r="O1246" s="86"/>
      <c r="P1246" s="86"/>
      <c r="Q1246" s="86"/>
      <c r="R1246" s="86"/>
      <c r="S1246" s="86"/>
      <c r="T1246" s="86"/>
    </row>
    <row r="1247" spans="12:20" x14ac:dyDescent="0.3">
      <c r="L1247" s="86"/>
      <c r="M1247" s="86"/>
      <c r="N1247" s="86"/>
      <c r="O1247" s="86"/>
      <c r="P1247" s="86"/>
      <c r="Q1247" s="86"/>
      <c r="R1247" s="86"/>
      <c r="S1247" s="86"/>
      <c r="T1247" s="86"/>
    </row>
    <row r="1248" spans="12:20" x14ac:dyDescent="0.3">
      <c r="L1248" s="86"/>
      <c r="M1248" s="86"/>
      <c r="N1248" s="86"/>
      <c r="O1248" s="86"/>
      <c r="P1248" s="86"/>
      <c r="Q1248" s="86"/>
      <c r="R1248" s="86"/>
      <c r="S1248" s="86"/>
      <c r="T1248" s="86"/>
    </row>
    <row r="1249" spans="12:20" x14ac:dyDescent="0.3">
      <c r="L1249" s="86"/>
      <c r="M1249" s="86"/>
      <c r="N1249" s="86"/>
      <c r="O1249" s="86"/>
      <c r="P1249" s="86"/>
      <c r="Q1249" s="86"/>
      <c r="R1249" s="86"/>
      <c r="S1249" s="86"/>
      <c r="T1249" s="86"/>
    </row>
    <row r="1250" spans="12:20" x14ac:dyDescent="0.3">
      <c r="L1250" s="86"/>
      <c r="M1250" s="86"/>
      <c r="N1250" s="86"/>
      <c r="O1250" s="86"/>
      <c r="P1250" s="86"/>
      <c r="Q1250" s="86"/>
      <c r="R1250" s="86"/>
      <c r="S1250" s="86"/>
      <c r="T1250" s="86"/>
    </row>
    <row r="1251" spans="12:20" x14ac:dyDescent="0.3">
      <c r="L1251" s="86"/>
      <c r="M1251" s="86"/>
      <c r="N1251" s="86"/>
      <c r="O1251" s="86"/>
      <c r="P1251" s="86"/>
      <c r="Q1251" s="86"/>
      <c r="R1251" s="86"/>
      <c r="S1251" s="86"/>
      <c r="T1251" s="86"/>
    </row>
    <row r="1252" spans="12:20" x14ac:dyDescent="0.3">
      <c r="L1252" s="86"/>
      <c r="M1252" s="86"/>
      <c r="N1252" s="86"/>
      <c r="O1252" s="86"/>
      <c r="P1252" s="86"/>
      <c r="Q1252" s="86"/>
      <c r="R1252" s="86"/>
      <c r="S1252" s="86"/>
      <c r="T1252" s="86"/>
    </row>
    <row r="1253" spans="12:20" x14ac:dyDescent="0.3">
      <c r="L1253" s="86"/>
      <c r="M1253" s="86"/>
      <c r="N1253" s="86"/>
      <c r="O1253" s="86"/>
      <c r="P1253" s="86"/>
      <c r="Q1253" s="86"/>
      <c r="R1253" s="86"/>
      <c r="S1253" s="86"/>
      <c r="T1253" s="86"/>
    </row>
    <row r="1254" spans="12:20" x14ac:dyDescent="0.3">
      <c r="L1254" s="86"/>
      <c r="M1254" s="86"/>
      <c r="N1254" s="86"/>
      <c r="O1254" s="86"/>
      <c r="P1254" s="86"/>
      <c r="Q1254" s="86"/>
      <c r="R1254" s="86"/>
      <c r="S1254" s="86"/>
      <c r="T1254" s="86"/>
    </row>
    <row r="1255" spans="12:20" x14ac:dyDescent="0.3">
      <c r="L1255" s="86"/>
      <c r="M1255" s="86"/>
      <c r="N1255" s="86"/>
      <c r="O1255" s="86"/>
      <c r="P1255" s="86"/>
      <c r="Q1255" s="86"/>
      <c r="R1255" s="86"/>
      <c r="S1255" s="86"/>
      <c r="T1255" s="86"/>
    </row>
    <row r="1256" spans="12:20" x14ac:dyDescent="0.3">
      <c r="L1256" s="86"/>
      <c r="M1256" s="86"/>
      <c r="N1256" s="86"/>
      <c r="O1256" s="86"/>
      <c r="P1256" s="86"/>
      <c r="Q1256" s="86"/>
      <c r="R1256" s="86"/>
      <c r="S1256" s="86"/>
      <c r="T1256" s="86"/>
    </row>
    <row r="1257" spans="12:20" x14ac:dyDescent="0.3">
      <c r="L1257" s="86"/>
      <c r="M1257" s="86"/>
      <c r="N1257" s="86"/>
      <c r="O1257" s="86"/>
      <c r="P1257" s="86"/>
      <c r="Q1257" s="86"/>
      <c r="R1257" s="86"/>
      <c r="S1257" s="86"/>
      <c r="T1257" s="86"/>
    </row>
    <row r="1258" spans="12:20" x14ac:dyDescent="0.3">
      <c r="L1258" s="86"/>
      <c r="M1258" s="86"/>
      <c r="N1258" s="86"/>
      <c r="O1258" s="86"/>
      <c r="P1258" s="86"/>
      <c r="Q1258" s="86"/>
      <c r="R1258" s="86"/>
      <c r="S1258" s="86"/>
      <c r="T1258" s="86"/>
    </row>
    <row r="1259" spans="12:20" x14ac:dyDescent="0.3">
      <c r="L1259" s="86"/>
      <c r="M1259" s="86"/>
      <c r="N1259" s="86"/>
      <c r="O1259" s="86"/>
      <c r="P1259" s="86"/>
      <c r="Q1259" s="86"/>
      <c r="R1259" s="86"/>
      <c r="S1259" s="86"/>
      <c r="T1259" s="86"/>
    </row>
    <row r="1260" spans="12:20" x14ac:dyDescent="0.3">
      <c r="L1260" s="86"/>
      <c r="M1260" s="86"/>
      <c r="N1260" s="86"/>
      <c r="O1260" s="86"/>
      <c r="P1260" s="86"/>
      <c r="Q1260" s="86"/>
      <c r="R1260" s="86"/>
      <c r="S1260" s="86"/>
      <c r="T1260" s="86"/>
    </row>
    <row r="1261" spans="12:20" x14ac:dyDescent="0.3">
      <c r="L1261" s="86"/>
      <c r="M1261" s="86"/>
      <c r="N1261" s="86"/>
      <c r="O1261" s="86"/>
      <c r="P1261" s="86"/>
      <c r="Q1261" s="86"/>
      <c r="R1261" s="86"/>
      <c r="S1261" s="86"/>
      <c r="T1261" s="86"/>
    </row>
    <row r="1262" spans="12:20" x14ac:dyDescent="0.3">
      <c r="L1262" s="86"/>
      <c r="M1262" s="86"/>
      <c r="N1262" s="86"/>
      <c r="O1262" s="86"/>
      <c r="P1262" s="86"/>
      <c r="Q1262" s="86"/>
      <c r="R1262" s="86"/>
      <c r="S1262" s="86"/>
      <c r="T1262" s="86"/>
    </row>
    <row r="1263" spans="12:20" x14ac:dyDescent="0.3">
      <c r="L1263" s="86"/>
      <c r="M1263" s="86"/>
      <c r="N1263" s="86"/>
      <c r="O1263" s="86"/>
      <c r="P1263" s="86"/>
      <c r="Q1263" s="86"/>
      <c r="R1263" s="86"/>
      <c r="S1263" s="86"/>
      <c r="T1263" s="86"/>
    </row>
    <row r="1264" spans="12:20" x14ac:dyDescent="0.3">
      <c r="L1264" s="86"/>
      <c r="M1264" s="86"/>
      <c r="N1264" s="86"/>
      <c r="O1264" s="86"/>
      <c r="P1264" s="86"/>
      <c r="Q1264" s="86"/>
      <c r="R1264" s="86"/>
      <c r="S1264" s="86"/>
      <c r="T1264" s="86"/>
    </row>
    <row r="1265" spans="12:20" x14ac:dyDescent="0.3">
      <c r="L1265" s="86"/>
      <c r="M1265" s="86"/>
      <c r="N1265" s="86"/>
      <c r="O1265" s="86"/>
      <c r="P1265" s="86"/>
      <c r="Q1265" s="86"/>
      <c r="R1265" s="86"/>
      <c r="S1265" s="86"/>
      <c r="T1265" s="86"/>
    </row>
    <row r="1266" spans="12:20" x14ac:dyDescent="0.3">
      <c r="L1266" s="86"/>
      <c r="M1266" s="86"/>
      <c r="N1266" s="86"/>
      <c r="O1266" s="86"/>
      <c r="P1266" s="86"/>
      <c r="Q1266" s="86"/>
      <c r="R1266" s="86"/>
      <c r="S1266" s="86"/>
      <c r="T1266" s="86"/>
    </row>
    <row r="1267" spans="12:20" x14ac:dyDescent="0.3">
      <c r="L1267" s="86"/>
      <c r="M1267" s="86"/>
      <c r="N1267" s="86"/>
      <c r="O1267" s="86"/>
      <c r="P1267" s="86"/>
      <c r="Q1267" s="86"/>
      <c r="R1267" s="86"/>
      <c r="S1267" s="86"/>
      <c r="T1267" s="86"/>
    </row>
    <row r="1268" spans="12:20" x14ac:dyDescent="0.3">
      <c r="L1268" s="86"/>
      <c r="M1268" s="86"/>
      <c r="N1268" s="86"/>
      <c r="O1268" s="86"/>
      <c r="P1268" s="86"/>
      <c r="Q1268" s="86"/>
      <c r="R1268" s="86"/>
      <c r="S1268" s="86"/>
      <c r="T1268" s="86"/>
    </row>
    <row r="1269" spans="12:20" x14ac:dyDescent="0.3">
      <c r="L1269" s="86"/>
      <c r="M1269" s="86"/>
      <c r="N1269" s="86"/>
      <c r="O1269" s="86"/>
      <c r="P1269" s="86"/>
      <c r="Q1269" s="86"/>
      <c r="R1269" s="86"/>
      <c r="S1269" s="86"/>
      <c r="T1269" s="86"/>
    </row>
    <row r="1270" spans="12:20" x14ac:dyDescent="0.3">
      <c r="L1270" s="86"/>
      <c r="M1270" s="86"/>
      <c r="N1270" s="86"/>
      <c r="O1270" s="86"/>
      <c r="P1270" s="86"/>
      <c r="Q1270" s="86"/>
      <c r="R1270" s="86"/>
      <c r="S1270" s="86"/>
      <c r="T1270" s="86"/>
    </row>
    <row r="1271" spans="12:20" x14ac:dyDescent="0.3">
      <c r="L1271" s="86"/>
      <c r="M1271" s="86"/>
      <c r="N1271" s="86"/>
      <c r="O1271" s="86"/>
      <c r="P1271" s="86"/>
      <c r="Q1271" s="86"/>
      <c r="R1271" s="86"/>
      <c r="S1271" s="86"/>
      <c r="T1271" s="86"/>
    </row>
    <row r="1272" spans="12:20" x14ac:dyDescent="0.3">
      <c r="L1272" s="86"/>
      <c r="M1272" s="86"/>
      <c r="N1272" s="86"/>
      <c r="O1272" s="86"/>
      <c r="P1272" s="86"/>
      <c r="Q1272" s="86"/>
      <c r="R1272" s="86"/>
      <c r="S1272" s="86"/>
      <c r="T1272" s="86"/>
    </row>
    <row r="1273" spans="12:20" x14ac:dyDescent="0.3">
      <c r="L1273" s="86"/>
      <c r="M1273" s="86"/>
      <c r="N1273" s="86"/>
      <c r="O1273" s="86"/>
      <c r="P1273" s="86"/>
      <c r="Q1273" s="86"/>
      <c r="R1273" s="86"/>
      <c r="S1273" s="86"/>
      <c r="T1273" s="86"/>
    </row>
    <row r="1274" spans="12:20" x14ac:dyDescent="0.3">
      <c r="L1274" s="86"/>
      <c r="M1274" s="86"/>
      <c r="N1274" s="86"/>
      <c r="O1274" s="86"/>
      <c r="P1274" s="86"/>
      <c r="Q1274" s="86"/>
      <c r="R1274" s="86"/>
      <c r="S1274" s="86"/>
      <c r="T1274" s="86"/>
    </row>
    <row r="1275" spans="12:20" x14ac:dyDescent="0.3">
      <c r="L1275" s="86"/>
      <c r="M1275" s="86"/>
      <c r="N1275" s="86"/>
      <c r="O1275" s="86"/>
      <c r="P1275" s="86"/>
      <c r="Q1275" s="86"/>
      <c r="R1275" s="86"/>
      <c r="S1275" s="86"/>
      <c r="T1275" s="86"/>
    </row>
    <row r="1276" spans="12:20" x14ac:dyDescent="0.3">
      <c r="L1276" s="86"/>
      <c r="M1276" s="86"/>
      <c r="N1276" s="86"/>
      <c r="O1276" s="86"/>
      <c r="P1276" s="86"/>
      <c r="Q1276" s="86"/>
      <c r="R1276" s="86"/>
      <c r="S1276" s="86"/>
      <c r="T1276" s="86"/>
    </row>
    <row r="1277" spans="12:20" x14ac:dyDescent="0.3">
      <c r="L1277" s="86"/>
      <c r="M1277" s="86"/>
      <c r="N1277" s="86"/>
      <c r="O1277" s="86"/>
      <c r="P1277" s="86"/>
      <c r="Q1277" s="86"/>
      <c r="R1277" s="86"/>
      <c r="S1277" s="86"/>
      <c r="T1277" s="86"/>
    </row>
    <row r="1278" spans="12:20" x14ac:dyDescent="0.3">
      <c r="L1278" s="86"/>
      <c r="M1278" s="86"/>
      <c r="N1278" s="86"/>
      <c r="O1278" s="86"/>
      <c r="P1278" s="86"/>
      <c r="Q1278" s="86"/>
      <c r="R1278" s="86"/>
      <c r="S1278" s="86"/>
      <c r="T1278" s="86"/>
    </row>
    <row r="1279" spans="12:20" x14ac:dyDescent="0.3">
      <c r="L1279" s="86"/>
      <c r="M1279" s="86"/>
      <c r="N1279" s="86"/>
      <c r="O1279" s="86"/>
      <c r="P1279" s="86"/>
      <c r="Q1279" s="86"/>
      <c r="R1279" s="86"/>
      <c r="S1279" s="86"/>
      <c r="T1279" s="86"/>
    </row>
    <row r="1280" spans="12:20" x14ac:dyDescent="0.3">
      <c r="L1280" s="86"/>
      <c r="M1280" s="86"/>
      <c r="N1280" s="86"/>
      <c r="O1280" s="86"/>
      <c r="P1280" s="86"/>
      <c r="Q1280" s="86"/>
      <c r="R1280" s="86"/>
      <c r="S1280" s="86"/>
      <c r="T1280" s="86"/>
    </row>
    <row r="1281" spans="12:20" x14ac:dyDescent="0.3">
      <c r="L1281" s="86"/>
      <c r="M1281" s="86"/>
      <c r="N1281" s="86"/>
      <c r="O1281" s="86"/>
      <c r="P1281" s="86"/>
      <c r="Q1281" s="86"/>
      <c r="R1281" s="86"/>
      <c r="S1281" s="86"/>
      <c r="T1281" s="86"/>
    </row>
    <row r="1282" spans="12:20" x14ac:dyDescent="0.3">
      <c r="L1282" s="86"/>
      <c r="M1282" s="86"/>
      <c r="N1282" s="86"/>
      <c r="O1282" s="86"/>
      <c r="P1282" s="86"/>
      <c r="Q1282" s="86"/>
      <c r="R1282" s="86"/>
      <c r="S1282" s="86"/>
      <c r="T1282" s="86"/>
    </row>
    <row r="1283" spans="12:20" x14ac:dyDescent="0.3">
      <c r="L1283" s="86"/>
      <c r="M1283" s="86"/>
      <c r="N1283" s="86"/>
      <c r="O1283" s="86"/>
      <c r="P1283" s="86"/>
      <c r="Q1283" s="86"/>
      <c r="R1283" s="86"/>
      <c r="S1283" s="86"/>
      <c r="T1283" s="86"/>
    </row>
    <row r="1284" spans="12:20" x14ac:dyDescent="0.3">
      <c r="L1284" s="86"/>
      <c r="M1284" s="86"/>
      <c r="N1284" s="86"/>
      <c r="O1284" s="86"/>
      <c r="P1284" s="86"/>
      <c r="Q1284" s="86"/>
      <c r="R1284" s="86"/>
      <c r="S1284" s="86"/>
      <c r="T1284" s="86"/>
    </row>
    <row r="1285" spans="12:20" x14ac:dyDescent="0.3">
      <c r="L1285" s="86"/>
      <c r="M1285" s="86"/>
      <c r="N1285" s="86"/>
      <c r="O1285" s="86"/>
      <c r="P1285" s="86"/>
      <c r="Q1285" s="86"/>
      <c r="R1285" s="86"/>
      <c r="S1285" s="86"/>
      <c r="T1285" s="86"/>
    </row>
    <row r="1286" spans="12:20" x14ac:dyDescent="0.3">
      <c r="L1286" s="86"/>
      <c r="M1286" s="86"/>
      <c r="N1286" s="86"/>
      <c r="O1286" s="86"/>
      <c r="P1286" s="86"/>
      <c r="Q1286" s="86"/>
      <c r="R1286" s="86"/>
      <c r="S1286" s="86"/>
      <c r="T1286" s="86"/>
    </row>
    <row r="1287" spans="12:20" x14ac:dyDescent="0.3">
      <c r="L1287" s="86"/>
      <c r="M1287" s="86"/>
      <c r="N1287" s="86"/>
      <c r="O1287" s="86"/>
      <c r="P1287" s="86"/>
      <c r="Q1287" s="86"/>
      <c r="R1287" s="86"/>
      <c r="S1287" s="86"/>
      <c r="T1287" s="86"/>
    </row>
    <row r="1288" spans="12:20" x14ac:dyDescent="0.3">
      <c r="L1288" s="86"/>
      <c r="M1288" s="86"/>
      <c r="N1288" s="86"/>
      <c r="O1288" s="86"/>
      <c r="P1288" s="86"/>
      <c r="Q1288" s="86"/>
      <c r="R1288" s="86"/>
      <c r="S1288" s="86"/>
      <c r="T1288" s="86"/>
    </row>
    <row r="1289" spans="12:20" x14ac:dyDescent="0.3">
      <c r="L1289" s="86"/>
      <c r="M1289" s="86"/>
      <c r="N1289" s="86"/>
      <c r="O1289" s="86"/>
      <c r="P1289" s="86"/>
      <c r="Q1289" s="86"/>
      <c r="R1289" s="86"/>
      <c r="S1289" s="86"/>
      <c r="T1289" s="86"/>
    </row>
    <row r="1290" spans="12:20" x14ac:dyDescent="0.3">
      <c r="L1290" s="86"/>
      <c r="M1290" s="86"/>
      <c r="N1290" s="86"/>
      <c r="O1290" s="86"/>
      <c r="P1290" s="86"/>
      <c r="Q1290" s="86"/>
      <c r="R1290" s="86"/>
      <c r="S1290" s="86"/>
      <c r="T1290" s="86"/>
    </row>
    <row r="1291" spans="12:20" x14ac:dyDescent="0.3">
      <c r="L1291" s="86"/>
      <c r="M1291" s="86"/>
      <c r="N1291" s="86"/>
      <c r="O1291" s="86"/>
      <c r="P1291" s="86"/>
      <c r="Q1291" s="86"/>
      <c r="R1291" s="86"/>
      <c r="S1291" s="86"/>
      <c r="T1291" s="86"/>
    </row>
    <row r="1292" spans="12:20" x14ac:dyDescent="0.3">
      <c r="L1292" s="86"/>
      <c r="M1292" s="86"/>
      <c r="N1292" s="86"/>
      <c r="O1292" s="86"/>
      <c r="P1292" s="86"/>
      <c r="Q1292" s="86"/>
      <c r="R1292" s="86"/>
      <c r="S1292" s="86"/>
      <c r="T1292" s="86"/>
    </row>
    <row r="1293" spans="12:20" x14ac:dyDescent="0.3">
      <c r="L1293" s="86"/>
      <c r="M1293" s="86"/>
      <c r="N1293" s="86"/>
      <c r="O1293" s="86"/>
      <c r="P1293" s="86"/>
      <c r="Q1293" s="86"/>
      <c r="R1293" s="86"/>
      <c r="S1293" s="86"/>
      <c r="T1293" s="86"/>
    </row>
    <row r="1294" spans="12:20" x14ac:dyDescent="0.3">
      <c r="L1294" s="86"/>
      <c r="M1294" s="86"/>
      <c r="N1294" s="86"/>
      <c r="O1294" s="86"/>
      <c r="P1294" s="86"/>
      <c r="Q1294" s="86"/>
      <c r="R1294" s="86"/>
      <c r="S1294" s="86"/>
      <c r="T1294" s="86"/>
    </row>
    <row r="1295" spans="12:20" x14ac:dyDescent="0.3">
      <c r="L1295" s="86"/>
      <c r="M1295" s="86"/>
      <c r="N1295" s="86"/>
      <c r="O1295" s="86"/>
      <c r="P1295" s="86"/>
      <c r="Q1295" s="86"/>
      <c r="R1295" s="86"/>
      <c r="S1295" s="86"/>
      <c r="T1295" s="86"/>
    </row>
    <row r="1296" spans="12:20" x14ac:dyDescent="0.3">
      <c r="L1296" s="86"/>
      <c r="M1296" s="86"/>
      <c r="N1296" s="86"/>
      <c r="O1296" s="86"/>
      <c r="P1296" s="86"/>
      <c r="Q1296" s="86"/>
      <c r="R1296" s="86"/>
      <c r="S1296" s="86"/>
      <c r="T1296" s="86"/>
    </row>
    <row r="1297" spans="12:20" x14ac:dyDescent="0.3">
      <c r="L1297" s="86"/>
      <c r="M1297" s="86"/>
      <c r="N1297" s="86"/>
      <c r="O1297" s="86"/>
      <c r="P1297" s="86"/>
      <c r="Q1297" s="86"/>
      <c r="R1297" s="86"/>
      <c r="S1297" s="86"/>
      <c r="T1297" s="86"/>
    </row>
    <row r="1298" spans="12:20" x14ac:dyDescent="0.3">
      <c r="L1298" s="86"/>
      <c r="M1298" s="86"/>
      <c r="N1298" s="86"/>
      <c r="O1298" s="86"/>
      <c r="P1298" s="86"/>
      <c r="Q1298" s="86"/>
      <c r="R1298" s="86"/>
      <c r="S1298" s="86"/>
      <c r="T1298" s="86"/>
    </row>
    <row r="1299" spans="12:20" x14ac:dyDescent="0.3">
      <c r="L1299" s="86"/>
      <c r="M1299" s="86"/>
      <c r="N1299" s="86"/>
      <c r="O1299" s="86"/>
      <c r="P1299" s="86"/>
      <c r="Q1299" s="86"/>
      <c r="R1299" s="86"/>
      <c r="S1299" s="86"/>
      <c r="T1299" s="86"/>
    </row>
    <row r="1300" spans="12:20" x14ac:dyDescent="0.3">
      <c r="L1300" s="86"/>
      <c r="M1300" s="86"/>
      <c r="N1300" s="86"/>
      <c r="O1300" s="86"/>
      <c r="P1300" s="86"/>
      <c r="Q1300" s="86"/>
      <c r="R1300" s="86"/>
      <c r="S1300" s="86"/>
      <c r="T1300" s="86"/>
    </row>
    <row r="1301" spans="12:20" x14ac:dyDescent="0.3">
      <c r="L1301" s="86"/>
      <c r="M1301" s="86"/>
      <c r="N1301" s="86"/>
      <c r="O1301" s="86"/>
      <c r="P1301" s="86"/>
      <c r="Q1301" s="86"/>
      <c r="R1301" s="86"/>
      <c r="S1301" s="86"/>
      <c r="T1301" s="86"/>
    </row>
    <row r="1302" spans="12:20" x14ac:dyDescent="0.3">
      <c r="L1302" s="86"/>
      <c r="M1302" s="86"/>
      <c r="N1302" s="86"/>
      <c r="O1302" s="86"/>
      <c r="P1302" s="86"/>
      <c r="Q1302" s="86"/>
      <c r="R1302" s="86"/>
      <c r="S1302" s="86"/>
      <c r="T1302" s="86"/>
    </row>
    <row r="1303" spans="12:20" x14ac:dyDescent="0.3">
      <c r="L1303" s="86"/>
      <c r="M1303" s="86"/>
      <c r="N1303" s="86"/>
      <c r="O1303" s="86"/>
      <c r="P1303" s="86"/>
      <c r="Q1303" s="86"/>
      <c r="R1303" s="86"/>
      <c r="S1303" s="86"/>
      <c r="T1303" s="86"/>
    </row>
    <row r="1304" spans="12:20" x14ac:dyDescent="0.3">
      <c r="L1304" s="86"/>
      <c r="M1304" s="86"/>
      <c r="N1304" s="86"/>
      <c r="O1304" s="86"/>
      <c r="P1304" s="86"/>
      <c r="Q1304" s="86"/>
      <c r="R1304" s="86"/>
      <c r="S1304" s="86"/>
      <c r="T1304" s="86"/>
    </row>
    <row r="1305" spans="12:20" x14ac:dyDescent="0.3">
      <c r="L1305" s="86"/>
      <c r="M1305" s="86"/>
      <c r="N1305" s="86"/>
      <c r="O1305" s="86"/>
      <c r="P1305" s="86"/>
      <c r="Q1305" s="86"/>
      <c r="R1305" s="86"/>
      <c r="S1305" s="86"/>
      <c r="T1305" s="86"/>
    </row>
    <row r="1306" spans="12:20" x14ac:dyDescent="0.3">
      <c r="L1306" s="86"/>
      <c r="M1306" s="86"/>
      <c r="N1306" s="86"/>
      <c r="O1306" s="86"/>
      <c r="P1306" s="86"/>
      <c r="Q1306" s="86"/>
      <c r="R1306" s="86"/>
      <c r="S1306" s="86"/>
      <c r="T1306" s="86"/>
    </row>
    <row r="1307" spans="12:20" x14ac:dyDescent="0.3">
      <c r="L1307" s="86"/>
      <c r="M1307" s="86"/>
      <c r="N1307" s="86"/>
      <c r="O1307" s="86"/>
      <c r="P1307" s="86"/>
      <c r="Q1307" s="86"/>
      <c r="R1307" s="86"/>
      <c r="S1307" s="86"/>
      <c r="T1307" s="86"/>
    </row>
    <row r="1308" spans="12:20" x14ac:dyDescent="0.3">
      <c r="L1308" s="86"/>
      <c r="M1308" s="86"/>
      <c r="N1308" s="86"/>
      <c r="O1308" s="86"/>
      <c r="P1308" s="86"/>
      <c r="Q1308" s="86"/>
      <c r="R1308" s="86"/>
      <c r="S1308" s="86"/>
      <c r="T1308" s="86"/>
    </row>
    <row r="1309" spans="12:20" x14ac:dyDescent="0.3">
      <c r="L1309" s="86"/>
      <c r="M1309" s="86"/>
      <c r="N1309" s="86"/>
      <c r="O1309" s="86"/>
      <c r="P1309" s="86"/>
      <c r="Q1309" s="86"/>
      <c r="R1309" s="86"/>
      <c r="S1309" s="86"/>
      <c r="T1309" s="86"/>
    </row>
    <row r="1310" spans="12:20" x14ac:dyDescent="0.3">
      <c r="L1310" s="86"/>
      <c r="M1310" s="86"/>
      <c r="N1310" s="86"/>
      <c r="O1310" s="86"/>
      <c r="P1310" s="86"/>
      <c r="Q1310" s="86"/>
      <c r="R1310" s="86"/>
      <c r="S1310" s="86"/>
      <c r="T1310" s="86"/>
    </row>
    <row r="1311" spans="12:20" x14ac:dyDescent="0.3">
      <c r="L1311" s="86"/>
      <c r="M1311" s="86"/>
      <c r="N1311" s="86"/>
      <c r="O1311" s="86"/>
      <c r="P1311" s="86"/>
      <c r="Q1311" s="86"/>
      <c r="R1311" s="86"/>
      <c r="S1311" s="86"/>
      <c r="T1311" s="86"/>
    </row>
    <row r="1312" spans="12:20" x14ac:dyDescent="0.3">
      <c r="L1312" s="86"/>
      <c r="M1312" s="86"/>
      <c r="N1312" s="86"/>
      <c r="O1312" s="86"/>
      <c r="P1312" s="86"/>
      <c r="Q1312" s="86"/>
      <c r="R1312" s="86"/>
      <c r="S1312" s="86"/>
      <c r="T1312" s="86"/>
    </row>
    <row r="1313" spans="12:20" x14ac:dyDescent="0.3">
      <c r="L1313" s="86"/>
      <c r="M1313" s="86"/>
      <c r="N1313" s="86"/>
      <c r="O1313" s="86"/>
      <c r="P1313" s="86"/>
      <c r="Q1313" s="86"/>
      <c r="R1313" s="86"/>
      <c r="S1313" s="86"/>
      <c r="T1313" s="86"/>
    </row>
    <row r="1314" spans="12:20" x14ac:dyDescent="0.3">
      <c r="L1314" s="86"/>
      <c r="M1314" s="86"/>
      <c r="N1314" s="86"/>
      <c r="O1314" s="86"/>
      <c r="P1314" s="86"/>
      <c r="Q1314" s="86"/>
      <c r="R1314" s="86"/>
      <c r="S1314" s="86"/>
      <c r="T1314" s="86"/>
    </row>
    <row r="1315" spans="12:20" x14ac:dyDescent="0.3">
      <c r="L1315" s="86"/>
      <c r="M1315" s="86"/>
      <c r="N1315" s="86"/>
      <c r="O1315" s="86"/>
      <c r="P1315" s="86"/>
      <c r="Q1315" s="86"/>
      <c r="R1315" s="86"/>
      <c r="S1315" s="86"/>
      <c r="T1315" s="86"/>
    </row>
    <row r="1316" spans="12:20" x14ac:dyDescent="0.3">
      <c r="L1316" s="86"/>
      <c r="M1316" s="86"/>
      <c r="N1316" s="86"/>
      <c r="O1316" s="86"/>
      <c r="P1316" s="86"/>
      <c r="Q1316" s="86"/>
      <c r="R1316" s="86"/>
      <c r="S1316" s="86"/>
      <c r="T1316" s="86"/>
    </row>
    <row r="1317" spans="12:20" x14ac:dyDescent="0.3">
      <c r="L1317" s="86"/>
      <c r="M1317" s="86"/>
      <c r="N1317" s="86"/>
      <c r="O1317" s="86"/>
      <c r="P1317" s="86"/>
      <c r="Q1317" s="86"/>
      <c r="R1317" s="86"/>
      <c r="S1317" s="86"/>
      <c r="T1317" s="86"/>
    </row>
    <row r="1318" spans="12:20" x14ac:dyDescent="0.3">
      <c r="L1318" s="86"/>
      <c r="M1318" s="86"/>
      <c r="N1318" s="86"/>
      <c r="O1318" s="86"/>
      <c r="P1318" s="86"/>
      <c r="Q1318" s="86"/>
      <c r="R1318" s="86"/>
      <c r="S1318" s="86"/>
      <c r="T1318" s="86"/>
    </row>
    <row r="1319" spans="12:20" x14ac:dyDescent="0.3">
      <c r="L1319" s="86"/>
      <c r="M1319" s="86"/>
      <c r="N1319" s="86"/>
      <c r="O1319" s="86"/>
      <c r="P1319" s="86"/>
      <c r="Q1319" s="86"/>
      <c r="R1319" s="86"/>
      <c r="S1319" s="86"/>
      <c r="T1319" s="86"/>
    </row>
    <row r="1320" spans="12:20" x14ac:dyDescent="0.3">
      <c r="L1320" s="86"/>
      <c r="M1320" s="86"/>
      <c r="N1320" s="86"/>
      <c r="O1320" s="86"/>
      <c r="P1320" s="86"/>
      <c r="Q1320" s="86"/>
      <c r="R1320" s="86"/>
      <c r="S1320" s="86"/>
      <c r="T1320" s="86"/>
    </row>
    <row r="1321" spans="12:20" x14ac:dyDescent="0.3">
      <c r="L1321" s="86"/>
      <c r="M1321" s="86"/>
      <c r="N1321" s="86"/>
      <c r="O1321" s="86"/>
      <c r="P1321" s="86"/>
      <c r="Q1321" s="86"/>
      <c r="R1321" s="86"/>
      <c r="S1321" s="86"/>
      <c r="T1321" s="86"/>
    </row>
    <row r="1322" spans="12:20" x14ac:dyDescent="0.3">
      <c r="L1322" s="86"/>
      <c r="M1322" s="86"/>
      <c r="N1322" s="86"/>
      <c r="O1322" s="86"/>
      <c r="P1322" s="86"/>
      <c r="Q1322" s="86"/>
      <c r="R1322" s="86"/>
      <c r="S1322" s="86"/>
      <c r="T1322" s="86"/>
    </row>
    <row r="1323" spans="12:20" x14ac:dyDescent="0.3">
      <c r="L1323" s="86"/>
      <c r="M1323" s="86"/>
      <c r="N1323" s="86"/>
      <c r="O1323" s="86"/>
      <c r="P1323" s="86"/>
      <c r="Q1323" s="86"/>
      <c r="R1323" s="86"/>
      <c r="S1323" s="86"/>
      <c r="T1323" s="86"/>
    </row>
    <row r="1324" spans="12:20" x14ac:dyDescent="0.3">
      <c r="L1324" s="86"/>
      <c r="M1324" s="86"/>
      <c r="N1324" s="86"/>
      <c r="O1324" s="86"/>
      <c r="P1324" s="86"/>
      <c r="Q1324" s="86"/>
      <c r="R1324" s="86"/>
      <c r="S1324" s="86"/>
      <c r="T1324" s="86"/>
    </row>
    <row r="1325" spans="12:20" x14ac:dyDescent="0.3">
      <c r="L1325" s="86"/>
      <c r="M1325" s="86"/>
      <c r="N1325" s="86"/>
      <c r="O1325" s="86"/>
      <c r="P1325" s="86"/>
      <c r="Q1325" s="86"/>
      <c r="R1325" s="86"/>
      <c r="S1325" s="86"/>
      <c r="T1325" s="86"/>
    </row>
    <row r="1326" spans="12:20" x14ac:dyDescent="0.3">
      <c r="L1326" s="86"/>
      <c r="M1326" s="86"/>
      <c r="N1326" s="86"/>
      <c r="O1326" s="86"/>
      <c r="P1326" s="86"/>
      <c r="Q1326" s="86"/>
      <c r="R1326" s="86"/>
      <c r="S1326" s="86"/>
      <c r="T1326" s="86"/>
    </row>
    <row r="1327" spans="12:20" x14ac:dyDescent="0.3">
      <c r="L1327" s="86"/>
      <c r="M1327" s="86"/>
      <c r="N1327" s="86"/>
      <c r="O1327" s="86"/>
      <c r="P1327" s="86"/>
      <c r="Q1327" s="86"/>
      <c r="R1327" s="86"/>
      <c r="S1327" s="86"/>
      <c r="T1327" s="86"/>
    </row>
    <row r="1328" spans="12:20" x14ac:dyDescent="0.3">
      <c r="L1328" s="86"/>
      <c r="M1328" s="86"/>
      <c r="N1328" s="86"/>
      <c r="O1328" s="86"/>
      <c r="P1328" s="86"/>
      <c r="Q1328" s="86"/>
      <c r="R1328" s="86"/>
      <c r="S1328" s="86"/>
      <c r="T1328" s="86"/>
    </row>
    <row r="1329" spans="12:20" x14ac:dyDescent="0.3">
      <c r="L1329" s="86"/>
      <c r="M1329" s="86"/>
      <c r="N1329" s="86"/>
      <c r="O1329" s="86"/>
      <c r="P1329" s="86"/>
      <c r="Q1329" s="86"/>
      <c r="R1329" s="86"/>
      <c r="S1329" s="86"/>
      <c r="T1329" s="86"/>
    </row>
    <row r="1330" spans="12:20" x14ac:dyDescent="0.3">
      <c r="L1330" s="86"/>
      <c r="M1330" s="86"/>
      <c r="N1330" s="86"/>
      <c r="O1330" s="86"/>
      <c r="P1330" s="86"/>
      <c r="Q1330" s="86"/>
      <c r="R1330" s="86"/>
      <c r="S1330" s="86"/>
      <c r="T1330" s="86"/>
    </row>
    <row r="1331" spans="12:20" x14ac:dyDescent="0.3">
      <c r="L1331" s="86"/>
      <c r="M1331" s="86"/>
      <c r="N1331" s="86"/>
      <c r="O1331" s="86"/>
      <c r="P1331" s="86"/>
      <c r="Q1331" s="86"/>
      <c r="R1331" s="86"/>
      <c r="S1331" s="86"/>
      <c r="T1331" s="86"/>
    </row>
    <row r="1332" spans="12:20" x14ac:dyDescent="0.3">
      <c r="L1332" s="86"/>
      <c r="M1332" s="86"/>
      <c r="N1332" s="86"/>
      <c r="O1332" s="86"/>
      <c r="P1332" s="86"/>
      <c r="Q1332" s="86"/>
      <c r="R1332" s="86"/>
      <c r="S1332" s="86"/>
      <c r="T1332" s="86"/>
    </row>
    <row r="1333" spans="12:20" x14ac:dyDescent="0.3">
      <c r="L1333" s="86"/>
      <c r="M1333" s="86"/>
      <c r="N1333" s="86"/>
      <c r="O1333" s="86"/>
      <c r="P1333" s="86"/>
      <c r="Q1333" s="86"/>
      <c r="R1333" s="86"/>
      <c r="S1333" s="86"/>
      <c r="T1333" s="86"/>
    </row>
    <row r="1334" spans="12:20" x14ac:dyDescent="0.3">
      <c r="L1334" s="86"/>
      <c r="M1334" s="86"/>
      <c r="N1334" s="86"/>
      <c r="O1334" s="86"/>
      <c r="P1334" s="86"/>
      <c r="Q1334" s="86"/>
      <c r="R1334" s="86"/>
      <c r="S1334" s="86"/>
      <c r="T1334" s="86"/>
    </row>
    <row r="1335" spans="12:20" x14ac:dyDescent="0.3">
      <c r="L1335" s="86"/>
      <c r="M1335" s="86"/>
      <c r="N1335" s="86"/>
      <c r="O1335" s="86"/>
      <c r="P1335" s="86"/>
      <c r="Q1335" s="86"/>
      <c r="R1335" s="86"/>
      <c r="S1335" s="86"/>
      <c r="T1335" s="86"/>
    </row>
    <row r="1336" spans="12:20" x14ac:dyDescent="0.3">
      <c r="L1336" s="86"/>
      <c r="M1336" s="86"/>
      <c r="N1336" s="86"/>
      <c r="O1336" s="86"/>
      <c r="P1336" s="86"/>
      <c r="Q1336" s="86"/>
      <c r="R1336" s="86"/>
      <c r="S1336" s="86"/>
      <c r="T1336" s="86"/>
    </row>
    <row r="1337" spans="12:20" x14ac:dyDescent="0.3">
      <c r="L1337" s="86"/>
      <c r="M1337" s="86"/>
      <c r="N1337" s="86"/>
      <c r="O1337" s="86"/>
      <c r="P1337" s="86"/>
      <c r="Q1337" s="86"/>
      <c r="R1337" s="86"/>
      <c r="S1337" s="86"/>
      <c r="T1337" s="86"/>
    </row>
    <row r="1338" spans="12:20" x14ac:dyDescent="0.3">
      <c r="L1338" s="86"/>
      <c r="M1338" s="86"/>
      <c r="N1338" s="86"/>
      <c r="O1338" s="86"/>
      <c r="P1338" s="86"/>
      <c r="Q1338" s="86"/>
      <c r="R1338" s="86"/>
      <c r="S1338" s="86"/>
      <c r="T1338" s="86"/>
    </row>
    <row r="1339" spans="12:20" x14ac:dyDescent="0.3">
      <c r="L1339" s="86"/>
      <c r="M1339" s="86"/>
      <c r="N1339" s="86"/>
      <c r="O1339" s="86"/>
      <c r="P1339" s="86"/>
      <c r="Q1339" s="86"/>
      <c r="R1339" s="86"/>
      <c r="S1339" s="86"/>
      <c r="T1339" s="86"/>
    </row>
    <row r="1340" spans="12:20" x14ac:dyDescent="0.3">
      <c r="L1340" s="86"/>
      <c r="M1340" s="86"/>
      <c r="N1340" s="86"/>
      <c r="O1340" s="86"/>
      <c r="P1340" s="86"/>
      <c r="Q1340" s="86"/>
      <c r="R1340" s="86"/>
      <c r="S1340" s="86"/>
      <c r="T1340" s="86"/>
    </row>
    <row r="1341" spans="12:20" x14ac:dyDescent="0.3">
      <c r="L1341" s="86"/>
      <c r="M1341" s="86"/>
      <c r="N1341" s="86"/>
      <c r="O1341" s="86"/>
      <c r="P1341" s="86"/>
      <c r="Q1341" s="86"/>
      <c r="R1341" s="86"/>
      <c r="S1341" s="86"/>
      <c r="T1341" s="86"/>
    </row>
    <row r="1342" spans="12:20" x14ac:dyDescent="0.3">
      <c r="L1342" s="86"/>
      <c r="M1342" s="86"/>
      <c r="N1342" s="86"/>
      <c r="O1342" s="86"/>
      <c r="P1342" s="86"/>
      <c r="Q1342" s="86"/>
      <c r="R1342" s="86"/>
      <c r="S1342" s="86"/>
      <c r="T1342" s="86"/>
    </row>
    <row r="1343" spans="12:20" x14ac:dyDescent="0.3">
      <c r="L1343" s="86"/>
      <c r="M1343" s="86"/>
      <c r="N1343" s="86"/>
      <c r="O1343" s="86"/>
      <c r="P1343" s="86"/>
      <c r="Q1343" s="86"/>
      <c r="R1343" s="86"/>
      <c r="S1343" s="86"/>
      <c r="T1343" s="86"/>
    </row>
    <row r="1344" spans="12:20" x14ac:dyDescent="0.3">
      <c r="L1344" s="86"/>
      <c r="M1344" s="86"/>
      <c r="N1344" s="86"/>
      <c r="O1344" s="86"/>
      <c r="P1344" s="86"/>
      <c r="Q1344" s="86"/>
      <c r="R1344" s="86"/>
      <c r="S1344" s="86"/>
      <c r="T1344" s="86"/>
    </row>
    <row r="1345" spans="12:20" x14ac:dyDescent="0.3">
      <c r="L1345" s="86"/>
      <c r="M1345" s="86"/>
      <c r="N1345" s="86"/>
      <c r="O1345" s="86"/>
      <c r="P1345" s="86"/>
      <c r="Q1345" s="86"/>
      <c r="R1345" s="86"/>
      <c r="S1345" s="86"/>
      <c r="T1345" s="86"/>
    </row>
    <row r="1346" spans="12:20" x14ac:dyDescent="0.3">
      <c r="L1346" s="86"/>
      <c r="M1346" s="86"/>
      <c r="N1346" s="86"/>
      <c r="O1346" s="86"/>
      <c r="P1346" s="86"/>
      <c r="Q1346" s="86"/>
      <c r="R1346" s="86"/>
      <c r="S1346" s="86"/>
      <c r="T1346" s="86"/>
    </row>
    <row r="1347" spans="12:20" x14ac:dyDescent="0.3">
      <c r="L1347" s="86"/>
      <c r="M1347" s="86"/>
      <c r="N1347" s="86"/>
      <c r="O1347" s="86"/>
      <c r="P1347" s="86"/>
      <c r="Q1347" s="86"/>
      <c r="R1347" s="86"/>
      <c r="S1347" s="86"/>
      <c r="T1347" s="86"/>
    </row>
    <row r="1348" spans="12:20" x14ac:dyDescent="0.3">
      <c r="L1348" s="86"/>
      <c r="M1348" s="86"/>
      <c r="N1348" s="86"/>
      <c r="O1348" s="86"/>
      <c r="P1348" s="86"/>
      <c r="Q1348" s="86"/>
      <c r="R1348" s="86"/>
      <c r="S1348" s="86"/>
      <c r="T1348" s="86"/>
    </row>
    <row r="1349" spans="12:20" x14ac:dyDescent="0.3">
      <c r="L1349" s="86"/>
      <c r="M1349" s="86"/>
      <c r="N1349" s="86"/>
      <c r="O1349" s="86"/>
      <c r="P1349" s="86"/>
      <c r="Q1349" s="86"/>
      <c r="R1349" s="86"/>
      <c r="S1349" s="86"/>
      <c r="T1349" s="86"/>
    </row>
    <row r="1350" spans="12:20" x14ac:dyDescent="0.3">
      <c r="L1350" s="86"/>
      <c r="M1350" s="86"/>
      <c r="N1350" s="86"/>
      <c r="O1350" s="86"/>
      <c r="P1350" s="86"/>
      <c r="Q1350" s="86"/>
      <c r="R1350" s="86"/>
      <c r="S1350" s="86"/>
      <c r="T1350" s="86"/>
    </row>
    <row r="1351" spans="12:20" x14ac:dyDescent="0.3">
      <c r="L1351" s="86"/>
      <c r="M1351" s="86"/>
      <c r="N1351" s="86"/>
      <c r="O1351" s="86"/>
      <c r="P1351" s="86"/>
      <c r="Q1351" s="86"/>
      <c r="R1351" s="86"/>
      <c r="S1351" s="86"/>
      <c r="T1351" s="86"/>
    </row>
    <row r="1352" spans="12:20" x14ac:dyDescent="0.3">
      <c r="L1352" s="86"/>
      <c r="M1352" s="86"/>
      <c r="N1352" s="86"/>
      <c r="O1352" s="86"/>
      <c r="P1352" s="86"/>
      <c r="Q1352" s="86"/>
      <c r="R1352" s="86"/>
      <c r="S1352" s="86"/>
      <c r="T1352" s="86"/>
    </row>
    <row r="1353" spans="12:20" x14ac:dyDescent="0.3">
      <c r="L1353" s="86"/>
      <c r="M1353" s="86"/>
      <c r="N1353" s="86"/>
      <c r="O1353" s="86"/>
      <c r="P1353" s="86"/>
      <c r="Q1353" s="86"/>
      <c r="R1353" s="86"/>
      <c r="S1353" s="86"/>
      <c r="T1353" s="86"/>
    </row>
    <row r="1354" spans="12:20" x14ac:dyDescent="0.3">
      <c r="L1354" s="86"/>
      <c r="M1354" s="86"/>
      <c r="N1354" s="86"/>
      <c r="O1354" s="86"/>
      <c r="P1354" s="86"/>
      <c r="Q1354" s="86"/>
      <c r="R1354" s="86"/>
      <c r="S1354" s="86"/>
      <c r="T1354" s="86"/>
    </row>
    <row r="1355" spans="12:20" x14ac:dyDescent="0.3">
      <c r="L1355" s="86"/>
      <c r="M1355" s="86"/>
      <c r="N1355" s="86"/>
      <c r="O1355" s="86"/>
      <c r="P1355" s="86"/>
      <c r="Q1355" s="86"/>
      <c r="R1355" s="86"/>
      <c r="S1355" s="86"/>
      <c r="T1355" s="86"/>
    </row>
    <row r="1356" spans="12:20" x14ac:dyDescent="0.3">
      <c r="L1356" s="86"/>
      <c r="M1356" s="86"/>
      <c r="N1356" s="86"/>
      <c r="O1356" s="86"/>
      <c r="P1356" s="86"/>
      <c r="Q1356" s="86"/>
      <c r="R1356" s="86"/>
      <c r="S1356" s="86"/>
      <c r="T1356" s="86"/>
    </row>
    <row r="1357" spans="12:20" x14ac:dyDescent="0.3">
      <c r="L1357" s="86"/>
      <c r="M1357" s="86"/>
      <c r="N1357" s="86"/>
      <c r="O1357" s="86"/>
      <c r="P1357" s="86"/>
      <c r="Q1357" s="86"/>
      <c r="R1357" s="86"/>
      <c r="S1357" s="86"/>
      <c r="T1357" s="86"/>
    </row>
    <row r="1358" spans="12:20" x14ac:dyDescent="0.3">
      <c r="L1358" s="86"/>
      <c r="M1358" s="86"/>
      <c r="N1358" s="86"/>
      <c r="O1358" s="86"/>
      <c r="P1358" s="86"/>
      <c r="Q1358" s="86"/>
      <c r="R1358" s="86"/>
      <c r="S1358" s="86"/>
      <c r="T1358" s="86"/>
    </row>
    <row r="1359" spans="12:20" x14ac:dyDescent="0.3">
      <c r="L1359" s="86"/>
      <c r="M1359" s="86"/>
      <c r="N1359" s="86"/>
      <c r="O1359" s="86"/>
      <c r="P1359" s="86"/>
      <c r="Q1359" s="86"/>
      <c r="R1359" s="86"/>
      <c r="S1359" s="86"/>
      <c r="T1359" s="86"/>
    </row>
    <row r="1360" spans="12:20" x14ac:dyDescent="0.3">
      <c r="L1360" s="86"/>
      <c r="M1360" s="86"/>
      <c r="N1360" s="86"/>
      <c r="O1360" s="86"/>
      <c r="P1360" s="86"/>
      <c r="Q1360" s="86"/>
      <c r="R1360" s="86"/>
      <c r="S1360" s="86"/>
      <c r="T1360" s="86"/>
    </row>
    <row r="1361" spans="12:20" x14ac:dyDescent="0.3">
      <c r="L1361" s="86"/>
      <c r="M1361" s="86"/>
      <c r="N1361" s="86"/>
      <c r="O1361" s="86"/>
      <c r="P1361" s="86"/>
      <c r="Q1361" s="86"/>
      <c r="R1361" s="86"/>
      <c r="S1361" s="86"/>
      <c r="T1361" s="86"/>
    </row>
    <row r="1362" spans="12:20" x14ac:dyDescent="0.3">
      <c r="L1362" s="86"/>
      <c r="M1362" s="86"/>
      <c r="N1362" s="86"/>
      <c r="O1362" s="86"/>
      <c r="P1362" s="86"/>
      <c r="Q1362" s="86"/>
      <c r="R1362" s="86"/>
      <c r="S1362" s="86"/>
      <c r="T1362" s="86"/>
    </row>
    <row r="1363" spans="12:20" x14ac:dyDescent="0.3">
      <c r="L1363" s="86"/>
      <c r="M1363" s="86"/>
      <c r="N1363" s="86"/>
      <c r="O1363" s="86"/>
      <c r="P1363" s="86"/>
      <c r="Q1363" s="86"/>
      <c r="R1363" s="86"/>
      <c r="S1363" s="86"/>
      <c r="T1363" s="86"/>
    </row>
    <row r="1364" spans="12:20" x14ac:dyDescent="0.3">
      <c r="L1364" s="86"/>
      <c r="M1364" s="86"/>
      <c r="N1364" s="86"/>
      <c r="O1364" s="86"/>
      <c r="P1364" s="86"/>
      <c r="Q1364" s="86"/>
      <c r="R1364" s="86"/>
      <c r="S1364" s="86"/>
      <c r="T1364" s="86"/>
    </row>
    <row r="1365" spans="12:20" x14ac:dyDescent="0.3">
      <c r="L1365" s="86"/>
      <c r="M1365" s="86"/>
      <c r="N1365" s="86"/>
      <c r="O1365" s="86"/>
      <c r="P1365" s="86"/>
      <c r="Q1365" s="86"/>
      <c r="R1365" s="86"/>
      <c r="S1365" s="86"/>
      <c r="T1365" s="86"/>
    </row>
    <row r="1366" spans="12:20" x14ac:dyDescent="0.3">
      <c r="L1366" s="86"/>
      <c r="M1366" s="86"/>
      <c r="N1366" s="86"/>
      <c r="O1366" s="86"/>
      <c r="P1366" s="86"/>
      <c r="Q1366" s="86"/>
      <c r="R1366" s="86"/>
      <c r="S1366" s="86"/>
      <c r="T1366" s="86"/>
    </row>
    <row r="1367" spans="12:20" x14ac:dyDescent="0.3">
      <c r="L1367" s="86"/>
      <c r="M1367" s="86"/>
      <c r="N1367" s="86"/>
      <c r="O1367" s="86"/>
      <c r="P1367" s="86"/>
      <c r="Q1367" s="86"/>
      <c r="R1367" s="86"/>
      <c r="S1367" s="86"/>
      <c r="T1367" s="86"/>
    </row>
    <row r="1368" spans="12:20" x14ac:dyDescent="0.3">
      <c r="L1368" s="86"/>
      <c r="M1368" s="86"/>
      <c r="N1368" s="86"/>
      <c r="O1368" s="86"/>
      <c r="P1368" s="86"/>
      <c r="Q1368" s="86"/>
      <c r="R1368" s="86"/>
      <c r="S1368" s="86"/>
      <c r="T1368" s="86"/>
    </row>
    <row r="1369" spans="12:20" x14ac:dyDescent="0.3">
      <c r="L1369" s="86"/>
      <c r="M1369" s="86"/>
      <c r="N1369" s="86"/>
      <c r="O1369" s="86"/>
      <c r="P1369" s="86"/>
      <c r="Q1369" s="86"/>
      <c r="R1369" s="86"/>
      <c r="S1369" s="86"/>
      <c r="T1369" s="86"/>
    </row>
    <row r="1370" spans="12:20" x14ac:dyDescent="0.3">
      <c r="L1370" s="86"/>
      <c r="M1370" s="86"/>
      <c r="N1370" s="86"/>
      <c r="O1370" s="86"/>
      <c r="P1370" s="86"/>
      <c r="Q1370" s="86"/>
      <c r="R1370" s="86"/>
      <c r="S1370" s="86"/>
      <c r="T1370" s="86"/>
    </row>
    <row r="1371" spans="12:20" x14ac:dyDescent="0.3">
      <c r="L1371" s="86"/>
      <c r="M1371" s="86"/>
      <c r="N1371" s="86"/>
      <c r="O1371" s="86"/>
      <c r="P1371" s="86"/>
      <c r="Q1371" s="86"/>
      <c r="R1371" s="86"/>
      <c r="S1371" s="86"/>
      <c r="T1371" s="86"/>
    </row>
    <row r="1372" spans="12:20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</row>
    <row r="1373" spans="12:20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</row>
    <row r="1374" spans="12:20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</row>
    <row r="1375" spans="12:20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</row>
    <row r="1376" spans="12:20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</row>
    <row r="1377" spans="12:20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</row>
    <row r="1378" spans="12:20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</row>
    <row r="1379" spans="12:20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</row>
    <row r="1380" spans="12:20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</row>
    <row r="1381" spans="12:20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</row>
    <row r="1382" spans="12:20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</row>
    <row r="1383" spans="12:20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</row>
    <row r="1384" spans="12:20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</row>
    <row r="1385" spans="12:20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</row>
    <row r="1386" spans="12:20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</row>
    <row r="1387" spans="12:20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</row>
    <row r="1388" spans="12:20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</row>
    <row r="1389" spans="12:20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</row>
    <row r="1390" spans="12:20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</row>
    <row r="1391" spans="12:20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</row>
    <row r="1392" spans="12:20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</row>
    <row r="1393" spans="12:20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</row>
    <row r="1394" spans="12:20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</row>
    <row r="1395" spans="12:20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</row>
    <row r="1396" spans="12:20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</row>
    <row r="1397" spans="12:20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</row>
    <row r="1398" spans="12:20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</row>
    <row r="1399" spans="12:20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</row>
    <row r="1400" spans="12:20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</row>
    <row r="1401" spans="12:20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</row>
    <row r="1402" spans="12:20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</row>
    <row r="1403" spans="12:20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</row>
    <row r="1404" spans="12:20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</row>
    <row r="1405" spans="12:20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</row>
    <row r="1406" spans="12:20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</row>
    <row r="1407" spans="12:20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</row>
    <row r="1408" spans="12:20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</row>
    <row r="1409" spans="12:20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</row>
    <row r="1410" spans="12:20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0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0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0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0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0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0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0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0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0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0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0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0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0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0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7"/>
      <c r="N1442" s="87"/>
      <c r="O1442" s="86"/>
      <c r="P1442" s="89"/>
      <c r="Q1442" s="89"/>
      <c r="R1442" s="89"/>
      <c r="S1442" s="89"/>
      <c r="T1442" s="86"/>
    </row>
    <row r="1443" spans="12:20" x14ac:dyDescent="0.3">
      <c r="L1443" s="86"/>
      <c r="M1443" s="87"/>
      <c r="N1443" s="87"/>
      <c r="O1443" s="89"/>
      <c r="P1443" s="89"/>
      <c r="Q1443" s="89"/>
      <c r="R1443" s="89"/>
      <c r="S1443" s="89"/>
      <c r="T1443" s="86"/>
    </row>
    <row r="1444" spans="12:20" x14ac:dyDescent="0.3">
      <c r="L1444" s="86"/>
      <c r="M1444" s="87"/>
      <c r="N1444" s="87"/>
      <c r="O1444" s="89"/>
      <c r="P1444" s="89"/>
      <c r="Q1444" s="89"/>
      <c r="R1444" s="89"/>
      <c r="S1444" s="89"/>
      <c r="T1444" s="86"/>
    </row>
    <row r="1445" spans="12:20" x14ac:dyDescent="0.3">
      <c r="L1445" s="86"/>
      <c r="M1445" s="87"/>
      <c r="N1445" s="87"/>
      <c r="O1445" s="89"/>
      <c r="P1445" s="89"/>
      <c r="Q1445" s="89"/>
      <c r="R1445" s="89"/>
      <c r="S1445" s="89"/>
      <c r="T1445" s="86"/>
    </row>
    <row r="1446" spans="12:20" x14ac:dyDescent="0.3">
      <c r="L1446" s="86"/>
      <c r="M1446" s="87"/>
      <c r="N1446" s="87"/>
      <c r="O1446" s="89"/>
      <c r="P1446" s="89"/>
      <c r="Q1446" s="89"/>
      <c r="R1446" s="89"/>
      <c r="S1446" s="89"/>
      <c r="T1446" s="86"/>
    </row>
    <row r="1447" spans="12:20" x14ac:dyDescent="0.3">
      <c r="L1447" s="86"/>
      <c r="M1447" s="87"/>
      <c r="N1447" s="87"/>
      <c r="O1447" s="89"/>
      <c r="P1447" s="89"/>
      <c r="Q1447" s="89"/>
      <c r="R1447" s="89"/>
      <c r="S1447" s="89"/>
      <c r="T1447" s="86"/>
    </row>
    <row r="1448" spans="12:20" x14ac:dyDescent="0.3">
      <c r="L1448" s="86"/>
      <c r="M1448" s="87"/>
      <c r="N1448" s="87"/>
      <c r="O1448" s="89"/>
      <c r="P1448" s="89"/>
      <c r="Q1448" s="89"/>
      <c r="R1448" s="89"/>
      <c r="S1448" s="89"/>
      <c r="T1448" s="86"/>
    </row>
    <row r="1449" spans="12:20" x14ac:dyDescent="0.3">
      <c r="L1449" s="86"/>
      <c r="M1449" s="87"/>
      <c r="N1449" s="87"/>
      <c r="O1449" s="89"/>
      <c r="P1449" s="89"/>
      <c r="Q1449" s="89"/>
      <c r="R1449" s="89"/>
      <c r="S1449" s="89"/>
      <c r="T1449" s="86"/>
    </row>
    <row r="1450" spans="12:20" x14ac:dyDescent="0.3">
      <c r="L1450" s="86"/>
      <c r="M1450" s="87"/>
      <c r="N1450" s="87"/>
      <c r="O1450" s="89"/>
      <c r="P1450" s="89"/>
      <c r="Q1450" s="89"/>
      <c r="R1450" s="89"/>
      <c r="S1450" s="89"/>
      <c r="T1450" s="86"/>
    </row>
    <row r="1451" spans="12:20" x14ac:dyDescent="0.3">
      <c r="L1451" s="86"/>
      <c r="M1451" s="87"/>
      <c r="N1451" s="87"/>
      <c r="O1451" s="89"/>
      <c r="P1451" s="89"/>
      <c r="Q1451" s="89"/>
      <c r="R1451" s="89"/>
      <c r="S1451" s="89"/>
      <c r="T1451" s="86"/>
    </row>
    <row r="1452" spans="12:20" x14ac:dyDescent="0.3">
      <c r="L1452" s="86"/>
      <c r="M1452" s="87"/>
      <c r="N1452" s="87"/>
      <c r="O1452" s="89"/>
      <c r="P1452" s="89"/>
      <c r="Q1452" s="89"/>
      <c r="R1452" s="89"/>
      <c r="S1452" s="89"/>
      <c r="T1452" s="86"/>
    </row>
    <row r="1453" spans="12:20" x14ac:dyDescent="0.3">
      <c r="L1453" s="86"/>
      <c r="M1453" s="87"/>
      <c r="N1453" s="87"/>
      <c r="O1453" s="89"/>
      <c r="P1453" s="89"/>
      <c r="Q1453" s="89"/>
      <c r="R1453" s="89"/>
      <c r="S1453" s="89"/>
      <c r="T1453" s="86"/>
    </row>
    <row r="1454" spans="12:20" x14ac:dyDescent="0.3">
      <c r="L1454" s="86"/>
      <c r="M1454" s="87"/>
      <c r="N1454" s="87"/>
      <c r="O1454" s="89"/>
      <c r="P1454" s="89"/>
      <c r="Q1454" s="89"/>
      <c r="R1454" s="89"/>
      <c r="S1454" s="89"/>
      <c r="T1454" s="86"/>
    </row>
    <row r="1455" spans="12:20" x14ac:dyDescent="0.3">
      <c r="L1455" s="86"/>
      <c r="M1455" s="87"/>
      <c r="N1455" s="87"/>
      <c r="O1455" s="89"/>
      <c r="P1455" s="89"/>
      <c r="Q1455" s="89"/>
      <c r="R1455" s="89"/>
      <c r="S1455" s="89"/>
      <c r="T1455" s="86"/>
    </row>
    <row r="1456" spans="12:20" x14ac:dyDescent="0.3">
      <c r="L1456" s="86"/>
      <c r="M1456" s="87"/>
      <c r="N1456" s="87"/>
      <c r="O1456" s="89"/>
      <c r="P1456" s="89"/>
      <c r="Q1456" s="89"/>
      <c r="R1456" s="89"/>
      <c r="S1456" s="89"/>
      <c r="T1456" s="86"/>
    </row>
    <row r="1457" spans="12:20" x14ac:dyDescent="0.3">
      <c r="L1457" s="86"/>
      <c r="M1457" s="87"/>
      <c r="N1457" s="87"/>
      <c r="O1457" s="89"/>
      <c r="P1457" s="89"/>
      <c r="Q1457" s="89"/>
      <c r="R1457" s="89"/>
      <c r="S1457" s="89"/>
      <c r="T1457" s="86"/>
    </row>
    <row r="1458" spans="12:20" x14ac:dyDescent="0.3">
      <c r="L1458" s="86"/>
      <c r="M1458" s="87"/>
      <c r="N1458" s="87"/>
      <c r="O1458" s="89"/>
      <c r="P1458" s="89"/>
      <c r="Q1458" s="89"/>
      <c r="R1458" s="89"/>
      <c r="S1458" s="89"/>
      <c r="T1458" s="86"/>
    </row>
    <row r="1459" spans="12:20" x14ac:dyDescent="0.3">
      <c r="L1459" s="86"/>
      <c r="M1459" s="87"/>
      <c r="N1459" s="87"/>
      <c r="O1459" s="89"/>
      <c r="P1459" s="89"/>
      <c r="Q1459" s="89"/>
      <c r="R1459" s="89"/>
      <c r="S1459" s="89"/>
      <c r="T1459" s="86"/>
    </row>
    <row r="1460" spans="12:20" x14ac:dyDescent="0.3">
      <c r="L1460" s="86"/>
      <c r="M1460" s="87"/>
      <c r="N1460" s="87"/>
      <c r="O1460" s="89"/>
      <c r="P1460" s="89"/>
      <c r="Q1460" s="89"/>
      <c r="R1460" s="89"/>
      <c r="S1460" s="89"/>
      <c r="T1460" s="86"/>
    </row>
    <row r="1461" spans="12:20" x14ac:dyDescent="0.3">
      <c r="L1461" s="86"/>
      <c r="M1461" s="87"/>
      <c r="N1461" s="87"/>
      <c r="O1461" s="89"/>
      <c r="P1461" s="89"/>
      <c r="Q1461" s="89"/>
      <c r="R1461" s="89"/>
      <c r="S1461" s="89"/>
      <c r="T1461" s="86"/>
    </row>
    <row r="1462" spans="12:20" x14ac:dyDescent="0.3">
      <c r="L1462" s="86"/>
      <c r="M1462" s="87"/>
      <c r="N1462" s="87"/>
      <c r="O1462" s="89"/>
      <c r="P1462" s="89"/>
      <c r="Q1462" s="89"/>
      <c r="R1462" s="89"/>
      <c r="S1462" s="89"/>
      <c r="T1462" s="86"/>
    </row>
    <row r="1463" spans="12:20" x14ac:dyDescent="0.3">
      <c r="L1463" s="86"/>
      <c r="M1463" s="87"/>
      <c r="N1463" s="87"/>
      <c r="O1463" s="89"/>
      <c r="P1463" s="89"/>
      <c r="Q1463" s="89"/>
      <c r="R1463" s="89"/>
      <c r="S1463" s="89"/>
      <c r="T1463" s="86"/>
    </row>
    <row r="1464" spans="12:20" x14ac:dyDescent="0.3">
      <c r="L1464" s="86"/>
      <c r="M1464" s="87"/>
      <c r="N1464" s="87"/>
      <c r="O1464" s="89"/>
      <c r="P1464" s="89"/>
      <c r="Q1464" s="89"/>
      <c r="R1464" s="89"/>
      <c r="S1464" s="89"/>
      <c r="T1464" s="86"/>
    </row>
    <row r="1465" spans="12:20" x14ac:dyDescent="0.3">
      <c r="L1465" s="86"/>
      <c r="M1465" s="87"/>
      <c r="N1465" s="87"/>
      <c r="O1465" s="89"/>
      <c r="P1465" s="89"/>
      <c r="Q1465" s="89"/>
      <c r="R1465" s="89"/>
      <c r="S1465" s="89"/>
      <c r="T1465" s="86"/>
    </row>
    <row r="1466" spans="12:20" x14ac:dyDescent="0.3">
      <c r="L1466" s="86"/>
      <c r="M1466" s="87"/>
      <c r="N1466" s="87"/>
      <c r="O1466" s="89"/>
      <c r="P1466" s="89"/>
      <c r="Q1466" s="89"/>
      <c r="R1466" s="89"/>
      <c r="S1466" s="89"/>
      <c r="T1466" s="86"/>
    </row>
    <row r="1467" spans="12:20" x14ac:dyDescent="0.3">
      <c r="L1467" s="86"/>
      <c r="M1467" s="87"/>
      <c r="N1467" s="87"/>
      <c r="O1467" s="89"/>
      <c r="P1467" s="89"/>
      <c r="Q1467" s="89"/>
      <c r="R1467" s="89"/>
      <c r="S1467" s="89"/>
      <c r="T1467" s="86"/>
    </row>
    <row r="1468" spans="12:20" x14ac:dyDescent="0.3">
      <c r="L1468" s="86"/>
      <c r="M1468" s="87"/>
      <c r="N1468" s="87"/>
      <c r="O1468" s="89"/>
      <c r="P1468" s="89"/>
      <c r="Q1468" s="89"/>
      <c r="R1468" s="89"/>
      <c r="S1468" s="89"/>
      <c r="T1468" s="86"/>
    </row>
    <row r="1469" spans="12:20" x14ac:dyDescent="0.3">
      <c r="L1469" s="86"/>
      <c r="M1469" s="87"/>
      <c r="N1469" s="87"/>
      <c r="O1469" s="89"/>
      <c r="P1469" s="89"/>
      <c r="Q1469" s="89"/>
      <c r="R1469" s="89"/>
      <c r="S1469" s="89"/>
      <c r="T1469" s="86"/>
    </row>
    <row r="1470" spans="12:20" x14ac:dyDescent="0.3">
      <c r="L1470" s="86"/>
      <c r="M1470" s="87"/>
      <c r="N1470" s="87"/>
      <c r="O1470" s="89"/>
      <c r="P1470" s="89"/>
      <c r="Q1470" s="89"/>
      <c r="R1470" s="89"/>
      <c r="S1470" s="89"/>
      <c r="T1470" s="86"/>
    </row>
    <row r="1471" spans="12:20" x14ac:dyDescent="0.3">
      <c r="L1471" s="86"/>
      <c r="M1471" s="87"/>
      <c r="N1471" s="87"/>
      <c r="O1471" s="89"/>
      <c r="P1471" s="89"/>
      <c r="Q1471" s="89"/>
      <c r="R1471" s="89"/>
      <c r="S1471" s="89"/>
      <c r="T1471" s="86"/>
    </row>
    <row r="1472" spans="12:20" x14ac:dyDescent="0.3">
      <c r="L1472" s="86"/>
      <c r="M1472" s="87"/>
      <c r="N1472" s="87"/>
      <c r="O1472" s="89"/>
      <c r="P1472" s="89"/>
      <c r="Q1472" s="89"/>
      <c r="R1472" s="89"/>
      <c r="S1472" s="89"/>
      <c r="T1472" s="86"/>
    </row>
    <row r="1473" spans="12:20" x14ac:dyDescent="0.3">
      <c r="L1473" s="86"/>
      <c r="M1473" s="87"/>
      <c r="N1473" s="87"/>
      <c r="O1473" s="89"/>
      <c r="P1473" s="89"/>
      <c r="Q1473" s="89"/>
      <c r="R1473" s="89"/>
      <c r="S1473" s="89"/>
      <c r="T1473" s="86"/>
    </row>
    <row r="1474" spans="12:20" x14ac:dyDescent="0.3">
      <c r="L1474" s="86"/>
      <c r="M1474" s="87"/>
      <c r="N1474" s="87"/>
      <c r="O1474" s="89"/>
      <c r="P1474" s="89"/>
      <c r="Q1474" s="89"/>
      <c r="R1474" s="89"/>
      <c r="S1474" s="89"/>
      <c r="T1474" s="86"/>
    </row>
    <row r="1475" spans="12:20" x14ac:dyDescent="0.3">
      <c r="L1475" s="86"/>
      <c r="M1475" s="87"/>
      <c r="N1475" s="87"/>
      <c r="O1475" s="89"/>
      <c r="P1475" s="89"/>
      <c r="Q1475" s="89"/>
      <c r="R1475" s="89"/>
      <c r="S1475" s="89"/>
      <c r="T1475" s="86"/>
    </row>
    <row r="1476" spans="12:20" x14ac:dyDescent="0.3">
      <c r="L1476" s="86"/>
      <c r="M1476" s="87"/>
      <c r="N1476" s="87"/>
      <c r="O1476" s="89"/>
      <c r="P1476" s="89"/>
      <c r="Q1476" s="89"/>
      <c r="R1476" s="89"/>
      <c r="S1476" s="89"/>
      <c r="T1476" s="86"/>
    </row>
    <row r="1477" spans="12:20" x14ac:dyDescent="0.3">
      <c r="L1477" s="86"/>
      <c r="M1477" s="87"/>
      <c r="N1477" s="87"/>
      <c r="O1477" s="89"/>
      <c r="P1477" s="89"/>
      <c r="Q1477" s="89"/>
      <c r="R1477" s="89"/>
      <c r="S1477" s="89"/>
      <c r="T1477" s="86"/>
    </row>
    <row r="1478" spans="12:20" x14ac:dyDescent="0.3">
      <c r="L1478" s="86"/>
      <c r="M1478" s="87"/>
      <c r="N1478" s="87"/>
      <c r="O1478" s="89"/>
      <c r="P1478" s="89"/>
      <c r="Q1478" s="89"/>
      <c r="R1478" s="89"/>
      <c r="S1478" s="89"/>
      <c r="T1478" s="86"/>
    </row>
    <row r="1479" spans="12:20" x14ac:dyDescent="0.3">
      <c r="L1479" s="86"/>
      <c r="M1479" s="87"/>
      <c r="N1479" s="87"/>
      <c r="O1479" s="89"/>
      <c r="P1479" s="89"/>
      <c r="Q1479" s="89"/>
      <c r="R1479" s="89"/>
      <c r="S1479" s="89"/>
      <c r="T1479" s="86"/>
    </row>
    <row r="1480" spans="12:20" x14ac:dyDescent="0.3">
      <c r="L1480" s="86"/>
      <c r="M1480" s="87"/>
      <c r="N1480" s="87"/>
      <c r="O1480" s="89"/>
      <c r="P1480" s="89"/>
      <c r="Q1480" s="89"/>
      <c r="R1480" s="89"/>
      <c r="S1480" s="89"/>
      <c r="T1480" s="86"/>
    </row>
    <row r="1481" spans="12:20" x14ac:dyDescent="0.3">
      <c r="L1481" s="86"/>
      <c r="M1481" s="87"/>
      <c r="N1481" s="87"/>
      <c r="O1481" s="89"/>
      <c r="P1481" s="89"/>
      <c r="Q1481" s="89"/>
      <c r="R1481" s="89"/>
      <c r="S1481" s="89"/>
      <c r="T1481" s="86"/>
    </row>
    <row r="1482" spans="12:20" x14ac:dyDescent="0.3">
      <c r="L1482" s="86"/>
      <c r="M1482" s="87"/>
      <c r="N1482" s="87"/>
      <c r="O1482" s="89"/>
      <c r="P1482" s="89"/>
      <c r="Q1482" s="89"/>
      <c r="R1482" s="89"/>
      <c r="S1482" s="89"/>
      <c r="T1482" s="86"/>
    </row>
    <row r="1483" spans="12:20" x14ac:dyDescent="0.3">
      <c r="L1483" s="86"/>
      <c r="M1483" s="87"/>
      <c r="N1483" s="87"/>
      <c r="O1483" s="89"/>
      <c r="P1483" s="89"/>
      <c r="Q1483" s="89"/>
      <c r="R1483" s="89"/>
      <c r="S1483" s="89"/>
      <c r="T1483" s="86"/>
    </row>
    <row r="1484" spans="12:20" x14ac:dyDescent="0.3">
      <c r="L1484" s="86"/>
      <c r="M1484" s="87"/>
      <c r="N1484" s="87"/>
      <c r="O1484" s="89"/>
      <c r="P1484" s="89"/>
      <c r="Q1484" s="89"/>
      <c r="R1484" s="89"/>
      <c r="S1484" s="89"/>
      <c r="T1484" s="86"/>
    </row>
    <row r="1485" spans="12:20" x14ac:dyDescent="0.3">
      <c r="L1485" s="86"/>
      <c r="M1485" s="87"/>
      <c r="N1485" s="87"/>
      <c r="O1485" s="89"/>
      <c r="P1485" s="89"/>
      <c r="Q1485" s="89"/>
      <c r="R1485" s="89"/>
      <c r="S1485" s="89"/>
      <c r="T1485" s="86"/>
    </row>
    <row r="1486" spans="12:20" x14ac:dyDescent="0.3">
      <c r="L1486" s="86"/>
      <c r="M1486" s="87"/>
      <c r="N1486" s="87"/>
      <c r="O1486" s="89"/>
      <c r="P1486" s="89"/>
      <c r="Q1486" s="89"/>
      <c r="R1486" s="89"/>
      <c r="S1486" s="89"/>
      <c r="T1486" s="86"/>
    </row>
    <row r="1487" spans="12:20" x14ac:dyDescent="0.3">
      <c r="L1487" s="86"/>
      <c r="M1487" s="87"/>
      <c r="N1487" s="87"/>
      <c r="O1487" s="89"/>
      <c r="P1487" s="89"/>
      <c r="Q1487" s="89"/>
      <c r="R1487" s="89"/>
      <c r="S1487" s="89"/>
      <c r="T1487" s="86"/>
    </row>
    <row r="1488" spans="12:20" x14ac:dyDescent="0.3">
      <c r="L1488" s="86"/>
      <c r="M1488" s="87"/>
      <c r="N1488" s="87"/>
      <c r="O1488" s="89"/>
      <c r="P1488" s="89"/>
      <c r="Q1488" s="89"/>
      <c r="R1488" s="89"/>
      <c r="S1488" s="89"/>
      <c r="T1488" s="86"/>
    </row>
    <row r="1489" spans="12:20" x14ac:dyDescent="0.3">
      <c r="L1489" s="86"/>
      <c r="M1489" s="87"/>
      <c r="N1489" s="87"/>
      <c r="O1489" s="89"/>
      <c r="P1489" s="89"/>
      <c r="Q1489" s="89"/>
      <c r="R1489" s="89"/>
      <c r="S1489" s="89"/>
      <c r="T1489" s="86"/>
    </row>
    <row r="1490" spans="12:20" x14ac:dyDescent="0.3">
      <c r="L1490" s="86"/>
      <c r="M1490" s="87"/>
      <c r="N1490" s="87"/>
      <c r="O1490" s="89"/>
      <c r="P1490" s="89"/>
      <c r="Q1490" s="89"/>
      <c r="R1490" s="89"/>
      <c r="S1490" s="89"/>
      <c r="T1490" s="86"/>
    </row>
    <row r="1491" spans="12:20" x14ac:dyDescent="0.3">
      <c r="L1491" s="86"/>
      <c r="M1491" s="87"/>
      <c r="N1491" s="87"/>
      <c r="O1491" s="89"/>
      <c r="P1491" s="89"/>
      <c r="Q1491" s="89"/>
      <c r="R1491" s="89"/>
      <c r="S1491" s="89"/>
      <c r="T1491" s="86"/>
    </row>
    <row r="1492" spans="12:20" x14ac:dyDescent="0.3">
      <c r="L1492" s="86"/>
      <c r="M1492" s="87"/>
      <c r="N1492" s="87"/>
      <c r="O1492" s="89"/>
      <c r="P1492" s="89"/>
      <c r="Q1492" s="89"/>
      <c r="R1492" s="89"/>
      <c r="S1492" s="89"/>
      <c r="T1492" s="86"/>
    </row>
    <row r="1493" spans="12:20" x14ac:dyDescent="0.3">
      <c r="L1493" s="86"/>
      <c r="M1493" s="87"/>
      <c r="N1493" s="87"/>
      <c r="O1493" s="89"/>
      <c r="P1493" s="89"/>
      <c r="Q1493" s="89"/>
      <c r="R1493" s="89"/>
      <c r="S1493" s="89"/>
      <c r="T1493" s="86"/>
    </row>
    <row r="1494" spans="12:20" x14ac:dyDescent="0.3">
      <c r="L1494" s="86"/>
      <c r="M1494" s="87"/>
      <c r="N1494" s="87"/>
      <c r="O1494" s="89"/>
      <c r="P1494" s="89"/>
      <c r="Q1494" s="89"/>
      <c r="R1494" s="89"/>
      <c r="S1494" s="89"/>
      <c r="T1494" s="86"/>
    </row>
    <row r="1495" spans="12:20" x14ac:dyDescent="0.3">
      <c r="L1495" s="86"/>
      <c r="M1495" s="87"/>
      <c r="N1495" s="87"/>
      <c r="O1495" s="89"/>
      <c r="P1495" s="89"/>
      <c r="Q1495" s="89"/>
      <c r="R1495" s="89"/>
      <c r="S1495" s="89"/>
      <c r="T1495" s="86"/>
    </row>
    <row r="1496" spans="12:20" x14ac:dyDescent="0.3">
      <c r="L1496" s="86"/>
      <c r="M1496" s="87"/>
      <c r="N1496" s="87"/>
      <c r="O1496" s="89"/>
      <c r="P1496" s="89"/>
      <c r="Q1496" s="89"/>
      <c r="R1496" s="89"/>
      <c r="S1496" s="89"/>
      <c r="T1496" s="86"/>
    </row>
    <row r="1497" spans="12:20" x14ac:dyDescent="0.3">
      <c r="L1497" s="86"/>
      <c r="M1497" s="87"/>
      <c r="N1497" s="87"/>
      <c r="O1497" s="89"/>
      <c r="P1497" s="89"/>
      <c r="Q1497" s="89"/>
      <c r="R1497" s="89"/>
      <c r="S1497" s="89"/>
      <c r="T1497" s="86"/>
    </row>
    <row r="1498" spans="12:20" x14ac:dyDescent="0.3">
      <c r="L1498" s="86"/>
      <c r="M1498" s="87"/>
      <c r="N1498" s="87"/>
      <c r="O1498" s="89"/>
      <c r="P1498" s="89"/>
      <c r="Q1498" s="89"/>
      <c r="R1498" s="89"/>
      <c r="S1498" s="89"/>
      <c r="T1498" s="86"/>
    </row>
    <row r="1499" spans="12:20" x14ac:dyDescent="0.3">
      <c r="L1499" s="86"/>
      <c r="M1499" s="87"/>
      <c r="N1499" s="87"/>
      <c r="O1499" s="89"/>
      <c r="P1499" s="89"/>
      <c r="Q1499" s="89"/>
      <c r="R1499" s="89"/>
      <c r="S1499" s="89"/>
      <c r="T1499" s="86"/>
    </row>
    <row r="1500" spans="12:20" x14ac:dyDescent="0.3">
      <c r="L1500" s="86"/>
      <c r="M1500" s="87"/>
      <c r="N1500" s="87"/>
      <c r="O1500" s="89"/>
      <c r="P1500" s="89"/>
      <c r="Q1500" s="89"/>
      <c r="R1500" s="89"/>
      <c r="S1500" s="89"/>
      <c r="T1500" s="86"/>
    </row>
    <row r="1501" spans="12:20" x14ac:dyDescent="0.3">
      <c r="L1501" s="86"/>
      <c r="M1501" s="87"/>
      <c r="N1501" s="87"/>
      <c r="O1501" s="89"/>
      <c r="P1501" s="89"/>
      <c r="Q1501" s="89"/>
      <c r="R1501" s="89"/>
      <c r="S1501" s="89"/>
      <c r="T1501" s="86"/>
    </row>
    <row r="1502" spans="12:20" x14ac:dyDescent="0.3">
      <c r="L1502" s="86"/>
      <c r="M1502" s="87"/>
      <c r="N1502" s="87"/>
      <c r="O1502" s="89"/>
      <c r="P1502" s="89"/>
      <c r="Q1502" s="89"/>
      <c r="R1502" s="89"/>
      <c r="S1502" s="89"/>
      <c r="T1502" s="86"/>
    </row>
    <row r="1503" spans="12:20" x14ac:dyDescent="0.3">
      <c r="L1503" s="86"/>
      <c r="M1503" s="87"/>
      <c r="N1503" s="87"/>
      <c r="O1503" s="89"/>
      <c r="P1503" s="89"/>
      <c r="Q1503" s="89"/>
      <c r="R1503" s="89"/>
      <c r="S1503" s="89"/>
      <c r="T1503" s="86"/>
    </row>
    <row r="1504" spans="12:20" x14ac:dyDescent="0.3">
      <c r="L1504" s="86"/>
      <c r="M1504" s="87"/>
      <c r="N1504" s="87"/>
      <c r="O1504" s="89"/>
      <c r="P1504" s="89"/>
      <c r="Q1504" s="89"/>
      <c r="R1504" s="89"/>
      <c r="S1504" s="89"/>
      <c r="T1504" s="86"/>
    </row>
    <row r="1505" spans="12:20" x14ac:dyDescent="0.3">
      <c r="L1505" s="86"/>
      <c r="M1505" s="87"/>
      <c r="N1505" s="87"/>
      <c r="O1505" s="89"/>
      <c r="P1505" s="89"/>
      <c r="Q1505" s="89"/>
      <c r="R1505" s="89"/>
      <c r="S1505" s="89"/>
      <c r="T1505" s="86"/>
    </row>
    <row r="1506" spans="12:20" x14ac:dyDescent="0.3">
      <c r="L1506" s="86"/>
      <c r="M1506" s="87"/>
      <c r="N1506" s="87"/>
      <c r="O1506" s="89"/>
      <c r="P1506" s="89"/>
      <c r="Q1506" s="89"/>
      <c r="R1506" s="89"/>
      <c r="S1506" s="89"/>
      <c r="T1506" s="86"/>
    </row>
    <row r="1507" spans="12:20" x14ac:dyDescent="0.3">
      <c r="L1507" s="86"/>
      <c r="M1507" s="87"/>
      <c r="N1507" s="87"/>
      <c r="O1507" s="89"/>
      <c r="P1507" s="89"/>
      <c r="Q1507" s="89"/>
      <c r="R1507" s="89"/>
      <c r="S1507" s="89"/>
      <c r="T1507" s="86"/>
    </row>
    <row r="1508" spans="12:20" x14ac:dyDescent="0.3">
      <c r="L1508" s="86"/>
      <c r="M1508" s="87"/>
      <c r="N1508" s="87"/>
      <c r="O1508" s="89"/>
      <c r="P1508" s="89"/>
      <c r="Q1508" s="89"/>
      <c r="R1508" s="89"/>
      <c r="S1508" s="89"/>
      <c r="T1508" s="86"/>
    </row>
    <row r="1509" spans="12:20" x14ac:dyDescent="0.3">
      <c r="L1509" s="86"/>
      <c r="M1509" s="87"/>
      <c r="N1509" s="87"/>
      <c r="O1509" s="89"/>
      <c r="P1509" s="89"/>
      <c r="Q1509" s="89"/>
      <c r="R1509" s="89"/>
      <c r="S1509" s="89"/>
      <c r="T1509" s="86"/>
    </row>
    <row r="1510" spans="12:20" x14ac:dyDescent="0.3">
      <c r="L1510" s="86"/>
      <c r="M1510" s="87"/>
      <c r="N1510" s="87"/>
      <c r="O1510" s="89"/>
      <c r="P1510" s="89"/>
      <c r="Q1510" s="89"/>
      <c r="R1510" s="89"/>
      <c r="S1510" s="89"/>
      <c r="T1510" s="86"/>
    </row>
    <row r="1511" spans="12:20" x14ac:dyDescent="0.3">
      <c r="L1511" s="86"/>
      <c r="M1511" s="87"/>
      <c r="N1511" s="87"/>
      <c r="O1511" s="89"/>
      <c r="P1511" s="89"/>
      <c r="Q1511" s="89"/>
      <c r="R1511" s="89"/>
      <c r="S1511" s="89"/>
      <c r="T1511" s="86"/>
    </row>
    <row r="1512" spans="12:20" x14ac:dyDescent="0.3">
      <c r="L1512" s="86"/>
      <c r="M1512" s="87"/>
      <c r="N1512" s="87"/>
      <c r="O1512" s="89"/>
      <c r="P1512" s="89"/>
      <c r="Q1512" s="89"/>
      <c r="R1512" s="89"/>
      <c r="S1512" s="89"/>
      <c r="T1512" s="86"/>
    </row>
    <row r="1513" spans="12:20" x14ac:dyDescent="0.3">
      <c r="L1513" s="86"/>
      <c r="M1513" s="87"/>
      <c r="N1513" s="87"/>
      <c r="O1513" s="89"/>
      <c r="P1513" s="89"/>
      <c r="Q1513" s="89"/>
      <c r="R1513" s="89"/>
      <c r="S1513" s="89"/>
      <c r="T1513" s="86"/>
    </row>
    <row r="1514" spans="12:20" x14ac:dyDescent="0.3">
      <c r="L1514" s="86"/>
      <c r="M1514" s="87"/>
      <c r="N1514" s="87"/>
      <c r="O1514" s="89"/>
      <c r="P1514" s="89"/>
      <c r="Q1514" s="89"/>
      <c r="R1514" s="89"/>
      <c r="S1514" s="89"/>
      <c r="T1514" s="86"/>
    </row>
    <row r="1515" spans="12:20" x14ac:dyDescent="0.3">
      <c r="L1515" s="86"/>
      <c r="M1515" s="87"/>
      <c r="N1515" s="87"/>
      <c r="O1515" s="89"/>
      <c r="P1515" s="89"/>
      <c r="Q1515" s="89"/>
      <c r="R1515" s="89"/>
      <c r="S1515" s="89"/>
      <c r="T1515" s="86"/>
    </row>
    <row r="1516" spans="12:20" x14ac:dyDescent="0.3">
      <c r="L1516" s="86"/>
      <c r="M1516" s="87"/>
      <c r="N1516" s="87"/>
      <c r="O1516" s="89"/>
      <c r="P1516" s="89"/>
      <c r="Q1516" s="89"/>
      <c r="R1516" s="89"/>
      <c r="S1516" s="89"/>
      <c r="T1516" s="86"/>
    </row>
    <row r="1517" spans="12:20" x14ac:dyDescent="0.3">
      <c r="L1517" s="86"/>
      <c r="M1517" s="87"/>
      <c r="N1517" s="87"/>
      <c r="O1517" s="89"/>
      <c r="P1517" s="89"/>
      <c r="Q1517" s="89"/>
      <c r="R1517" s="89"/>
      <c r="S1517" s="89"/>
      <c r="T1517" s="86"/>
    </row>
    <row r="1518" spans="12:20" x14ac:dyDescent="0.3">
      <c r="L1518" s="86"/>
      <c r="M1518" s="87"/>
      <c r="N1518" s="87"/>
      <c r="O1518" s="89"/>
      <c r="P1518" s="89"/>
      <c r="Q1518" s="89"/>
      <c r="R1518" s="89"/>
      <c r="S1518" s="89"/>
      <c r="T1518" s="86"/>
    </row>
    <row r="1519" spans="12:20" x14ac:dyDescent="0.3">
      <c r="L1519" s="86"/>
      <c r="M1519" s="87"/>
      <c r="N1519" s="87"/>
      <c r="O1519" s="89"/>
      <c r="P1519" s="89"/>
      <c r="Q1519" s="89"/>
      <c r="R1519" s="89"/>
      <c r="S1519" s="89"/>
      <c r="T1519" s="86"/>
    </row>
    <row r="1520" spans="12:20" x14ac:dyDescent="0.3">
      <c r="L1520" s="86"/>
      <c r="M1520" s="87"/>
      <c r="N1520" s="87"/>
      <c r="O1520" s="89"/>
      <c r="P1520" s="89"/>
      <c r="Q1520" s="89"/>
      <c r="R1520" s="89"/>
      <c r="S1520" s="89"/>
      <c r="T1520" s="86"/>
    </row>
    <row r="1521" spans="12:20" x14ac:dyDescent="0.3">
      <c r="L1521" s="86"/>
      <c r="M1521" s="87"/>
      <c r="N1521" s="87"/>
      <c r="O1521" s="89"/>
      <c r="P1521" s="89"/>
      <c r="Q1521" s="89"/>
      <c r="R1521" s="89"/>
      <c r="S1521" s="89"/>
      <c r="T1521" s="86"/>
    </row>
    <row r="1522" spans="12:20" x14ac:dyDescent="0.3">
      <c r="L1522" s="86"/>
      <c r="M1522" s="87"/>
      <c r="N1522" s="87"/>
      <c r="O1522" s="89"/>
      <c r="P1522" s="89"/>
      <c r="Q1522" s="89"/>
      <c r="R1522" s="89"/>
      <c r="S1522" s="89"/>
      <c r="T1522" s="86"/>
    </row>
    <row r="1523" spans="12:20" x14ac:dyDescent="0.3">
      <c r="L1523" s="86"/>
      <c r="M1523" s="87"/>
      <c r="N1523" s="87"/>
      <c r="O1523" s="89"/>
      <c r="P1523" s="89"/>
      <c r="Q1523" s="89"/>
      <c r="R1523" s="89"/>
      <c r="S1523" s="89"/>
      <c r="T1523" s="86"/>
    </row>
    <row r="1524" spans="12:20" x14ac:dyDescent="0.3">
      <c r="L1524" s="86"/>
      <c r="M1524" s="87"/>
      <c r="N1524" s="87"/>
      <c r="O1524" s="89"/>
      <c r="P1524" s="89"/>
      <c r="Q1524" s="89"/>
      <c r="R1524" s="89"/>
      <c r="S1524" s="89"/>
      <c r="T1524" s="86"/>
    </row>
    <row r="1525" spans="12:20" x14ac:dyDescent="0.3">
      <c r="L1525" s="86"/>
      <c r="M1525" s="87"/>
      <c r="N1525" s="87"/>
      <c r="O1525" s="89"/>
      <c r="P1525" s="89"/>
      <c r="Q1525" s="89"/>
      <c r="R1525" s="89"/>
      <c r="S1525" s="89"/>
      <c r="T1525" s="86"/>
    </row>
    <row r="1526" spans="12:20" x14ac:dyDescent="0.3">
      <c r="L1526" s="86"/>
      <c r="M1526" s="87"/>
      <c r="N1526" s="87"/>
      <c r="O1526" s="89"/>
      <c r="P1526" s="89"/>
      <c r="Q1526" s="89"/>
      <c r="R1526" s="89"/>
      <c r="S1526" s="89"/>
      <c r="T1526" s="86"/>
    </row>
    <row r="1527" spans="12:20" x14ac:dyDescent="0.3">
      <c r="L1527" s="86"/>
      <c r="M1527" s="87"/>
      <c r="N1527" s="87"/>
      <c r="O1527" s="89"/>
      <c r="P1527" s="89"/>
      <c r="Q1527" s="89"/>
      <c r="R1527" s="89"/>
      <c r="S1527" s="89"/>
      <c r="T1527" s="86"/>
    </row>
    <row r="1528" spans="12:20" x14ac:dyDescent="0.3">
      <c r="L1528" s="86"/>
      <c r="M1528" s="87"/>
      <c r="N1528" s="87"/>
      <c r="O1528" s="89"/>
      <c r="P1528" s="89"/>
      <c r="Q1528" s="89"/>
      <c r="R1528" s="89"/>
      <c r="S1528" s="89"/>
      <c r="T1528" s="86"/>
    </row>
    <row r="1529" spans="12:20" x14ac:dyDescent="0.3">
      <c r="L1529" s="86"/>
      <c r="M1529" s="87"/>
      <c r="N1529" s="87"/>
      <c r="O1529" s="89"/>
      <c r="P1529" s="89"/>
      <c r="Q1529" s="89"/>
      <c r="R1529" s="89"/>
      <c r="S1529" s="89"/>
      <c r="T1529" s="86"/>
    </row>
    <row r="1530" spans="12:20" x14ac:dyDescent="0.3">
      <c r="L1530" s="86"/>
      <c r="M1530" s="87"/>
      <c r="N1530" s="87"/>
      <c r="O1530" s="89"/>
      <c r="P1530" s="89"/>
      <c r="Q1530" s="89"/>
      <c r="R1530" s="89"/>
      <c r="S1530" s="89"/>
      <c r="T1530" s="86"/>
    </row>
    <row r="1531" spans="12:20" x14ac:dyDescent="0.3">
      <c r="L1531" s="86"/>
      <c r="M1531" s="87"/>
      <c r="N1531" s="87"/>
      <c r="O1531" s="89"/>
      <c r="P1531" s="89"/>
      <c r="Q1531" s="89"/>
      <c r="R1531" s="89"/>
      <c r="S1531" s="89"/>
      <c r="T1531" s="86"/>
    </row>
    <row r="1532" spans="12:20" x14ac:dyDescent="0.3">
      <c r="L1532" s="86"/>
      <c r="M1532" s="87"/>
      <c r="N1532" s="87"/>
      <c r="O1532" s="89"/>
      <c r="P1532" s="89"/>
      <c r="Q1532" s="89"/>
      <c r="R1532" s="89"/>
      <c r="S1532" s="89"/>
      <c r="T1532" s="86"/>
    </row>
    <row r="1533" spans="12:20" x14ac:dyDescent="0.3">
      <c r="L1533" s="86"/>
      <c r="M1533" s="87"/>
      <c r="N1533" s="87"/>
      <c r="O1533" s="89"/>
      <c r="P1533" s="89"/>
      <c r="Q1533" s="89"/>
      <c r="R1533" s="89"/>
      <c r="S1533" s="89"/>
      <c r="T1533" s="86"/>
    </row>
    <row r="1534" spans="12:20" x14ac:dyDescent="0.3">
      <c r="L1534" s="86"/>
      <c r="M1534" s="87"/>
      <c r="N1534" s="87"/>
      <c r="O1534" s="89"/>
      <c r="P1534" s="89"/>
      <c r="Q1534" s="89"/>
      <c r="R1534" s="89"/>
      <c r="S1534" s="89"/>
      <c r="T1534" s="86"/>
    </row>
    <row r="1535" spans="12:20" x14ac:dyDescent="0.3">
      <c r="L1535" s="86"/>
      <c r="M1535" s="87"/>
      <c r="N1535" s="87"/>
      <c r="O1535" s="89"/>
      <c r="P1535" s="89"/>
      <c r="Q1535" s="89"/>
      <c r="R1535" s="89"/>
      <c r="S1535" s="89"/>
      <c r="T1535" s="86"/>
    </row>
    <row r="1536" spans="12:20" x14ac:dyDescent="0.3">
      <c r="L1536" s="86"/>
      <c r="M1536" s="87"/>
      <c r="N1536" s="87"/>
      <c r="O1536" s="89"/>
      <c r="P1536" s="89"/>
      <c r="Q1536" s="89"/>
      <c r="R1536" s="89"/>
      <c r="S1536" s="89"/>
      <c r="T1536" s="86"/>
    </row>
    <row r="1537" spans="12:20" x14ac:dyDescent="0.3">
      <c r="L1537" s="86"/>
      <c r="M1537" s="87"/>
      <c r="N1537" s="87"/>
      <c r="O1537" s="89"/>
      <c r="P1537" s="89"/>
      <c r="Q1537" s="89"/>
      <c r="R1537" s="89"/>
      <c r="S1537" s="89"/>
      <c r="T1537" s="86"/>
    </row>
    <row r="1538" spans="12:20" x14ac:dyDescent="0.3">
      <c r="L1538" s="86"/>
      <c r="M1538" s="87"/>
      <c r="N1538" s="87"/>
      <c r="O1538" s="89"/>
      <c r="P1538" s="89"/>
      <c r="Q1538" s="89"/>
      <c r="R1538" s="89"/>
      <c r="S1538" s="89"/>
      <c r="T1538" s="86"/>
    </row>
    <row r="1539" spans="12:20" x14ac:dyDescent="0.3">
      <c r="L1539" s="86"/>
      <c r="M1539" s="87"/>
      <c r="N1539" s="87"/>
      <c r="O1539" s="89"/>
      <c r="P1539" s="89"/>
      <c r="Q1539" s="89"/>
      <c r="R1539" s="89"/>
      <c r="S1539" s="89"/>
      <c r="T1539" s="86"/>
    </row>
    <row r="1540" spans="12:20" x14ac:dyDescent="0.3">
      <c r="L1540" s="86"/>
      <c r="M1540" s="87"/>
      <c r="N1540" s="87"/>
      <c r="O1540" s="89"/>
      <c r="P1540" s="89"/>
      <c r="Q1540" s="89"/>
      <c r="R1540" s="89"/>
      <c r="S1540" s="89"/>
      <c r="T1540" s="86"/>
    </row>
    <row r="1541" spans="12:20" x14ac:dyDescent="0.3">
      <c r="L1541" s="86"/>
      <c r="M1541" s="87"/>
      <c r="N1541" s="87"/>
      <c r="O1541" s="89"/>
      <c r="P1541" s="89"/>
      <c r="Q1541" s="89"/>
      <c r="R1541" s="89"/>
      <c r="S1541" s="89"/>
      <c r="T1541" s="86"/>
    </row>
    <row r="1542" spans="12:20" x14ac:dyDescent="0.3">
      <c r="L1542" s="86"/>
      <c r="M1542" s="87"/>
      <c r="N1542" s="87"/>
      <c r="O1542" s="89"/>
      <c r="P1542" s="89"/>
      <c r="Q1542" s="89"/>
      <c r="R1542" s="89"/>
      <c r="S1542" s="89"/>
      <c r="T1542" s="86"/>
    </row>
    <row r="1543" spans="12:20" x14ac:dyDescent="0.3">
      <c r="L1543" s="86"/>
      <c r="M1543" s="87"/>
      <c r="N1543" s="87"/>
      <c r="O1543" s="89"/>
      <c r="P1543" s="89"/>
      <c r="Q1543" s="89"/>
      <c r="R1543" s="89"/>
      <c r="S1543" s="89"/>
      <c r="T1543" s="86"/>
    </row>
    <row r="1544" spans="12:20" x14ac:dyDescent="0.3">
      <c r="L1544" s="86"/>
      <c r="M1544" s="87"/>
      <c r="N1544" s="87"/>
      <c r="O1544" s="89"/>
      <c r="P1544" s="89"/>
      <c r="Q1544" s="89"/>
      <c r="R1544" s="89"/>
      <c r="S1544" s="89"/>
      <c r="T1544" s="86"/>
    </row>
    <row r="1545" spans="12:20" x14ac:dyDescent="0.3">
      <c r="L1545" s="86"/>
      <c r="M1545" s="87"/>
      <c r="N1545" s="87"/>
      <c r="O1545" s="89"/>
      <c r="P1545" s="89"/>
      <c r="Q1545" s="89"/>
      <c r="R1545" s="89"/>
      <c r="S1545" s="89"/>
      <c r="T1545" s="86"/>
    </row>
    <row r="1546" spans="12:20" x14ac:dyDescent="0.3">
      <c r="L1546" s="86"/>
      <c r="M1546" s="87"/>
      <c r="N1546" s="87"/>
      <c r="O1546" s="89"/>
      <c r="P1546" s="89"/>
      <c r="Q1546" s="89"/>
      <c r="R1546" s="89"/>
      <c r="S1546" s="89"/>
      <c r="T1546" s="86"/>
    </row>
    <row r="1547" spans="12:20" x14ac:dyDescent="0.3">
      <c r="L1547" s="86"/>
      <c r="M1547" s="87"/>
      <c r="N1547" s="87"/>
      <c r="O1547" s="89"/>
      <c r="P1547" s="89"/>
      <c r="Q1547" s="89"/>
      <c r="R1547" s="89"/>
      <c r="S1547" s="89"/>
      <c r="T1547" s="86"/>
    </row>
    <row r="1548" spans="12:20" x14ac:dyDescent="0.3">
      <c r="L1548" s="86"/>
      <c r="M1548" s="87"/>
      <c r="N1548" s="87"/>
      <c r="O1548" s="89"/>
      <c r="P1548" s="89"/>
      <c r="Q1548" s="89"/>
      <c r="R1548" s="89"/>
      <c r="S1548" s="89"/>
      <c r="T1548" s="86"/>
    </row>
    <row r="1549" spans="12:20" x14ac:dyDescent="0.3">
      <c r="L1549" s="86"/>
      <c r="M1549" s="87"/>
      <c r="N1549" s="87"/>
      <c r="O1549" s="89"/>
      <c r="P1549" s="89"/>
      <c r="Q1549" s="89"/>
      <c r="R1549" s="89"/>
      <c r="S1549" s="89"/>
      <c r="T1549" s="86"/>
    </row>
    <row r="1550" spans="12:20" x14ac:dyDescent="0.3">
      <c r="L1550" s="86"/>
      <c r="M1550" s="87"/>
      <c r="N1550" s="87"/>
      <c r="O1550" s="89"/>
      <c r="P1550" s="89"/>
      <c r="Q1550" s="89"/>
      <c r="R1550" s="89"/>
      <c r="S1550" s="89"/>
      <c r="T1550" s="86"/>
    </row>
    <row r="1551" spans="12:20" x14ac:dyDescent="0.3">
      <c r="L1551" s="86"/>
      <c r="M1551" s="87"/>
      <c r="N1551" s="87"/>
      <c r="O1551" s="89"/>
      <c r="P1551" s="89"/>
      <c r="Q1551" s="89"/>
      <c r="R1551" s="89"/>
      <c r="S1551" s="89"/>
      <c r="T1551" s="86"/>
    </row>
    <row r="1552" spans="12:20" x14ac:dyDescent="0.3">
      <c r="L1552" s="86"/>
      <c r="M1552" s="87"/>
      <c r="N1552" s="87"/>
      <c r="O1552" s="89"/>
      <c r="P1552" s="89"/>
      <c r="Q1552" s="89"/>
      <c r="R1552" s="89"/>
      <c r="S1552" s="89"/>
      <c r="T1552" s="86"/>
    </row>
    <row r="1553" spans="12:20" x14ac:dyDescent="0.3">
      <c r="L1553" s="86"/>
      <c r="M1553" s="87"/>
      <c r="N1553" s="87"/>
      <c r="O1553" s="89"/>
      <c r="P1553" s="89"/>
      <c r="Q1553" s="89"/>
      <c r="R1553" s="89"/>
      <c r="S1553" s="89"/>
      <c r="T1553" s="86"/>
    </row>
    <row r="1554" spans="12:20" x14ac:dyDescent="0.3">
      <c r="L1554" s="86"/>
      <c r="M1554" s="87"/>
      <c r="N1554" s="87"/>
      <c r="O1554" s="89"/>
      <c r="P1554" s="89"/>
      <c r="Q1554" s="89"/>
      <c r="R1554" s="89"/>
      <c r="S1554" s="89"/>
      <c r="T1554" s="86"/>
    </row>
    <row r="1555" spans="12:20" x14ac:dyDescent="0.3">
      <c r="L1555" s="86"/>
      <c r="M1555" s="87"/>
      <c r="N1555" s="87"/>
      <c r="O1555" s="89"/>
      <c r="P1555" s="89"/>
      <c r="Q1555" s="89"/>
      <c r="R1555" s="89"/>
      <c r="S1555" s="89"/>
      <c r="T1555" s="86"/>
    </row>
    <row r="1556" spans="12:20" x14ac:dyDescent="0.3">
      <c r="L1556" s="86"/>
      <c r="M1556" s="87"/>
      <c r="N1556" s="87"/>
      <c r="O1556" s="89"/>
      <c r="P1556" s="89"/>
      <c r="Q1556" s="89"/>
      <c r="R1556" s="89"/>
      <c r="S1556" s="89"/>
      <c r="T1556" s="86"/>
    </row>
    <row r="1557" spans="12:20" x14ac:dyDescent="0.3">
      <c r="L1557" s="86"/>
      <c r="M1557" s="87"/>
      <c r="N1557" s="87"/>
      <c r="O1557" s="89"/>
      <c r="P1557" s="89"/>
      <c r="Q1557" s="89"/>
      <c r="R1557" s="89"/>
      <c r="S1557" s="89"/>
      <c r="T1557" s="86"/>
    </row>
    <row r="1558" spans="12:20" x14ac:dyDescent="0.3">
      <c r="L1558" s="86"/>
      <c r="M1558" s="87"/>
      <c r="N1558" s="87"/>
      <c r="O1558" s="89"/>
      <c r="P1558" s="89"/>
      <c r="Q1558" s="89"/>
      <c r="R1558" s="89"/>
      <c r="S1558" s="89"/>
      <c r="T1558" s="86"/>
    </row>
    <row r="1559" spans="12:20" x14ac:dyDescent="0.3">
      <c r="L1559" s="86"/>
      <c r="M1559" s="87"/>
      <c r="N1559" s="87"/>
      <c r="O1559" s="89"/>
      <c r="P1559" s="89"/>
      <c r="Q1559" s="89"/>
      <c r="R1559" s="89"/>
      <c r="S1559" s="89"/>
      <c r="T1559" s="86"/>
    </row>
    <row r="1560" spans="12:20" x14ac:dyDescent="0.3">
      <c r="L1560" s="86"/>
      <c r="M1560" s="87"/>
      <c r="N1560" s="87"/>
      <c r="O1560" s="89"/>
      <c r="P1560" s="89"/>
      <c r="Q1560" s="89"/>
      <c r="R1560" s="89"/>
      <c r="S1560" s="89"/>
      <c r="T1560" s="86"/>
    </row>
    <row r="1561" spans="12:20" x14ac:dyDescent="0.3">
      <c r="L1561" s="86"/>
      <c r="M1561" s="87"/>
      <c r="N1561" s="87"/>
      <c r="O1561" s="89"/>
      <c r="P1561" s="89"/>
      <c r="Q1561" s="89"/>
      <c r="R1561" s="89"/>
      <c r="S1561" s="89"/>
      <c r="T1561" s="86"/>
    </row>
    <row r="1562" spans="12:20" x14ac:dyDescent="0.3">
      <c r="L1562" s="86"/>
      <c r="M1562" s="87"/>
      <c r="N1562" s="87"/>
      <c r="O1562" s="89"/>
      <c r="P1562" s="89"/>
      <c r="Q1562" s="89"/>
      <c r="R1562" s="89"/>
      <c r="S1562" s="89"/>
      <c r="T1562" s="86"/>
    </row>
    <row r="1563" spans="12:20" x14ac:dyDescent="0.3">
      <c r="L1563" s="86"/>
      <c r="M1563" s="87"/>
      <c r="N1563" s="87"/>
      <c r="O1563" s="89"/>
      <c r="P1563" s="89"/>
      <c r="Q1563" s="89"/>
      <c r="R1563" s="89"/>
      <c r="S1563" s="89"/>
      <c r="T1563" s="86"/>
    </row>
    <row r="1564" spans="12:20" x14ac:dyDescent="0.3">
      <c r="L1564" s="86"/>
      <c r="M1564" s="87"/>
      <c r="N1564" s="87"/>
      <c r="O1564" s="89"/>
      <c r="P1564" s="89"/>
      <c r="Q1564" s="89"/>
      <c r="R1564" s="89"/>
      <c r="S1564" s="89"/>
      <c r="T1564" s="86"/>
    </row>
    <row r="1565" spans="12:20" x14ac:dyDescent="0.3">
      <c r="L1565" s="86"/>
      <c r="M1565" s="87"/>
      <c r="N1565" s="87"/>
      <c r="O1565" s="89"/>
      <c r="P1565" s="89"/>
      <c r="Q1565" s="89"/>
      <c r="R1565" s="89"/>
      <c r="S1565" s="89"/>
      <c r="T1565" s="86"/>
    </row>
    <row r="1566" spans="12:20" x14ac:dyDescent="0.3">
      <c r="L1566" s="86"/>
      <c r="M1566" s="87"/>
      <c r="N1566" s="87"/>
      <c r="O1566" s="89"/>
      <c r="P1566" s="89"/>
      <c r="Q1566" s="89"/>
      <c r="R1566" s="89"/>
      <c r="S1566" s="89"/>
      <c r="T1566" s="86"/>
    </row>
    <row r="1567" spans="12:20" x14ac:dyDescent="0.3">
      <c r="L1567" s="86"/>
      <c r="M1567" s="87"/>
      <c r="N1567" s="87"/>
      <c r="O1567" s="89"/>
      <c r="P1567" s="89"/>
      <c r="Q1567" s="89"/>
      <c r="R1567" s="89"/>
      <c r="S1567" s="89"/>
      <c r="T1567" s="86"/>
    </row>
    <row r="1568" spans="12:20" x14ac:dyDescent="0.3">
      <c r="L1568" s="86"/>
      <c r="M1568" s="87"/>
      <c r="N1568" s="87"/>
      <c r="O1568" s="89"/>
      <c r="P1568" s="89"/>
      <c r="Q1568" s="89"/>
      <c r="R1568" s="89"/>
      <c r="S1568" s="89"/>
      <c r="T1568" s="86"/>
    </row>
    <row r="1569" spans="12:20" x14ac:dyDescent="0.3">
      <c r="L1569" s="86"/>
      <c r="M1569" s="87"/>
      <c r="N1569" s="87"/>
      <c r="O1569" s="89"/>
      <c r="P1569" s="89"/>
      <c r="Q1569" s="89"/>
      <c r="R1569" s="89"/>
      <c r="S1569" s="89"/>
      <c r="T1569" s="86"/>
    </row>
    <row r="1570" spans="12:20" x14ac:dyDescent="0.3">
      <c r="L1570" s="86"/>
      <c r="M1570" s="87"/>
      <c r="N1570" s="87"/>
      <c r="O1570" s="89"/>
      <c r="P1570" s="89"/>
      <c r="Q1570" s="89"/>
      <c r="R1570" s="89"/>
      <c r="S1570" s="89"/>
      <c r="T1570" s="86"/>
    </row>
    <row r="1571" spans="12:20" x14ac:dyDescent="0.3">
      <c r="L1571" s="86"/>
      <c r="M1571" s="87"/>
      <c r="N1571" s="87"/>
      <c r="O1571" s="89"/>
      <c r="P1571" s="89"/>
      <c r="Q1571" s="89"/>
      <c r="R1571" s="89"/>
      <c r="S1571" s="89"/>
      <c r="T1571" s="86"/>
    </row>
    <row r="1572" spans="12:20" x14ac:dyDescent="0.3">
      <c r="L1572" s="86"/>
      <c r="M1572" s="87"/>
      <c r="N1572" s="87"/>
      <c r="O1572" s="89"/>
      <c r="P1572" s="89"/>
      <c r="Q1572" s="89"/>
      <c r="R1572" s="89"/>
      <c r="S1572" s="89"/>
      <c r="T1572" s="86"/>
    </row>
    <row r="1573" spans="12:20" x14ac:dyDescent="0.3">
      <c r="L1573" s="86"/>
      <c r="M1573" s="87"/>
      <c r="N1573" s="87"/>
      <c r="O1573" s="89"/>
      <c r="P1573" s="86"/>
      <c r="Q1573" s="86"/>
      <c r="R1573" s="86"/>
      <c r="S1573" s="86"/>
      <c r="T1573" s="86"/>
    </row>
    <row r="1574" spans="12:20" x14ac:dyDescent="0.3">
      <c r="L1574" s="86"/>
      <c r="M1574" s="87"/>
      <c r="N1574" s="87"/>
      <c r="O1574" s="86"/>
      <c r="P1574" s="86"/>
      <c r="Q1574" s="86"/>
      <c r="R1574" s="86"/>
      <c r="S1574" s="86"/>
      <c r="T1574" s="86"/>
    </row>
    <row r="1575" spans="12:20" x14ac:dyDescent="0.3">
      <c r="L1575" s="86"/>
      <c r="M1575" s="87"/>
      <c r="N1575" s="87"/>
      <c r="O1575" s="86"/>
      <c r="P1575" s="86"/>
      <c r="Q1575" s="86"/>
      <c r="R1575" s="86"/>
      <c r="S1575" s="86"/>
      <c r="T1575" s="86"/>
    </row>
    <row r="1576" spans="12:20" x14ac:dyDescent="0.3">
      <c r="L1576" s="86"/>
      <c r="M1576" s="87"/>
      <c r="N1576" s="87"/>
      <c r="O1576" s="86"/>
      <c r="P1576" s="86"/>
      <c r="Q1576" s="86"/>
      <c r="R1576" s="86"/>
      <c r="S1576" s="86"/>
      <c r="T1576" s="86"/>
    </row>
    <row r="1577" spans="12:20" x14ac:dyDescent="0.3">
      <c r="L1577" s="86"/>
      <c r="M1577" s="87"/>
      <c r="N1577" s="87"/>
      <c r="O1577" s="86"/>
      <c r="P1577" s="86"/>
      <c r="Q1577" s="86"/>
      <c r="R1577" s="86"/>
      <c r="S1577" s="86"/>
      <c r="T1577" s="86"/>
    </row>
    <row r="1578" spans="12:20" x14ac:dyDescent="0.3">
      <c r="L1578" s="86"/>
      <c r="M1578" s="87"/>
      <c r="N1578" s="87"/>
      <c r="O1578" s="86"/>
      <c r="P1578" s="86"/>
      <c r="Q1578" s="86"/>
      <c r="R1578" s="86"/>
      <c r="S1578" s="86"/>
      <c r="T1578" s="86"/>
    </row>
    <row r="1579" spans="12:20" x14ac:dyDescent="0.3">
      <c r="L1579" s="86"/>
      <c r="M1579" s="87"/>
      <c r="N1579" s="87"/>
      <c r="O1579" s="86"/>
      <c r="P1579" s="86"/>
      <c r="Q1579" s="86"/>
      <c r="R1579" s="86"/>
      <c r="S1579" s="86"/>
      <c r="T1579" s="86"/>
    </row>
    <row r="1580" spans="12:20" x14ac:dyDescent="0.3">
      <c r="L1580" s="86"/>
      <c r="M1580" s="87"/>
      <c r="N1580" s="87"/>
      <c r="O1580" s="86"/>
      <c r="P1580" s="86"/>
      <c r="Q1580" s="86"/>
      <c r="R1580" s="86"/>
      <c r="S1580" s="86"/>
      <c r="T1580" s="86"/>
    </row>
    <row r="1581" spans="12:20" x14ac:dyDescent="0.3">
      <c r="L1581" s="86"/>
      <c r="M1581" s="87"/>
      <c r="N1581" s="87"/>
      <c r="O1581" s="86"/>
      <c r="P1581" s="86"/>
      <c r="Q1581" s="86"/>
      <c r="R1581" s="86"/>
      <c r="S1581" s="86"/>
      <c r="T1581" s="86"/>
    </row>
    <row r="1582" spans="12:20" x14ac:dyDescent="0.3">
      <c r="L1582" s="86"/>
      <c r="M1582" s="87"/>
      <c r="N1582" s="87"/>
      <c r="O1582" s="86"/>
      <c r="P1582" s="86"/>
      <c r="Q1582" s="86"/>
      <c r="R1582" s="86"/>
      <c r="S1582" s="86"/>
      <c r="T1582" s="86"/>
    </row>
    <row r="1583" spans="12:20" x14ac:dyDescent="0.3">
      <c r="L1583" s="86"/>
      <c r="M1583" s="87"/>
      <c r="N1583" s="87"/>
      <c r="O1583" s="86"/>
      <c r="P1583" s="86"/>
      <c r="Q1583" s="86"/>
      <c r="R1583" s="86"/>
      <c r="S1583" s="86"/>
      <c r="T1583" s="86"/>
    </row>
    <row r="1584" spans="12:20" x14ac:dyDescent="0.3">
      <c r="L1584" s="86"/>
      <c r="M1584" s="87"/>
      <c r="N1584" s="87"/>
      <c r="O1584" s="86"/>
      <c r="P1584" s="86"/>
      <c r="Q1584" s="86"/>
      <c r="R1584" s="86"/>
      <c r="S1584" s="86"/>
      <c r="T1584" s="86"/>
    </row>
    <row r="1585" spans="12:20" x14ac:dyDescent="0.3">
      <c r="L1585" s="86"/>
      <c r="M1585" s="87"/>
      <c r="N1585" s="87"/>
      <c r="O1585" s="86"/>
      <c r="P1585" s="86"/>
      <c r="Q1585" s="86"/>
      <c r="R1585" s="86"/>
      <c r="S1585" s="86"/>
      <c r="T1585" s="86"/>
    </row>
    <row r="1586" spans="12:20" x14ac:dyDescent="0.3">
      <c r="L1586" s="86"/>
      <c r="M1586" s="87"/>
      <c r="N1586" s="87"/>
      <c r="O1586" s="86"/>
      <c r="P1586" s="86"/>
      <c r="Q1586" s="86"/>
      <c r="R1586" s="86"/>
      <c r="S1586" s="86"/>
      <c r="T1586" s="86"/>
    </row>
    <row r="1587" spans="12:20" x14ac:dyDescent="0.3">
      <c r="L1587" s="86"/>
      <c r="M1587" s="87"/>
      <c r="N1587" s="87"/>
      <c r="O1587" s="86"/>
      <c r="P1587" s="86"/>
      <c r="Q1587" s="86"/>
      <c r="R1587" s="86"/>
      <c r="S1587" s="86"/>
      <c r="T1587" s="86"/>
    </row>
    <row r="1588" spans="12:20" x14ac:dyDescent="0.3">
      <c r="L1588" s="86"/>
      <c r="M1588" s="87"/>
      <c r="N1588" s="87"/>
      <c r="O1588" s="86"/>
      <c r="P1588" s="86"/>
      <c r="Q1588" s="86"/>
      <c r="R1588" s="86"/>
      <c r="S1588" s="86"/>
      <c r="T1588" s="86"/>
    </row>
    <row r="1589" spans="12:20" x14ac:dyDescent="0.3">
      <c r="L1589" s="86"/>
      <c r="M1589" s="87"/>
      <c r="N1589" s="87"/>
      <c r="O1589" s="86"/>
      <c r="P1589" s="86"/>
      <c r="Q1589" s="86"/>
      <c r="R1589" s="86"/>
      <c r="S1589" s="86"/>
      <c r="T1589" s="86"/>
    </row>
    <row r="1590" spans="12:20" x14ac:dyDescent="0.3">
      <c r="L1590" s="86"/>
      <c r="M1590" s="87"/>
      <c r="N1590" s="87"/>
      <c r="O1590" s="86"/>
      <c r="P1590" s="86"/>
      <c r="Q1590" s="86"/>
      <c r="R1590" s="86"/>
      <c r="S1590" s="86"/>
      <c r="T1590" s="86"/>
    </row>
    <row r="1591" spans="12:20" x14ac:dyDescent="0.3">
      <c r="L1591" s="86"/>
      <c r="M1591" s="87"/>
      <c r="N1591" s="87"/>
      <c r="O1591" s="86"/>
      <c r="P1591" s="86"/>
      <c r="Q1591" s="86"/>
      <c r="R1591" s="86"/>
      <c r="S1591" s="86"/>
      <c r="T1591" s="86"/>
    </row>
    <row r="1592" spans="12:20" x14ac:dyDescent="0.3">
      <c r="L1592" s="86"/>
      <c r="M1592" s="87"/>
      <c r="N1592" s="87"/>
      <c r="O1592" s="86"/>
      <c r="P1592" s="86"/>
      <c r="Q1592" s="86"/>
      <c r="R1592" s="86"/>
      <c r="S1592" s="86"/>
      <c r="T1592" s="86"/>
    </row>
    <row r="1593" spans="12:20" x14ac:dyDescent="0.3">
      <c r="L1593" s="86"/>
      <c r="M1593" s="87"/>
      <c r="N1593" s="87"/>
      <c r="O1593" s="86"/>
      <c r="P1593" s="86"/>
      <c r="Q1593" s="86"/>
      <c r="R1593" s="86"/>
      <c r="S1593" s="86"/>
      <c r="T1593" s="86"/>
    </row>
    <row r="1594" spans="12:20" x14ac:dyDescent="0.3">
      <c r="L1594" s="86"/>
      <c r="M1594" s="87"/>
      <c r="N1594" s="87"/>
      <c r="O1594" s="86"/>
      <c r="P1594" s="86"/>
      <c r="Q1594" s="86"/>
      <c r="R1594" s="86"/>
      <c r="S1594" s="86"/>
      <c r="T1594" s="86"/>
    </row>
    <row r="1595" spans="12:20" x14ac:dyDescent="0.3">
      <c r="L1595" s="86"/>
      <c r="M1595" s="87"/>
      <c r="N1595" s="87"/>
      <c r="O1595" s="86"/>
      <c r="P1595" s="86"/>
      <c r="Q1595" s="86"/>
      <c r="R1595" s="86"/>
      <c r="S1595" s="86"/>
      <c r="T1595" s="86"/>
    </row>
    <row r="1596" spans="12:20" x14ac:dyDescent="0.3">
      <c r="L1596" s="86"/>
      <c r="M1596" s="87"/>
      <c r="N1596" s="87"/>
      <c r="O1596" s="86"/>
      <c r="P1596" s="86"/>
      <c r="Q1596" s="86"/>
      <c r="R1596" s="86"/>
      <c r="S1596" s="86"/>
      <c r="T1596" s="86"/>
    </row>
    <row r="1597" spans="12:20" x14ac:dyDescent="0.3">
      <c r="L1597" s="86"/>
      <c r="M1597" s="87"/>
      <c r="N1597" s="87"/>
      <c r="O1597" s="86"/>
      <c r="P1597" s="86"/>
      <c r="Q1597" s="86"/>
      <c r="R1597" s="86"/>
      <c r="S1597" s="86"/>
      <c r="T1597" s="86"/>
    </row>
    <row r="1598" spans="12:20" x14ac:dyDescent="0.3">
      <c r="O1598" s="86"/>
    </row>
  </sheetData>
  <sortState ref="O152:U168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zoomScale="70" zoomScaleNormal="70" workbookViewId="0">
      <selection activeCell="AU13" sqref="AU13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2.554687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41</v>
      </c>
    </row>
    <row r="4" spans="3:54" s="4" customFormat="1" ht="122.4" x14ac:dyDescent="0.3">
      <c r="C4" s="5"/>
      <c r="D4" s="115" t="s">
        <v>42</v>
      </c>
      <c r="E4" s="115" t="s">
        <v>43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5" t="s">
        <v>42</v>
      </c>
      <c r="P4" s="115" t="s">
        <v>43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5" t="s">
        <v>42</v>
      </c>
      <c r="AS4" s="115" t="s">
        <v>43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x14ac:dyDescent="0.3">
      <c r="C5" s="86">
        <v>1</v>
      </c>
      <c r="D5" s="1" t="s">
        <v>62</v>
      </c>
      <c r="E5" s="1" t="s">
        <v>63</v>
      </c>
      <c r="F5" s="118">
        <v>5</v>
      </c>
      <c r="G5" s="118">
        <v>5</v>
      </c>
      <c r="H5" s="118">
        <v>5</v>
      </c>
      <c r="I5" s="118">
        <v>5</v>
      </c>
      <c r="J5" s="118">
        <v>4</v>
      </c>
      <c r="K5" s="86" t="s">
        <v>35</v>
      </c>
      <c r="L5" s="123" t="s">
        <v>74</v>
      </c>
      <c r="M5" s="3"/>
      <c r="N5" s="86">
        <v>1</v>
      </c>
      <c r="O5" s="112"/>
      <c r="P5" s="112"/>
      <c r="Q5" s="120"/>
      <c r="R5" s="120"/>
      <c r="S5" s="120"/>
      <c r="T5" s="120"/>
      <c r="U5" s="120"/>
      <c r="V5" s="86" t="s">
        <v>40</v>
      </c>
      <c r="W5" s="123"/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26" t="s">
        <v>81</v>
      </c>
      <c r="AS5" s="126" t="s">
        <v>82</v>
      </c>
      <c r="AT5" s="118">
        <v>5</v>
      </c>
      <c r="AU5" s="118">
        <v>5</v>
      </c>
      <c r="AV5" s="118">
        <v>5</v>
      </c>
      <c r="AW5" s="118">
        <v>3</v>
      </c>
      <c r="AX5" s="118">
        <v>5</v>
      </c>
      <c r="AY5" s="86" t="s">
        <v>41</v>
      </c>
      <c r="AZ5" s="127" t="s">
        <v>92</v>
      </c>
      <c r="BB5" s="3"/>
    </row>
    <row r="6" spans="3:54" x14ac:dyDescent="0.3">
      <c r="C6" s="86">
        <v>2</v>
      </c>
      <c r="D6" s="1" t="s">
        <v>64</v>
      </c>
      <c r="E6" s="1" t="s">
        <v>65</v>
      </c>
      <c r="F6" s="118">
        <v>5</v>
      </c>
      <c r="G6" s="118">
        <v>5</v>
      </c>
      <c r="H6" s="118">
        <v>5</v>
      </c>
      <c r="I6" s="118">
        <v>5</v>
      </c>
      <c r="J6" s="118">
        <v>5</v>
      </c>
      <c r="K6" s="86" t="s">
        <v>35</v>
      </c>
      <c r="L6" s="123" t="s">
        <v>75</v>
      </c>
      <c r="M6" s="3"/>
      <c r="N6" s="86">
        <v>2</v>
      </c>
      <c r="O6" s="112"/>
      <c r="P6" s="112"/>
      <c r="Q6" s="120"/>
      <c r="R6" s="120"/>
      <c r="S6" s="120"/>
      <c r="T6" s="120"/>
      <c r="U6" s="120"/>
      <c r="V6" s="86" t="s">
        <v>40</v>
      </c>
      <c r="W6" s="123"/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26" t="s">
        <v>83</v>
      </c>
      <c r="AS6" s="126" t="s">
        <v>84</v>
      </c>
      <c r="AT6" s="118">
        <v>5</v>
      </c>
      <c r="AU6" s="118">
        <v>4</v>
      </c>
      <c r="AV6" s="118">
        <v>5</v>
      </c>
      <c r="AW6" s="118">
        <v>5</v>
      </c>
      <c r="AX6" s="118">
        <v>5</v>
      </c>
      <c r="AY6" s="86" t="s">
        <v>41</v>
      </c>
      <c r="AZ6" s="127" t="s">
        <v>93</v>
      </c>
      <c r="BB6" s="3"/>
    </row>
    <row r="7" spans="3:54" x14ac:dyDescent="0.3">
      <c r="C7" s="86">
        <v>3</v>
      </c>
      <c r="D7" s="1" t="s">
        <v>64</v>
      </c>
      <c r="E7" s="1" t="s">
        <v>65</v>
      </c>
      <c r="F7" s="118">
        <v>5</v>
      </c>
      <c r="G7" s="118">
        <v>5</v>
      </c>
      <c r="H7" s="118">
        <v>5</v>
      </c>
      <c r="I7" s="118">
        <v>5</v>
      </c>
      <c r="J7" s="118">
        <v>5</v>
      </c>
      <c r="K7" s="86" t="s">
        <v>35</v>
      </c>
      <c r="L7" s="123" t="s">
        <v>76</v>
      </c>
      <c r="M7" s="3"/>
      <c r="N7" s="86">
        <v>3</v>
      </c>
      <c r="O7" s="112"/>
      <c r="P7" s="112"/>
      <c r="Q7" s="120"/>
      <c r="R7" s="120"/>
      <c r="S7" s="120"/>
      <c r="T7" s="120"/>
      <c r="U7" s="120"/>
      <c r="V7" s="86" t="s">
        <v>40</v>
      </c>
      <c r="W7" s="123"/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26" t="s">
        <v>85</v>
      </c>
      <c r="AS7" s="126" t="s">
        <v>86</v>
      </c>
      <c r="AT7" s="118">
        <v>5</v>
      </c>
      <c r="AU7" s="118">
        <v>5</v>
      </c>
      <c r="AV7" s="118">
        <v>5</v>
      </c>
      <c r="AW7" s="118">
        <v>5</v>
      </c>
      <c r="AX7" s="118">
        <v>5</v>
      </c>
      <c r="AY7" s="86" t="s">
        <v>41</v>
      </c>
      <c r="AZ7" s="127" t="s">
        <v>94</v>
      </c>
      <c r="BB7" s="3"/>
    </row>
    <row r="8" spans="3:54" ht="15.6" x14ac:dyDescent="0.3">
      <c r="C8" s="86">
        <v>4</v>
      </c>
      <c r="D8" s="1" t="s">
        <v>66</v>
      </c>
      <c r="E8" s="1" t="s">
        <v>67</v>
      </c>
      <c r="F8" s="118">
        <v>5</v>
      </c>
      <c r="G8" s="118">
        <v>5</v>
      </c>
      <c r="H8" s="118">
        <v>5</v>
      </c>
      <c r="I8" s="118">
        <v>4</v>
      </c>
      <c r="J8" s="118">
        <v>5</v>
      </c>
      <c r="K8" s="86" t="s">
        <v>35</v>
      </c>
      <c r="L8" s="123" t="s">
        <v>77</v>
      </c>
      <c r="M8" s="3"/>
      <c r="N8" s="86">
        <v>4</v>
      </c>
      <c r="O8" s="112"/>
      <c r="P8" s="112"/>
      <c r="Q8" s="125"/>
      <c r="R8" s="125"/>
      <c r="S8" s="125"/>
      <c r="T8" s="125"/>
      <c r="U8" s="125"/>
      <c r="V8" s="86" t="s">
        <v>40</v>
      </c>
      <c r="W8" s="123"/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26" t="s">
        <v>87</v>
      </c>
      <c r="AS8" s="126" t="s">
        <v>88</v>
      </c>
      <c r="AT8" s="118">
        <v>5</v>
      </c>
      <c r="AU8" s="118">
        <v>5</v>
      </c>
      <c r="AV8" s="118">
        <v>5</v>
      </c>
      <c r="AW8" s="118">
        <v>5</v>
      </c>
      <c r="AX8" s="118">
        <v>5</v>
      </c>
      <c r="AY8" s="86" t="s">
        <v>41</v>
      </c>
      <c r="AZ8" s="127" t="s">
        <v>95</v>
      </c>
      <c r="BB8" s="3"/>
    </row>
    <row r="9" spans="3:54" ht="15.6" x14ac:dyDescent="0.3">
      <c r="C9" s="86">
        <v>5</v>
      </c>
      <c r="D9" s="1" t="s">
        <v>68</v>
      </c>
      <c r="E9" s="1" t="s">
        <v>69</v>
      </c>
      <c r="F9" s="118">
        <v>5</v>
      </c>
      <c r="G9" s="118">
        <v>5</v>
      </c>
      <c r="H9" s="118">
        <v>5</v>
      </c>
      <c r="I9" s="118">
        <v>5</v>
      </c>
      <c r="J9" s="118">
        <v>5</v>
      </c>
      <c r="K9" s="86" t="s">
        <v>35</v>
      </c>
      <c r="L9" s="123" t="s">
        <v>78</v>
      </c>
      <c r="M9" s="3"/>
      <c r="N9" s="86">
        <v>5</v>
      </c>
      <c r="O9" s="112"/>
      <c r="P9" s="112"/>
      <c r="Q9" s="125"/>
      <c r="R9" s="125"/>
      <c r="S9" s="125"/>
      <c r="T9" s="125"/>
      <c r="U9" s="125"/>
      <c r="V9" s="86" t="s">
        <v>40</v>
      </c>
      <c r="W9" s="123"/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26" t="s">
        <v>60</v>
      </c>
      <c r="AS9" s="126" t="s">
        <v>89</v>
      </c>
      <c r="AT9" s="118">
        <v>5</v>
      </c>
      <c r="AU9" s="118">
        <v>5</v>
      </c>
      <c r="AV9" s="118">
        <v>5</v>
      </c>
      <c r="AW9" s="118">
        <v>5</v>
      </c>
      <c r="AX9" s="118">
        <v>5</v>
      </c>
      <c r="AY9" s="86" t="s">
        <v>41</v>
      </c>
      <c r="AZ9" s="127" t="s">
        <v>96</v>
      </c>
      <c r="BB9" s="3"/>
    </row>
    <row r="10" spans="3:54" ht="15.6" x14ac:dyDescent="0.3">
      <c r="C10" s="86">
        <v>6</v>
      </c>
      <c r="D10" s="1" t="s">
        <v>70</v>
      </c>
      <c r="E10" s="1" t="s">
        <v>71</v>
      </c>
      <c r="F10" s="118">
        <v>5</v>
      </c>
      <c r="G10" s="118">
        <v>5</v>
      </c>
      <c r="H10" s="118">
        <v>5</v>
      </c>
      <c r="I10" s="118">
        <v>5</v>
      </c>
      <c r="J10" s="118">
        <v>5</v>
      </c>
      <c r="K10" s="86" t="s">
        <v>35</v>
      </c>
      <c r="L10" s="123" t="s">
        <v>79</v>
      </c>
      <c r="M10" s="3"/>
      <c r="N10" s="86">
        <v>6</v>
      </c>
      <c r="O10" s="112"/>
      <c r="P10" s="112"/>
      <c r="Q10" s="125"/>
      <c r="R10" s="125"/>
      <c r="S10" s="125"/>
      <c r="T10" s="125"/>
      <c r="U10" s="125"/>
      <c r="V10" s="86" t="s">
        <v>40</v>
      </c>
      <c r="W10" s="124"/>
      <c r="X10" s="121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26"/>
      <c r="AS10" s="126"/>
      <c r="AT10" s="118"/>
      <c r="AU10" s="118"/>
      <c r="AV10" s="118"/>
      <c r="AW10" s="118"/>
      <c r="AX10" s="118"/>
      <c r="AY10" s="86"/>
      <c r="AZ10" s="127"/>
      <c r="BB10" s="3"/>
    </row>
    <row r="11" spans="3:54" ht="15.6" x14ac:dyDescent="0.3">
      <c r="C11" s="86">
        <v>7</v>
      </c>
      <c r="D11" s="1" t="s">
        <v>72</v>
      </c>
      <c r="E11" s="1" t="s">
        <v>73</v>
      </c>
      <c r="F11" s="118">
        <v>5</v>
      </c>
      <c r="G11" s="118">
        <v>5</v>
      </c>
      <c r="H11" s="118">
        <v>5</v>
      </c>
      <c r="I11" s="118">
        <v>5</v>
      </c>
      <c r="J11" s="118">
        <v>5</v>
      </c>
      <c r="K11" s="86" t="s">
        <v>35</v>
      </c>
      <c r="L11" s="123" t="s">
        <v>80</v>
      </c>
      <c r="M11" s="3"/>
      <c r="N11" s="86">
        <v>7</v>
      </c>
      <c r="O11" s="112"/>
      <c r="P11" s="112"/>
      <c r="Q11" s="125"/>
      <c r="R11" s="125"/>
      <c r="S11" s="125"/>
      <c r="T11" s="125"/>
      <c r="U11" s="125"/>
      <c r="V11" s="86" t="s">
        <v>40</v>
      </c>
      <c r="W11" s="124"/>
      <c r="X11" s="121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26"/>
      <c r="AS11" s="126"/>
      <c r="AT11" s="118"/>
      <c r="AU11" s="118"/>
      <c r="AV11" s="118"/>
      <c r="AW11" s="118"/>
      <c r="AX11" s="118"/>
      <c r="AY11" s="86"/>
      <c r="AZ11" s="127"/>
      <c r="BB11" s="3"/>
    </row>
    <row r="12" spans="3:54" ht="15.6" x14ac:dyDescent="0.3">
      <c r="C12" s="86">
        <v>8</v>
      </c>
      <c r="D12" s="1"/>
      <c r="E12" s="1"/>
      <c r="F12" s="118"/>
      <c r="G12" s="118"/>
      <c r="H12" s="118"/>
      <c r="I12" s="118"/>
      <c r="J12" s="118"/>
      <c r="K12" s="86"/>
      <c r="L12" s="123"/>
      <c r="M12" s="3"/>
      <c r="N12" s="86">
        <v>8</v>
      </c>
      <c r="O12" s="112"/>
      <c r="P12" s="112"/>
      <c r="Q12" s="125"/>
      <c r="R12" s="125"/>
      <c r="S12" s="125"/>
      <c r="T12" s="125"/>
      <c r="U12" s="125"/>
      <c r="V12" s="86" t="s">
        <v>40</v>
      </c>
      <c r="W12" s="124"/>
      <c r="X12" s="121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26"/>
      <c r="AS12" s="126"/>
      <c r="AT12" s="118"/>
      <c r="AU12" s="118"/>
      <c r="AV12" s="118"/>
      <c r="AW12" s="118"/>
      <c r="AX12" s="118"/>
      <c r="AY12" s="86"/>
      <c r="AZ12" s="127"/>
      <c r="BB12" s="3"/>
    </row>
    <row r="13" spans="3:54" ht="15.6" x14ac:dyDescent="0.3">
      <c r="C13" s="86">
        <v>9</v>
      </c>
      <c r="D13" s="1"/>
      <c r="E13" s="1"/>
      <c r="F13" s="118"/>
      <c r="G13" s="118"/>
      <c r="H13" s="118"/>
      <c r="I13" s="118"/>
      <c r="J13" s="118"/>
      <c r="K13" s="86"/>
      <c r="L13" s="123"/>
      <c r="M13" s="3"/>
      <c r="N13" s="86">
        <v>9</v>
      </c>
      <c r="O13" s="112"/>
      <c r="P13" s="112"/>
      <c r="Q13" s="125"/>
      <c r="R13" s="125"/>
      <c r="S13" s="125"/>
      <c r="T13" s="125"/>
      <c r="U13" s="125"/>
      <c r="V13" s="86" t="s">
        <v>40</v>
      </c>
      <c r="W13" s="124"/>
      <c r="X13" s="121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26"/>
      <c r="AS13" s="126"/>
      <c r="AT13" s="118"/>
      <c r="AU13" s="118"/>
      <c r="AV13" s="118"/>
      <c r="AW13" s="118"/>
      <c r="AX13" s="118"/>
      <c r="AY13" s="86"/>
      <c r="AZ13" s="127"/>
      <c r="BB13" s="3"/>
    </row>
    <row r="14" spans="3:54" ht="15.6" x14ac:dyDescent="0.3">
      <c r="C14" s="86">
        <v>10</v>
      </c>
      <c r="D14" s="1"/>
      <c r="E14" s="1"/>
      <c r="F14" s="118"/>
      <c r="G14" s="118"/>
      <c r="H14" s="118"/>
      <c r="I14" s="118"/>
      <c r="J14" s="118"/>
      <c r="K14" s="86"/>
      <c r="L14" s="123"/>
      <c r="M14" s="3"/>
      <c r="N14" s="86">
        <v>10</v>
      </c>
      <c r="O14" s="112"/>
      <c r="P14" s="112"/>
      <c r="Q14" s="125"/>
      <c r="R14" s="125"/>
      <c r="S14" s="125"/>
      <c r="T14" s="125"/>
      <c r="U14" s="125"/>
      <c r="V14" s="86" t="s">
        <v>40</v>
      </c>
      <c r="W14" s="124"/>
      <c r="X14" s="121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26"/>
      <c r="AS14" s="126"/>
      <c r="AT14" s="118"/>
      <c r="AU14" s="118"/>
      <c r="AV14" s="118"/>
      <c r="AW14" s="118"/>
      <c r="AX14" s="118"/>
      <c r="AY14" s="86"/>
      <c r="AZ14" s="127"/>
      <c r="BB14" s="3"/>
    </row>
    <row r="15" spans="3:54" ht="15.6" x14ac:dyDescent="0.3">
      <c r="C15" s="86">
        <v>11</v>
      </c>
      <c r="D15" s="1"/>
      <c r="E15" s="1"/>
      <c r="F15" s="118"/>
      <c r="G15" s="118"/>
      <c r="H15" s="118"/>
      <c r="I15" s="118"/>
      <c r="J15" s="118"/>
      <c r="K15" s="86"/>
      <c r="L15" s="123"/>
      <c r="M15" s="3"/>
      <c r="N15" s="86">
        <v>11</v>
      </c>
      <c r="O15" s="112"/>
      <c r="P15" s="112"/>
      <c r="Q15" s="125"/>
      <c r="R15" s="125"/>
      <c r="S15" s="125"/>
      <c r="T15" s="125"/>
      <c r="U15" s="125"/>
      <c r="V15" s="86" t="s">
        <v>40</v>
      </c>
      <c r="W15" s="124"/>
      <c r="X15" s="121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26"/>
      <c r="AS15" s="126"/>
      <c r="AT15" s="118"/>
      <c r="AU15" s="118"/>
      <c r="AV15" s="118"/>
      <c r="AW15" s="118"/>
      <c r="AX15" s="118"/>
      <c r="AY15" s="86"/>
      <c r="AZ15" s="127"/>
      <c r="BB15" s="3"/>
    </row>
    <row r="16" spans="3:54" ht="15.6" x14ac:dyDescent="0.3">
      <c r="C16" s="86">
        <v>12</v>
      </c>
      <c r="D16" s="1"/>
      <c r="E16" s="1"/>
      <c r="F16" s="118"/>
      <c r="G16" s="118"/>
      <c r="H16" s="118"/>
      <c r="I16" s="118"/>
      <c r="J16" s="118"/>
      <c r="K16" s="86"/>
      <c r="L16" s="123"/>
      <c r="M16" s="3"/>
      <c r="N16" s="86">
        <v>12</v>
      </c>
      <c r="O16" s="112"/>
      <c r="P16" s="112"/>
      <c r="Q16" s="125"/>
      <c r="R16" s="125"/>
      <c r="S16" s="125"/>
      <c r="T16" s="125"/>
      <c r="U16" s="125"/>
      <c r="V16" s="86" t="s">
        <v>40</v>
      </c>
      <c r="W16" s="124"/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26"/>
      <c r="AS16" s="126"/>
      <c r="AT16" s="118"/>
      <c r="AU16" s="118"/>
      <c r="AV16" s="118"/>
      <c r="AW16" s="118"/>
      <c r="AX16" s="118"/>
      <c r="AY16" s="86"/>
      <c r="AZ16" s="127"/>
      <c r="BB16" s="3"/>
    </row>
    <row r="17" spans="3:54" ht="15.6" x14ac:dyDescent="0.3">
      <c r="C17" s="86">
        <v>13</v>
      </c>
      <c r="D17" s="1"/>
      <c r="E17" s="1"/>
      <c r="F17" s="118"/>
      <c r="G17" s="118"/>
      <c r="H17" s="118"/>
      <c r="I17" s="118"/>
      <c r="J17" s="118"/>
      <c r="K17" s="86"/>
      <c r="L17" s="123"/>
      <c r="M17" s="3"/>
      <c r="N17" s="86">
        <v>13</v>
      </c>
      <c r="O17" s="112"/>
      <c r="P17" s="112"/>
      <c r="Q17" s="125"/>
      <c r="R17" s="125"/>
      <c r="S17" s="125"/>
      <c r="T17" s="125"/>
      <c r="U17" s="125"/>
      <c r="V17" s="86" t="s">
        <v>40</v>
      </c>
      <c r="W17" s="124"/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26"/>
      <c r="AS17" s="126"/>
      <c r="AT17" s="118"/>
      <c r="AU17" s="118"/>
      <c r="AV17" s="118"/>
      <c r="AW17" s="118"/>
      <c r="AX17" s="118"/>
      <c r="AY17" s="86"/>
      <c r="AZ17" s="127"/>
      <c r="BB17" s="3"/>
    </row>
    <row r="18" spans="3:54" ht="15.6" x14ac:dyDescent="0.3">
      <c r="C18" s="86">
        <v>14</v>
      </c>
      <c r="D18" s="1"/>
      <c r="E18" s="1"/>
      <c r="F18" s="118"/>
      <c r="G18" s="118"/>
      <c r="H18" s="118"/>
      <c r="I18" s="118"/>
      <c r="J18" s="118"/>
      <c r="K18" s="86"/>
      <c r="L18" s="123"/>
      <c r="M18" s="3"/>
      <c r="N18" s="86">
        <v>14</v>
      </c>
      <c r="O18" s="112"/>
      <c r="P18" s="112"/>
      <c r="Q18" s="125"/>
      <c r="R18" s="125"/>
      <c r="S18" s="125"/>
      <c r="T18" s="125"/>
      <c r="U18" s="125"/>
      <c r="V18" s="86" t="s">
        <v>40</v>
      </c>
      <c r="W18" s="124"/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26"/>
      <c r="AS18" s="126"/>
      <c r="AT18" s="118"/>
      <c r="AU18" s="118"/>
      <c r="AV18" s="118"/>
      <c r="AW18" s="118"/>
      <c r="AX18" s="118"/>
      <c r="AY18" s="86"/>
      <c r="AZ18" s="127"/>
      <c r="BB18" s="3"/>
    </row>
    <row r="19" spans="3:54" ht="15.6" x14ac:dyDescent="0.3">
      <c r="C19" s="86">
        <v>15</v>
      </c>
      <c r="D19" s="1"/>
      <c r="E19" s="1"/>
      <c r="F19" s="118"/>
      <c r="G19" s="118"/>
      <c r="H19" s="118"/>
      <c r="I19" s="118"/>
      <c r="J19" s="118"/>
      <c r="K19" s="86"/>
      <c r="L19" s="123"/>
      <c r="M19" s="3"/>
      <c r="N19" s="86">
        <v>15</v>
      </c>
      <c r="O19" s="112"/>
      <c r="P19" s="112"/>
      <c r="Q19" s="125"/>
      <c r="R19" s="125"/>
      <c r="S19" s="125"/>
      <c r="T19" s="125"/>
      <c r="U19" s="125"/>
      <c r="V19" s="86" t="s">
        <v>40</v>
      </c>
      <c r="W19" s="124"/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26"/>
      <c r="AS19" s="126"/>
      <c r="AT19" s="118"/>
      <c r="AU19" s="118"/>
      <c r="AV19" s="118"/>
      <c r="AW19" s="118"/>
      <c r="AX19" s="118"/>
      <c r="AY19" s="86"/>
      <c r="AZ19" s="127"/>
      <c r="BB19" s="3"/>
    </row>
    <row r="20" spans="3:54" ht="15.6" x14ac:dyDescent="0.3">
      <c r="C20" s="86">
        <v>16</v>
      </c>
      <c r="D20" s="1"/>
      <c r="E20" s="1"/>
      <c r="F20" s="118"/>
      <c r="G20" s="118"/>
      <c r="H20" s="118"/>
      <c r="I20" s="118"/>
      <c r="J20" s="118"/>
      <c r="K20" s="86"/>
      <c r="L20" s="123"/>
      <c r="M20" s="3"/>
      <c r="N20" s="86">
        <v>16</v>
      </c>
      <c r="O20" s="112"/>
      <c r="P20" s="112"/>
      <c r="Q20" s="125"/>
      <c r="R20" s="125"/>
      <c r="S20" s="125"/>
      <c r="T20" s="125"/>
      <c r="U20" s="125"/>
      <c r="V20" s="86" t="s">
        <v>40</v>
      </c>
      <c r="W20" s="124"/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26"/>
      <c r="AS20" s="126"/>
      <c r="AT20" s="118"/>
      <c r="AU20" s="118"/>
      <c r="AV20" s="118"/>
      <c r="AW20" s="118"/>
      <c r="AX20" s="118"/>
      <c r="AY20" s="86"/>
      <c r="AZ20" s="127"/>
      <c r="BB20" s="3"/>
    </row>
    <row r="21" spans="3:54" ht="15.6" x14ac:dyDescent="0.3">
      <c r="C21" s="86">
        <v>17</v>
      </c>
      <c r="D21" s="1"/>
      <c r="E21" s="1"/>
      <c r="F21" s="118"/>
      <c r="G21" s="118"/>
      <c r="H21" s="118"/>
      <c r="I21" s="118"/>
      <c r="J21" s="118"/>
      <c r="K21" s="86"/>
      <c r="L21" s="123"/>
      <c r="M21" s="3"/>
      <c r="N21" s="86">
        <v>17</v>
      </c>
      <c r="O21" s="112"/>
      <c r="P21" s="112"/>
      <c r="Q21" s="125"/>
      <c r="R21" s="125"/>
      <c r="S21" s="125"/>
      <c r="T21" s="125"/>
      <c r="U21" s="125"/>
      <c r="V21" s="86" t="s">
        <v>40</v>
      </c>
      <c r="W21" s="124"/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26"/>
      <c r="AS21" s="126"/>
      <c r="AT21" s="118"/>
      <c r="AU21" s="118"/>
      <c r="AV21" s="118"/>
      <c r="AW21" s="118"/>
      <c r="AX21" s="118"/>
      <c r="AY21" s="86"/>
      <c r="AZ21" s="127"/>
      <c r="BB21" s="3"/>
    </row>
    <row r="22" spans="3:54" ht="15.6" x14ac:dyDescent="0.3">
      <c r="C22" s="86">
        <v>18</v>
      </c>
      <c r="D22" s="1"/>
      <c r="E22" s="1"/>
      <c r="F22" s="118"/>
      <c r="G22" s="118"/>
      <c r="H22" s="118"/>
      <c r="I22" s="118"/>
      <c r="J22" s="118"/>
      <c r="K22" s="86"/>
      <c r="L22" s="123"/>
      <c r="M22" s="3"/>
      <c r="N22" s="86">
        <v>18</v>
      </c>
      <c r="O22" s="112"/>
      <c r="P22" s="112"/>
      <c r="Q22" s="125"/>
      <c r="R22" s="125"/>
      <c r="S22" s="125"/>
      <c r="T22" s="125"/>
      <c r="U22" s="125"/>
      <c r="V22" s="86" t="s">
        <v>40</v>
      </c>
      <c r="W22" s="124"/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26"/>
      <c r="AS22" s="126"/>
      <c r="AT22" s="118"/>
      <c r="AU22" s="118"/>
      <c r="AV22" s="118"/>
      <c r="AW22" s="118"/>
      <c r="AX22" s="118"/>
      <c r="AY22" s="86"/>
      <c r="AZ22" s="127"/>
      <c r="BB22" s="3"/>
    </row>
    <row r="23" spans="3:54" ht="15.6" x14ac:dyDescent="0.3">
      <c r="C23" s="86">
        <v>19</v>
      </c>
      <c r="D23" s="1"/>
      <c r="E23" s="1"/>
      <c r="F23" s="118"/>
      <c r="G23" s="118"/>
      <c r="H23" s="118"/>
      <c r="I23" s="118"/>
      <c r="J23" s="118"/>
      <c r="K23" s="86"/>
      <c r="L23" s="123"/>
      <c r="M23" s="3"/>
      <c r="N23" s="86">
        <v>19</v>
      </c>
      <c r="O23" s="112"/>
      <c r="P23" s="112"/>
      <c r="Q23" s="125"/>
      <c r="R23" s="125"/>
      <c r="S23" s="125"/>
      <c r="T23" s="125"/>
      <c r="U23" s="125"/>
      <c r="V23" s="86" t="s">
        <v>40</v>
      </c>
      <c r="W23" s="124"/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26"/>
      <c r="AS23" s="126"/>
      <c r="AT23" s="118"/>
      <c r="AU23" s="118"/>
      <c r="AV23" s="118"/>
      <c r="AW23" s="118"/>
      <c r="AX23" s="118"/>
      <c r="AY23" s="86"/>
      <c r="AZ23" s="127"/>
      <c r="BB23" s="3"/>
    </row>
    <row r="24" spans="3:54" ht="15.6" x14ac:dyDescent="0.3">
      <c r="C24" s="86">
        <v>20</v>
      </c>
      <c r="D24" s="1"/>
      <c r="E24" s="1"/>
      <c r="F24" s="118"/>
      <c r="G24" s="118"/>
      <c r="H24" s="118"/>
      <c r="I24" s="118"/>
      <c r="J24" s="118"/>
      <c r="K24" s="86"/>
      <c r="L24" s="123"/>
      <c r="M24" s="3"/>
      <c r="N24" s="86">
        <v>20</v>
      </c>
      <c r="O24" s="112"/>
      <c r="P24" s="112"/>
      <c r="Q24" s="125"/>
      <c r="R24" s="125"/>
      <c r="S24" s="125"/>
      <c r="T24" s="125"/>
      <c r="U24" s="125"/>
      <c r="V24" s="86" t="s">
        <v>40</v>
      </c>
      <c r="W24" s="124"/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26"/>
      <c r="AS24" s="126"/>
      <c r="AT24" s="118"/>
      <c r="AU24" s="118"/>
      <c r="AV24" s="118"/>
      <c r="AW24" s="118"/>
      <c r="AX24" s="118"/>
      <c r="AY24" s="86"/>
      <c r="AZ24" s="127"/>
      <c r="BB24" s="3"/>
    </row>
    <row r="25" spans="3:54" ht="15.6" x14ac:dyDescent="0.3">
      <c r="C25" s="86">
        <v>21</v>
      </c>
      <c r="D25" s="1"/>
      <c r="E25" s="1"/>
      <c r="F25" s="118"/>
      <c r="G25" s="118"/>
      <c r="H25" s="118"/>
      <c r="I25" s="118"/>
      <c r="J25" s="118"/>
      <c r="K25" s="86"/>
      <c r="L25" s="123"/>
      <c r="M25" s="3"/>
      <c r="N25" s="86">
        <v>21</v>
      </c>
      <c r="O25" s="112"/>
      <c r="P25" s="112"/>
      <c r="Q25" s="125"/>
      <c r="R25" s="125"/>
      <c r="S25" s="125"/>
      <c r="T25" s="125"/>
      <c r="U25" s="125"/>
      <c r="V25" s="86" t="s">
        <v>40</v>
      </c>
      <c r="W25" s="124"/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26"/>
      <c r="AS25" s="126"/>
      <c r="AT25" s="118"/>
      <c r="AU25" s="118"/>
      <c r="AV25" s="118"/>
      <c r="AW25" s="118"/>
      <c r="AX25" s="118"/>
      <c r="AY25" s="86"/>
      <c r="AZ25" s="127"/>
      <c r="BA25" s="83"/>
      <c r="BB25" s="3"/>
    </row>
    <row r="26" spans="3:54" ht="15.6" x14ac:dyDescent="0.3">
      <c r="C26" s="86">
        <v>22</v>
      </c>
      <c r="D26" s="1"/>
      <c r="E26" s="1"/>
      <c r="F26" s="118"/>
      <c r="G26" s="118"/>
      <c r="H26" s="118"/>
      <c r="I26" s="118"/>
      <c r="J26" s="118"/>
      <c r="K26" s="86"/>
      <c r="L26" s="123"/>
      <c r="M26" s="3"/>
      <c r="N26" s="86">
        <v>22</v>
      </c>
      <c r="O26" s="112"/>
      <c r="P26" s="112"/>
      <c r="Q26" s="125"/>
      <c r="R26" s="125"/>
      <c r="S26" s="125"/>
      <c r="T26" s="125"/>
      <c r="U26" s="125"/>
      <c r="V26" s="86" t="s">
        <v>40</v>
      </c>
      <c r="W26" s="124"/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26"/>
      <c r="AS26" s="126"/>
      <c r="AT26" s="118"/>
      <c r="AU26" s="118"/>
      <c r="AV26" s="118"/>
      <c r="AW26" s="118"/>
      <c r="AX26" s="118"/>
      <c r="AY26" s="86"/>
      <c r="AZ26" s="127"/>
      <c r="BB26" s="3"/>
    </row>
    <row r="27" spans="3:54" ht="15.6" x14ac:dyDescent="0.3">
      <c r="C27" s="86">
        <v>23</v>
      </c>
      <c r="D27" s="1"/>
      <c r="E27" s="1"/>
      <c r="F27" s="118"/>
      <c r="G27" s="118"/>
      <c r="H27" s="118"/>
      <c r="I27" s="118"/>
      <c r="J27" s="118"/>
      <c r="K27" s="86"/>
      <c r="L27" s="123"/>
      <c r="M27" s="3"/>
      <c r="N27" s="86">
        <v>23</v>
      </c>
      <c r="O27" s="112"/>
      <c r="P27" s="112"/>
      <c r="Q27" s="125"/>
      <c r="R27" s="125"/>
      <c r="S27" s="125"/>
      <c r="T27" s="125"/>
      <c r="U27" s="125"/>
      <c r="V27" s="86" t="s">
        <v>40</v>
      </c>
      <c r="W27" s="124"/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26"/>
      <c r="AS27" s="126"/>
      <c r="AT27" s="118"/>
      <c r="AU27" s="118"/>
      <c r="AV27" s="118"/>
      <c r="AW27" s="118"/>
      <c r="AX27" s="118"/>
      <c r="AY27" s="86"/>
      <c r="AZ27" s="127"/>
      <c r="BB27" s="3"/>
    </row>
    <row r="28" spans="3:54" ht="15.6" x14ac:dyDescent="0.3">
      <c r="C28" s="86">
        <v>24</v>
      </c>
      <c r="D28" s="1"/>
      <c r="E28" s="1"/>
      <c r="F28" s="120"/>
      <c r="G28" s="120"/>
      <c r="H28" s="120"/>
      <c r="I28" s="120"/>
      <c r="J28" s="120"/>
      <c r="K28" s="86"/>
      <c r="L28" s="123"/>
      <c r="M28" s="3"/>
      <c r="N28" s="86">
        <v>24</v>
      </c>
      <c r="O28" s="112"/>
      <c r="P28" s="112"/>
      <c r="Q28" s="125"/>
      <c r="R28" s="125"/>
      <c r="S28" s="125"/>
      <c r="T28" s="125"/>
      <c r="U28" s="125"/>
      <c r="V28" s="86" t="s">
        <v>40</v>
      </c>
      <c r="W28" s="124"/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26"/>
      <c r="AS28" s="126"/>
      <c r="AT28" s="118"/>
      <c r="AU28" s="118"/>
      <c r="AV28" s="118"/>
      <c r="AW28" s="118"/>
      <c r="AX28" s="118"/>
      <c r="AY28" s="86"/>
      <c r="AZ28" s="127"/>
      <c r="BB28" s="3"/>
    </row>
    <row r="29" spans="3:54" ht="15.6" x14ac:dyDescent="0.3">
      <c r="C29" s="86">
        <v>25</v>
      </c>
      <c r="D29" s="1"/>
      <c r="E29" s="1"/>
      <c r="F29" s="120"/>
      <c r="G29" s="120"/>
      <c r="H29" s="120"/>
      <c r="I29" s="120"/>
      <c r="J29" s="120"/>
      <c r="K29" s="86"/>
      <c r="L29" s="123"/>
      <c r="M29" s="3"/>
      <c r="N29" s="86">
        <v>25</v>
      </c>
      <c r="O29" s="112"/>
      <c r="P29" s="112"/>
      <c r="Q29" s="125"/>
      <c r="R29" s="125"/>
      <c r="S29" s="125"/>
      <c r="T29" s="125"/>
      <c r="U29" s="125"/>
      <c r="V29" s="86" t="s">
        <v>40</v>
      </c>
      <c r="W29" s="124"/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26"/>
      <c r="AS29" s="126"/>
      <c r="AT29" s="118"/>
      <c r="AU29" s="118"/>
      <c r="AV29" s="118"/>
      <c r="AW29" s="118"/>
      <c r="AX29" s="118"/>
      <c r="AY29" s="86"/>
      <c r="AZ29" s="127"/>
      <c r="BB29" s="3"/>
    </row>
    <row r="30" spans="3:54" ht="15.6" x14ac:dyDescent="0.3">
      <c r="C30" s="86">
        <v>26</v>
      </c>
      <c r="D30" s="1"/>
      <c r="E30" s="1"/>
      <c r="F30" s="120"/>
      <c r="G30" s="120"/>
      <c r="H30" s="120"/>
      <c r="I30" s="120"/>
      <c r="J30" s="120"/>
      <c r="K30" s="86"/>
      <c r="L30" s="123"/>
      <c r="M30" s="3"/>
      <c r="N30" s="86">
        <v>26</v>
      </c>
      <c r="O30" s="112"/>
      <c r="P30" s="112"/>
      <c r="Q30" s="125"/>
      <c r="R30" s="125"/>
      <c r="S30" s="125"/>
      <c r="T30" s="125"/>
      <c r="U30" s="125"/>
      <c r="V30" s="86" t="s">
        <v>40</v>
      </c>
      <c r="W30" s="124"/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26"/>
      <c r="AS30" s="126"/>
      <c r="AT30" s="118"/>
      <c r="AU30" s="118"/>
      <c r="AV30" s="118"/>
      <c r="AW30" s="118"/>
      <c r="AX30" s="118"/>
      <c r="AY30" s="86"/>
      <c r="AZ30" s="127"/>
      <c r="BB30" s="3"/>
    </row>
    <row r="31" spans="3:54" ht="15.6" x14ac:dyDescent="0.3">
      <c r="C31" s="86">
        <v>27</v>
      </c>
      <c r="D31" s="1"/>
      <c r="E31" s="1"/>
      <c r="F31" s="120"/>
      <c r="G31" s="120"/>
      <c r="H31" s="120"/>
      <c r="I31" s="120"/>
      <c r="J31" s="120"/>
      <c r="K31" s="86"/>
      <c r="L31" s="123"/>
      <c r="M31" s="3"/>
      <c r="N31" s="86">
        <v>27</v>
      </c>
      <c r="O31" s="112"/>
      <c r="P31" s="112"/>
      <c r="Q31" s="125"/>
      <c r="R31" s="125"/>
      <c r="S31" s="125"/>
      <c r="T31" s="125"/>
      <c r="U31" s="125"/>
      <c r="V31" s="86" t="s">
        <v>40</v>
      </c>
      <c r="W31" s="124"/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26"/>
      <c r="AS31" s="126"/>
      <c r="AT31" s="118"/>
      <c r="AU31" s="118"/>
      <c r="AV31" s="118"/>
      <c r="AW31" s="118"/>
      <c r="AX31" s="118"/>
      <c r="AY31" s="86"/>
      <c r="AZ31" s="127"/>
      <c r="BB31" s="3"/>
    </row>
    <row r="32" spans="3:54" ht="15.6" x14ac:dyDescent="0.3">
      <c r="C32" s="86">
        <v>28</v>
      </c>
      <c r="D32" s="1"/>
      <c r="E32" s="1"/>
      <c r="F32" s="120"/>
      <c r="G32" s="120"/>
      <c r="H32" s="120"/>
      <c r="I32" s="120"/>
      <c r="J32" s="120"/>
      <c r="K32" s="86"/>
      <c r="L32" s="123"/>
      <c r="M32" s="3"/>
      <c r="N32" s="86">
        <v>28</v>
      </c>
      <c r="O32" s="112"/>
      <c r="P32" s="112"/>
      <c r="Q32" s="125"/>
      <c r="R32" s="125"/>
      <c r="S32" s="125"/>
      <c r="T32" s="125"/>
      <c r="U32" s="125"/>
      <c r="V32" s="86" t="s">
        <v>40</v>
      </c>
      <c r="W32" s="124"/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26"/>
      <c r="AS32" s="126"/>
      <c r="AT32" s="118"/>
      <c r="AU32" s="118"/>
      <c r="AV32" s="118"/>
      <c r="AW32" s="118"/>
      <c r="AX32" s="118"/>
      <c r="AY32" s="86"/>
      <c r="AZ32" s="127"/>
      <c r="BB32" s="3"/>
    </row>
    <row r="33" spans="3:54" ht="15.6" x14ac:dyDescent="0.3">
      <c r="C33" s="86">
        <v>29</v>
      </c>
      <c r="D33" s="1"/>
      <c r="E33" s="1"/>
      <c r="F33" s="120"/>
      <c r="G33" s="120"/>
      <c r="H33" s="120"/>
      <c r="I33" s="120"/>
      <c r="J33" s="120"/>
      <c r="K33" s="86"/>
      <c r="L33" s="123"/>
      <c r="M33" s="3"/>
      <c r="N33" s="86">
        <v>29</v>
      </c>
      <c r="O33" s="112"/>
      <c r="P33" s="112"/>
      <c r="Q33" s="125"/>
      <c r="R33" s="125"/>
      <c r="S33" s="125"/>
      <c r="T33" s="125"/>
      <c r="U33" s="125"/>
      <c r="V33" s="86" t="s">
        <v>40</v>
      </c>
      <c r="W33" s="124"/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26"/>
      <c r="AS33" s="126"/>
      <c r="AT33" s="118"/>
      <c r="AU33" s="118"/>
      <c r="AV33" s="118"/>
      <c r="AW33" s="118"/>
      <c r="AX33" s="118"/>
      <c r="AY33" s="86"/>
      <c r="AZ33" s="127"/>
      <c r="BB33" s="3"/>
    </row>
    <row r="34" spans="3:54" ht="15.6" x14ac:dyDescent="0.3">
      <c r="C34" s="86">
        <v>30</v>
      </c>
      <c r="D34" s="1"/>
      <c r="E34" s="1"/>
      <c r="F34" s="120"/>
      <c r="G34" s="120"/>
      <c r="H34" s="120"/>
      <c r="I34" s="120"/>
      <c r="J34" s="120"/>
      <c r="K34" s="86"/>
      <c r="L34" s="123"/>
      <c r="M34" s="3"/>
      <c r="N34" s="86">
        <v>30</v>
      </c>
      <c r="O34" s="112"/>
      <c r="P34" s="112"/>
      <c r="Q34" s="125"/>
      <c r="R34" s="125"/>
      <c r="S34" s="125"/>
      <c r="T34" s="125"/>
      <c r="U34" s="125"/>
      <c r="V34" s="86" t="s">
        <v>40</v>
      </c>
      <c r="W34" s="124"/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26"/>
      <c r="AS34" s="126"/>
      <c r="AT34" s="118"/>
      <c r="AU34" s="118"/>
      <c r="AV34" s="118"/>
      <c r="AW34" s="118"/>
      <c r="AX34" s="118"/>
      <c r="AY34" s="86"/>
      <c r="AZ34" s="127"/>
      <c r="BB34" s="3"/>
    </row>
    <row r="35" spans="3:54" ht="15.6" x14ac:dyDescent="0.3">
      <c r="C35" s="86">
        <v>31</v>
      </c>
      <c r="D35" s="1"/>
      <c r="E35" s="1"/>
      <c r="F35" s="120"/>
      <c r="G35" s="120"/>
      <c r="H35" s="120"/>
      <c r="I35" s="120"/>
      <c r="J35" s="120"/>
      <c r="K35" s="86"/>
      <c r="L35" s="123"/>
      <c r="M35" s="3"/>
      <c r="N35" s="86">
        <v>31</v>
      </c>
      <c r="O35" s="112"/>
      <c r="P35" s="112"/>
      <c r="Q35" s="125"/>
      <c r="R35" s="125"/>
      <c r="S35" s="125"/>
      <c r="T35" s="125"/>
      <c r="U35" s="125"/>
      <c r="V35" s="86" t="s">
        <v>40</v>
      </c>
      <c r="W35" s="124"/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26"/>
      <c r="AS35" s="126"/>
      <c r="AT35" s="118"/>
      <c r="AU35" s="118"/>
      <c r="AV35" s="118"/>
      <c r="AW35" s="118"/>
      <c r="AX35" s="118"/>
      <c r="AY35" s="86"/>
      <c r="AZ35" s="127"/>
      <c r="BB35" s="3"/>
    </row>
    <row r="36" spans="3:54" ht="15.6" x14ac:dyDescent="0.3">
      <c r="C36" s="86">
        <v>32</v>
      </c>
      <c r="D36" s="1"/>
      <c r="E36" s="1"/>
      <c r="F36" s="120"/>
      <c r="G36" s="120"/>
      <c r="H36" s="120"/>
      <c r="I36" s="120"/>
      <c r="J36" s="120"/>
      <c r="K36" s="86"/>
      <c r="L36" s="123"/>
      <c r="M36" s="3"/>
      <c r="N36" s="86">
        <v>32</v>
      </c>
      <c r="O36" s="112"/>
      <c r="P36" s="112"/>
      <c r="Q36" s="125"/>
      <c r="R36" s="125"/>
      <c r="S36" s="125"/>
      <c r="T36" s="125"/>
      <c r="U36" s="125"/>
      <c r="V36" s="86" t="s">
        <v>40</v>
      </c>
      <c r="W36" s="124"/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26"/>
      <c r="AS36" s="126"/>
      <c r="AT36" s="118"/>
      <c r="AU36" s="118"/>
      <c r="AV36" s="118"/>
      <c r="AW36" s="118"/>
      <c r="AX36" s="118"/>
      <c r="AY36" s="86"/>
      <c r="AZ36" s="127"/>
      <c r="BB36" s="3"/>
    </row>
    <row r="37" spans="3:54" ht="15.6" x14ac:dyDescent="0.3">
      <c r="C37" s="86">
        <v>33</v>
      </c>
      <c r="D37" s="1"/>
      <c r="E37" s="1"/>
      <c r="F37" s="120"/>
      <c r="G37" s="120"/>
      <c r="H37" s="120"/>
      <c r="I37" s="120"/>
      <c r="J37" s="120"/>
      <c r="K37" s="86"/>
      <c r="L37" s="123"/>
      <c r="M37" s="3"/>
      <c r="N37" s="86">
        <v>33</v>
      </c>
      <c r="O37" s="112"/>
      <c r="P37" s="112"/>
      <c r="Q37" s="125"/>
      <c r="R37" s="125"/>
      <c r="S37" s="125"/>
      <c r="T37" s="125"/>
      <c r="U37" s="125"/>
      <c r="V37" s="86" t="s">
        <v>40</v>
      </c>
      <c r="W37" s="124"/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26"/>
      <c r="AS37" s="126"/>
      <c r="AT37" s="118"/>
      <c r="AU37" s="118"/>
      <c r="AV37" s="118"/>
      <c r="AW37" s="118"/>
      <c r="AX37" s="118"/>
      <c r="AY37" s="86"/>
      <c r="AZ37" s="127"/>
      <c r="BB37" s="3"/>
    </row>
    <row r="38" spans="3:54" ht="15.6" x14ac:dyDescent="0.3">
      <c r="C38" s="86">
        <v>34</v>
      </c>
      <c r="D38" s="1"/>
      <c r="E38" s="1"/>
      <c r="F38" s="120"/>
      <c r="G38" s="120"/>
      <c r="H38" s="120"/>
      <c r="I38" s="120"/>
      <c r="J38" s="120"/>
      <c r="K38" s="86"/>
      <c r="L38" s="123"/>
      <c r="M38" s="3"/>
      <c r="N38" s="86">
        <v>34</v>
      </c>
      <c r="O38" s="112"/>
      <c r="P38" s="112"/>
      <c r="Q38" s="125"/>
      <c r="R38" s="125"/>
      <c r="S38" s="125"/>
      <c r="T38" s="125"/>
      <c r="U38" s="125"/>
      <c r="V38" s="86" t="s">
        <v>40</v>
      </c>
      <c r="W38" s="124"/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26"/>
      <c r="AS38" s="126"/>
      <c r="AT38" s="118"/>
      <c r="AU38" s="118"/>
      <c r="AV38" s="118"/>
      <c r="AW38" s="118"/>
      <c r="AX38" s="118"/>
      <c r="AY38" s="86"/>
      <c r="AZ38" s="127"/>
      <c r="BB38" s="3"/>
    </row>
    <row r="39" spans="3:54" ht="15.6" x14ac:dyDescent="0.3">
      <c r="C39" s="86">
        <v>35</v>
      </c>
      <c r="D39" s="1"/>
      <c r="E39" s="1"/>
      <c r="F39" s="120"/>
      <c r="G39" s="120"/>
      <c r="H39" s="120"/>
      <c r="I39" s="120"/>
      <c r="J39" s="120"/>
      <c r="K39" s="86"/>
      <c r="L39" s="123"/>
      <c r="M39" s="3"/>
      <c r="N39" s="86">
        <v>35</v>
      </c>
      <c r="O39" s="112"/>
      <c r="P39" s="112"/>
      <c r="Q39" s="125"/>
      <c r="R39" s="125"/>
      <c r="S39" s="125"/>
      <c r="T39" s="125"/>
      <c r="U39" s="125"/>
      <c r="V39" s="86" t="s">
        <v>40</v>
      </c>
      <c r="W39" s="124"/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26"/>
      <c r="AS39" s="126"/>
      <c r="AT39" s="118"/>
      <c r="AU39" s="118"/>
      <c r="AV39" s="118"/>
      <c r="AW39" s="118"/>
      <c r="AX39" s="118"/>
      <c r="AY39" s="86"/>
      <c r="AZ39" s="127"/>
      <c r="BB39" s="3"/>
    </row>
    <row r="40" spans="3:54" ht="15.6" x14ac:dyDescent="0.3">
      <c r="C40" s="86">
        <v>36</v>
      </c>
      <c r="D40" s="1"/>
      <c r="E40" s="1"/>
      <c r="F40" s="120"/>
      <c r="G40" s="120"/>
      <c r="H40" s="120"/>
      <c r="I40" s="120"/>
      <c r="J40" s="120"/>
      <c r="K40" s="86"/>
      <c r="L40" s="123"/>
      <c r="M40" s="3"/>
      <c r="N40" s="86">
        <v>36</v>
      </c>
      <c r="O40" s="112"/>
      <c r="P40" s="112"/>
      <c r="Q40" s="125"/>
      <c r="R40" s="125"/>
      <c r="S40" s="125"/>
      <c r="T40" s="125"/>
      <c r="U40" s="125"/>
      <c r="V40" s="86" t="s">
        <v>40</v>
      </c>
      <c r="W40" s="124"/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26"/>
      <c r="AS40" s="126"/>
      <c r="AT40" s="118"/>
      <c r="AU40" s="118"/>
      <c r="AV40" s="118"/>
      <c r="AW40" s="118"/>
      <c r="AX40" s="118"/>
      <c r="AY40" s="86"/>
      <c r="AZ40" s="127"/>
      <c r="BB40" s="3"/>
    </row>
    <row r="41" spans="3:54" ht="15.6" x14ac:dyDescent="0.3">
      <c r="C41" s="86">
        <v>37</v>
      </c>
      <c r="D41" s="1"/>
      <c r="E41" s="1"/>
      <c r="F41" s="120"/>
      <c r="G41" s="120"/>
      <c r="H41" s="120"/>
      <c r="I41" s="120"/>
      <c r="J41" s="120"/>
      <c r="K41" s="86"/>
      <c r="L41" s="123"/>
      <c r="M41" s="3"/>
      <c r="N41" s="86">
        <v>37</v>
      </c>
      <c r="O41" s="112"/>
      <c r="P41" s="112"/>
      <c r="Q41" s="125"/>
      <c r="R41" s="125"/>
      <c r="S41" s="125"/>
      <c r="T41" s="125"/>
      <c r="U41" s="125"/>
      <c r="V41" s="86" t="s">
        <v>40</v>
      </c>
      <c r="W41" s="124"/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26"/>
      <c r="AS41" s="126"/>
      <c r="AT41" s="118"/>
      <c r="AU41" s="118"/>
      <c r="AV41" s="118"/>
      <c r="AW41" s="118"/>
      <c r="AX41" s="118"/>
      <c r="AY41" s="86"/>
      <c r="AZ41" s="127"/>
      <c r="BB41" s="3"/>
    </row>
    <row r="42" spans="3:54" ht="15.6" x14ac:dyDescent="0.3">
      <c r="C42" s="86">
        <v>38</v>
      </c>
      <c r="D42" s="1"/>
      <c r="E42" s="1"/>
      <c r="F42" s="120"/>
      <c r="G42" s="120"/>
      <c r="H42" s="120"/>
      <c r="I42" s="120"/>
      <c r="J42" s="120"/>
      <c r="K42" s="86"/>
      <c r="L42" s="123"/>
      <c r="M42" s="3"/>
      <c r="N42" s="86">
        <v>38</v>
      </c>
      <c r="O42" s="112"/>
      <c r="P42" s="112"/>
      <c r="Q42" s="125"/>
      <c r="R42" s="125"/>
      <c r="S42" s="125"/>
      <c r="T42" s="125"/>
      <c r="U42" s="125"/>
      <c r="V42" s="86" t="s">
        <v>40</v>
      </c>
      <c r="W42" s="124"/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26"/>
      <c r="AS42" s="126"/>
      <c r="AT42" s="118"/>
      <c r="AU42" s="118"/>
      <c r="AV42" s="118"/>
      <c r="AW42" s="118"/>
      <c r="AX42" s="118"/>
      <c r="AY42" s="86"/>
      <c r="AZ42" s="127"/>
      <c r="BB42" s="3"/>
    </row>
    <row r="43" spans="3:54" ht="15.6" x14ac:dyDescent="0.3">
      <c r="C43" s="86">
        <v>39</v>
      </c>
      <c r="D43" s="1"/>
      <c r="E43" s="1"/>
      <c r="F43" s="120"/>
      <c r="G43" s="120"/>
      <c r="H43" s="120"/>
      <c r="I43" s="120"/>
      <c r="J43" s="120"/>
      <c r="K43" s="86"/>
      <c r="L43" s="123"/>
      <c r="M43" s="3"/>
      <c r="N43" s="86">
        <v>39</v>
      </c>
      <c r="O43" s="112"/>
      <c r="P43" s="112"/>
      <c r="Q43" s="125"/>
      <c r="R43" s="125"/>
      <c r="S43" s="125"/>
      <c r="T43" s="125"/>
      <c r="U43" s="125"/>
      <c r="V43" s="86" t="s">
        <v>40</v>
      </c>
      <c r="W43" s="124"/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26"/>
      <c r="AS43" s="126"/>
      <c r="AT43" s="118"/>
      <c r="AU43" s="118"/>
      <c r="AV43" s="118"/>
      <c r="AW43" s="118"/>
      <c r="AX43" s="118"/>
      <c r="AY43" s="86"/>
      <c r="AZ43" s="127"/>
      <c r="BB43" s="3"/>
    </row>
    <row r="44" spans="3:54" ht="15.6" x14ac:dyDescent="0.3">
      <c r="C44" s="86">
        <v>40</v>
      </c>
      <c r="D44" s="1"/>
      <c r="E44" s="1"/>
      <c r="F44" s="120"/>
      <c r="G44" s="120"/>
      <c r="H44" s="120"/>
      <c r="I44" s="120"/>
      <c r="J44" s="120"/>
      <c r="K44" s="86"/>
      <c r="L44" s="123"/>
      <c r="M44" s="3"/>
      <c r="N44" s="86">
        <v>40</v>
      </c>
      <c r="O44" s="112"/>
      <c r="P44" s="112"/>
      <c r="Q44" s="125"/>
      <c r="R44" s="125"/>
      <c r="S44" s="125"/>
      <c r="T44" s="125"/>
      <c r="U44" s="125"/>
      <c r="V44" s="86" t="s">
        <v>40</v>
      </c>
      <c r="W44" s="124"/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26"/>
      <c r="AS44" s="126"/>
      <c r="AT44" s="118"/>
      <c r="AU44" s="118"/>
      <c r="AV44" s="118"/>
      <c r="AW44" s="118"/>
      <c r="AX44" s="118"/>
      <c r="AY44" s="86"/>
      <c r="AZ44" s="127"/>
      <c r="BB44" s="3"/>
    </row>
    <row r="45" spans="3:54" ht="15.6" x14ac:dyDescent="0.3">
      <c r="C45" s="86">
        <v>41</v>
      </c>
      <c r="D45" s="1"/>
      <c r="E45" s="1"/>
      <c r="F45" s="120"/>
      <c r="G45" s="120"/>
      <c r="H45" s="120"/>
      <c r="I45" s="120"/>
      <c r="J45" s="120"/>
      <c r="K45" s="86"/>
      <c r="L45" s="123"/>
      <c r="M45" s="3"/>
      <c r="N45" s="86">
        <v>41</v>
      </c>
      <c r="O45" s="112"/>
      <c r="P45" s="112"/>
      <c r="Q45" s="125"/>
      <c r="R45" s="125"/>
      <c r="S45" s="125"/>
      <c r="T45" s="125"/>
      <c r="U45" s="125"/>
      <c r="V45" s="86" t="s">
        <v>40</v>
      </c>
      <c r="W45" s="124"/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26"/>
      <c r="AS45" s="126"/>
      <c r="AT45" s="118"/>
      <c r="AU45" s="118"/>
      <c r="AV45" s="118"/>
      <c r="AW45" s="118"/>
      <c r="AX45" s="118"/>
      <c r="AY45" s="86"/>
      <c r="AZ45" s="127"/>
      <c r="BB45" s="3"/>
    </row>
    <row r="46" spans="3:54" ht="15.6" x14ac:dyDescent="0.3">
      <c r="C46" s="86">
        <v>42</v>
      </c>
      <c r="D46" s="1"/>
      <c r="E46" s="1"/>
      <c r="F46" s="120"/>
      <c r="G46" s="120"/>
      <c r="H46" s="120"/>
      <c r="I46" s="120"/>
      <c r="J46" s="120"/>
      <c r="K46" s="86"/>
      <c r="L46" s="123"/>
      <c r="M46" s="3"/>
      <c r="N46" s="86">
        <v>42</v>
      </c>
      <c r="O46" s="112"/>
      <c r="P46" s="112"/>
      <c r="Q46" s="125"/>
      <c r="R46" s="125"/>
      <c r="S46" s="125"/>
      <c r="T46" s="125"/>
      <c r="U46" s="125"/>
      <c r="V46" s="86" t="s">
        <v>40</v>
      </c>
      <c r="W46" s="124"/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26"/>
      <c r="AS46" s="126"/>
      <c r="AT46" s="118"/>
      <c r="AU46" s="118"/>
      <c r="AV46" s="118"/>
      <c r="AW46" s="118"/>
      <c r="AX46" s="118"/>
      <c r="AY46" s="86"/>
      <c r="AZ46" s="127"/>
      <c r="BB46" s="3"/>
    </row>
    <row r="47" spans="3:54" ht="15.6" x14ac:dyDescent="0.3">
      <c r="C47" s="86">
        <v>43</v>
      </c>
      <c r="D47" s="1"/>
      <c r="E47" s="1"/>
      <c r="F47" s="120"/>
      <c r="G47" s="120"/>
      <c r="H47" s="120"/>
      <c r="I47" s="120"/>
      <c r="J47" s="120"/>
      <c r="K47" s="86"/>
      <c r="L47" s="123"/>
      <c r="M47" s="3"/>
      <c r="N47" s="86">
        <v>43</v>
      </c>
      <c r="O47" s="112"/>
      <c r="P47" s="112"/>
      <c r="Q47" s="125"/>
      <c r="R47" s="125"/>
      <c r="S47" s="125"/>
      <c r="T47" s="125"/>
      <c r="U47" s="125"/>
      <c r="V47" s="86" t="s">
        <v>40</v>
      </c>
      <c r="W47" s="124"/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26"/>
      <c r="AS47" s="126"/>
      <c r="AT47" s="118"/>
      <c r="AU47" s="118"/>
      <c r="AV47" s="118"/>
      <c r="AW47" s="118"/>
      <c r="AX47" s="118"/>
      <c r="AY47" s="86"/>
      <c r="AZ47" s="127"/>
      <c r="BB47" s="3"/>
    </row>
    <row r="48" spans="3:54" ht="15.6" x14ac:dyDescent="0.3">
      <c r="C48" s="86">
        <v>44</v>
      </c>
      <c r="D48" s="1"/>
      <c r="E48" s="1"/>
      <c r="F48" s="120"/>
      <c r="G48" s="120"/>
      <c r="H48" s="120"/>
      <c r="I48" s="120"/>
      <c r="J48" s="120"/>
      <c r="K48" s="86"/>
      <c r="L48" s="123"/>
      <c r="M48" s="3"/>
      <c r="N48" s="86">
        <v>44</v>
      </c>
      <c r="O48" s="112"/>
      <c r="P48" s="112"/>
      <c r="Q48" s="125"/>
      <c r="R48" s="125"/>
      <c r="S48" s="125"/>
      <c r="T48" s="125"/>
      <c r="U48" s="125"/>
      <c r="V48" s="86" t="s">
        <v>40</v>
      </c>
      <c r="W48" s="124"/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26"/>
      <c r="AS48" s="126"/>
      <c r="AT48" s="118"/>
      <c r="AU48" s="118"/>
      <c r="AV48" s="118"/>
      <c r="AW48" s="118"/>
      <c r="AX48" s="118"/>
      <c r="AY48" s="86"/>
      <c r="AZ48" s="127"/>
      <c r="BB48" s="3"/>
    </row>
    <row r="49" spans="3:54" ht="15.6" x14ac:dyDescent="0.3">
      <c r="C49" s="86">
        <v>45</v>
      </c>
      <c r="D49" s="1"/>
      <c r="E49" s="1"/>
      <c r="F49" s="120"/>
      <c r="G49" s="120"/>
      <c r="H49" s="120"/>
      <c r="I49" s="120"/>
      <c r="J49" s="120"/>
      <c r="K49" s="86"/>
      <c r="L49" s="123"/>
      <c r="M49" s="3"/>
      <c r="N49" s="86">
        <v>45</v>
      </c>
      <c r="O49" s="112"/>
      <c r="P49" s="112"/>
      <c r="Q49" s="125"/>
      <c r="R49" s="125"/>
      <c r="S49" s="125"/>
      <c r="T49" s="125"/>
      <c r="U49" s="125"/>
      <c r="V49" s="86" t="s">
        <v>40</v>
      </c>
      <c r="W49" s="124"/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26"/>
      <c r="AS49" s="126"/>
      <c r="AT49" s="118"/>
      <c r="AU49" s="118"/>
      <c r="AV49" s="118"/>
      <c r="AW49" s="118"/>
      <c r="AX49" s="118"/>
      <c r="AY49" s="86"/>
      <c r="AZ49" s="127"/>
      <c r="BB49" s="3"/>
    </row>
    <row r="50" spans="3:54" ht="15.6" x14ac:dyDescent="0.3">
      <c r="C50" s="86">
        <v>46</v>
      </c>
      <c r="D50" s="1"/>
      <c r="E50" s="1"/>
      <c r="F50" s="120"/>
      <c r="G50" s="120"/>
      <c r="H50" s="120"/>
      <c r="I50" s="120"/>
      <c r="J50" s="120"/>
      <c r="K50" s="86"/>
      <c r="L50" s="123"/>
      <c r="M50" s="3"/>
      <c r="N50" s="86">
        <v>46</v>
      </c>
      <c r="O50" s="112"/>
      <c r="P50" s="112"/>
      <c r="Q50" s="125"/>
      <c r="R50" s="125"/>
      <c r="S50" s="125"/>
      <c r="T50" s="125"/>
      <c r="U50" s="125"/>
      <c r="V50" s="86" t="s">
        <v>40</v>
      </c>
      <c r="W50" s="124"/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26"/>
      <c r="AS50" s="126"/>
      <c r="AT50" s="118"/>
      <c r="AU50" s="118"/>
      <c r="AV50" s="118"/>
      <c r="AW50" s="118"/>
      <c r="AX50" s="118"/>
      <c r="AY50" s="86"/>
      <c r="AZ50" s="127"/>
      <c r="BB50" s="3"/>
    </row>
    <row r="51" spans="3:54" ht="15.6" x14ac:dyDescent="0.3">
      <c r="C51" s="86">
        <v>47</v>
      </c>
      <c r="D51" s="1"/>
      <c r="E51" s="1"/>
      <c r="F51" s="120"/>
      <c r="G51" s="120"/>
      <c r="H51" s="120"/>
      <c r="I51" s="120"/>
      <c r="J51" s="120"/>
      <c r="K51" s="86"/>
      <c r="L51" s="123"/>
      <c r="M51" s="3"/>
      <c r="N51" s="86">
        <v>47</v>
      </c>
      <c r="O51" s="112"/>
      <c r="P51" s="112"/>
      <c r="Q51" s="125"/>
      <c r="R51" s="125"/>
      <c r="S51" s="125"/>
      <c r="T51" s="125"/>
      <c r="U51" s="125"/>
      <c r="V51" s="86" t="s">
        <v>40</v>
      </c>
      <c r="W51" s="124"/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26"/>
      <c r="AS51" s="126"/>
      <c r="AT51" s="118"/>
      <c r="AU51" s="118"/>
      <c r="AV51" s="118"/>
      <c r="AW51" s="118"/>
      <c r="AX51" s="118"/>
      <c r="AY51" s="86"/>
      <c r="AZ51" s="127"/>
      <c r="BB51" s="3"/>
    </row>
    <row r="52" spans="3:54" ht="15.6" x14ac:dyDescent="0.3">
      <c r="C52" s="86">
        <v>48</v>
      </c>
      <c r="D52" s="1"/>
      <c r="E52" s="1"/>
      <c r="F52" s="120"/>
      <c r="G52" s="120"/>
      <c r="H52" s="120"/>
      <c r="I52" s="120"/>
      <c r="J52" s="120"/>
      <c r="K52" s="86"/>
      <c r="L52" s="123"/>
      <c r="M52" s="3"/>
      <c r="N52" s="86">
        <v>48</v>
      </c>
      <c r="O52" s="112"/>
      <c r="P52" s="112"/>
      <c r="Q52" s="125"/>
      <c r="R52" s="125"/>
      <c r="S52" s="125"/>
      <c r="T52" s="125"/>
      <c r="U52" s="125"/>
      <c r="V52" s="86" t="s">
        <v>40</v>
      </c>
      <c r="W52" s="124"/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26"/>
      <c r="AS52" s="126"/>
      <c r="AT52" s="118"/>
      <c r="AU52" s="118"/>
      <c r="AV52" s="118"/>
      <c r="AW52" s="118"/>
      <c r="AX52" s="118"/>
      <c r="AY52" s="86"/>
      <c r="AZ52" s="127"/>
      <c r="BB52" s="3"/>
    </row>
    <row r="53" spans="3:54" ht="15.6" x14ac:dyDescent="0.3">
      <c r="C53" s="86">
        <v>49</v>
      </c>
      <c r="D53" s="1"/>
      <c r="E53" s="1"/>
      <c r="F53" s="120"/>
      <c r="G53" s="120"/>
      <c r="H53" s="120"/>
      <c r="I53" s="120"/>
      <c r="J53" s="120"/>
      <c r="K53" s="86"/>
      <c r="L53" s="123"/>
      <c r="M53" s="3"/>
      <c r="N53" s="86">
        <v>49</v>
      </c>
      <c r="O53" s="112"/>
      <c r="P53" s="112"/>
      <c r="Q53" s="125"/>
      <c r="R53" s="125"/>
      <c r="S53" s="125"/>
      <c r="T53" s="125"/>
      <c r="U53" s="125"/>
      <c r="V53" s="86" t="s">
        <v>40</v>
      </c>
      <c r="W53" s="124"/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26"/>
      <c r="AS53" s="126"/>
      <c r="AT53" s="118"/>
      <c r="AU53" s="118"/>
      <c r="AV53" s="118"/>
      <c r="AW53" s="118"/>
      <c r="AX53" s="118"/>
      <c r="AY53" s="86"/>
      <c r="AZ53" s="127"/>
      <c r="BB53" s="3"/>
    </row>
    <row r="54" spans="3:54" ht="15.6" x14ac:dyDescent="0.3">
      <c r="C54" s="86">
        <v>50</v>
      </c>
      <c r="D54" s="1"/>
      <c r="E54" s="1"/>
      <c r="F54" s="120"/>
      <c r="G54" s="120"/>
      <c r="H54" s="120"/>
      <c r="I54" s="120"/>
      <c r="J54" s="120"/>
      <c r="K54" s="86"/>
      <c r="L54" s="123"/>
      <c r="M54" s="3"/>
      <c r="N54" s="86">
        <v>50</v>
      </c>
      <c r="O54" s="112"/>
      <c r="P54" s="112"/>
      <c r="Q54" s="125"/>
      <c r="R54" s="125"/>
      <c r="S54" s="125"/>
      <c r="T54" s="125"/>
      <c r="U54" s="125"/>
      <c r="V54" s="86" t="s">
        <v>40</v>
      </c>
      <c r="W54" s="124"/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26"/>
      <c r="AS54" s="126"/>
      <c r="AT54" s="118"/>
      <c r="AU54" s="118"/>
      <c r="AV54" s="118"/>
      <c r="AW54" s="118"/>
      <c r="AX54" s="118"/>
      <c r="AY54" s="86"/>
      <c r="AZ54" s="127"/>
      <c r="BB54" s="3"/>
    </row>
    <row r="55" spans="3:54" ht="15.6" x14ac:dyDescent="0.3">
      <c r="C55" s="86">
        <v>51</v>
      </c>
      <c r="D55" s="1"/>
      <c r="E55" s="1"/>
      <c r="F55" s="120"/>
      <c r="G55" s="120"/>
      <c r="H55" s="120"/>
      <c r="I55" s="120"/>
      <c r="J55" s="120"/>
      <c r="K55" s="86"/>
      <c r="L55" s="123"/>
      <c r="M55" s="3"/>
      <c r="N55" s="86">
        <v>51</v>
      </c>
      <c r="O55" s="112"/>
      <c r="P55" s="112"/>
      <c r="Q55" s="125"/>
      <c r="R55" s="125"/>
      <c r="S55" s="125"/>
      <c r="T55" s="125"/>
      <c r="U55" s="125"/>
      <c r="V55" s="86" t="s">
        <v>40</v>
      </c>
      <c r="W55" s="124"/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26"/>
      <c r="AS55" s="126"/>
      <c r="AT55" s="118"/>
      <c r="AU55" s="118"/>
      <c r="AV55" s="118"/>
      <c r="AW55" s="118"/>
      <c r="AX55" s="118"/>
      <c r="AY55" s="86"/>
      <c r="AZ55" s="127"/>
      <c r="BB55" s="3"/>
    </row>
    <row r="56" spans="3:54" ht="15.6" x14ac:dyDescent="0.3">
      <c r="C56" s="86">
        <v>52</v>
      </c>
      <c r="D56" s="1"/>
      <c r="E56" s="1"/>
      <c r="F56" s="120"/>
      <c r="G56" s="120"/>
      <c r="H56" s="120"/>
      <c r="I56" s="120"/>
      <c r="J56" s="120"/>
      <c r="K56" s="86"/>
      <c r="L56" s="123"/>
      <c r="M56" s="3"/>
      <c r="N56" s="86">
        <v>52</v>
      </c>
      <c r="O56" s="112"/>
      <c r="P56" s="112"/>
      <c r="Q56" s="125"/>
      <c r="R56" s="125"/>
      <c r="S56" s="125"/>
      <c r="T56" s="125"/>
      <c r="U56" s="125"/>
      <c r="V56" s="86" t="s">
        <v>40</v>
      </c>
      <c r="W56" s="124"/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26"/>
      <c r="AS56" s="126"/>
      <c r="AT56" s="118"/>
      <c r="AU56" s="118"/>
      <c r="AV56" s="118"/>
      <c r="AW56" s="118"/>
      <c r="AX56" s="118"/>
      <c r="AY56" s="86"/>
      <c r="AZ56" s="127"/>
      <c r="BB56" s="3"/>
    </row>
    <row r="57" spans="3:54" ht="15.6" x14ac:dyDescent="0.3">
      <c r="C57" s="86">
        <v>53</v>
      </c>
      <c r="D57" s="1"/>
      <c r="E57" s="1"/>
      <c r="F57" s="120"/>
      <c r="G57" s="120"/>
      <c r="H57" s="120"/>
      <c r="I57" s="120"/>
      <c r="J57" s="120"/>
      <c r="K57" s="86"/>
      <c r="L57" s="123"/>
      <c r="M57" s="3"/>
      <c r="N57" s="86">
        <v>53</v>
      </c>
      <c r="O57" s="112"/>
      <c r="P57" s="112"/>
      <c r="Q57" s="125"/>
      <c r="R57" s="125"/>
      <c r="S57" s="125"/>
      <c r="T57" s="125"/>
      <c r="U57" s="125"/>
      <c r="V57" s="86" t="s">
        <v>40</v>
      </c>
      <c r="W57" s="124"/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26"/>
      <c r="AS57" s="126"/>
      <c r="AT57" s="118"/>
      <c r="AU57" s="118"/>
      <c r="AV57" s="118"/>
      <c r="AW57" s="118"/>
      <c r="AX57" s="118"/>
      <c r="AY57" s="86"/>
      <c r="AZ57" s="127"/>
      <c r="BB57" s="3"/>
    </row>
    <row r="58" spans="3:54" ht="15.6" x14ac:dyDescent="0.3">
      <c r="C58" s="86">
        <v>54</v>
      </c>
      <c r="D58" s="1"/>
      <c r="E58" s="1"/>
      <c r="F58" s="120"/>
      <c r="G58" s="120"/>
      <c r="H58" s="120"/>
      <c r="I58" s="120"/>
      <c r="J58" s="120"/>
      <c r="K58" s="86"/>
      <c r="L58" s="123"/>
      <c r="M58" s="3"/>
      <c r="N58" s="86">
        <v>54</v>
      </c>
      <c r="O58" s="112"/>
      <c r="P58" s="112"/>
      <c r="Q58" s="125"/>
      <c r="R58" s="125"/>
      <c r="S58" s="125"/>
      <c r="T58" s="125"/>
      <c r="U58" s="125"/>
      <c r="V58" s="86" t="s">
        <v>40</v>
      </c>
      <c r="W58" s="124"/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26"/>
      <c r="AS58" s="126"/>
      <c r="AT58" s="118"/>
      <c r="AU58" s="118"/>
      <c r="AV58" s="118"/>
      <c r="AW58" s="118"/>
      <c r="AX58" s="118"/>
      <c r="AY58" s="86"/>
      <c r="AZ58" s="127"/>
      <c r="BB58" s="3"/>
    </row>
    <row r="59" spans="3:54" ht="15.6" x14ac:dyDescent="0.3">
      <c r="C59" s="86">
        <v>55</v>
      </c>
      <c r="D59" s="1"/>
      <c r="E59" s="1"/>
      <c r="F59" s="120"/>
      <c r="G59" s="120"/>
      <c r="H59" s="120"/>
      <c r="I59" s="120"/>
      <c r="J59" s="120"/>
      <c r="K59" s="86"/>
      <c r="L59" s="123"/>
      <c r="M59" s="3"/>
      <c r="N59" s="86">
        <v>55</v>
      </c>
      <c r="O59" s="112"/>
      <c r="P59" s="112"/>
      <c r="Q59" s="125"/>
      <c r="R59" s="125"/>
      <c r="S59" s="125"/>
      <c r="T59" s="125"/>
      <c r="U59" s="125"/>
      <c r="V59" s="86" t="s">
        <v>40</v>
      </c>
      <c r="W59" s="124"/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26"/>
      <c r="AS59" s="126"/>
      <c r="AT59" s="118"/>
      <c r="AU59" s="118"/>
      <c r="AV59" s="118"/>
      <c r="AW59" s="118"/>
      <c r="AX59" s="118"/>
      <c r="AY59" s="86"/>
      <c r="AZ59" s="127"/>
      <c r="BB59" s="3"/>
    </row>
    <row r="60" spans="3:54" ht="15.6" x14ac:dyDescent="0.3">
      <c r="C60" s="86">
        <v>56</v>
      </c>
      <c r="D60" s="1"/>
      <c r="E60" s="1"/>
      <c r="F60" s="120"/>
      <c r="G60" s="120"/>
      <c r="H60" s="120"/>
      <c r="I60" s="120"/>
      <c r="J60" s="120"/>
      <c r="K60" s="86"/>
      <c r="L60" s="123"/>
      <c r="M60" s="3"/>
      <c r="N60" s="86">
        <v>56</v>
      </c>
      <c r="O60" s="112"/>
      <c r="P60" s="112"/>
      <c r="Q60" s="125"/>
      <c r="R60" s="125"/>
      <c r="S60" s="125"/>
      <c r="T60" s="125"/>
      <c r="U60" s="125"/>
      <c r="V60" s="86" t="s">
        <v>40</v>
      </c>
      <c r="W60" s="124"/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26"/>
      <c r="AS60" s="126"/>
      <c r="AT60" s="118"/>
      <c r="AU60" s="118"/>
      <c r="AV60" s="118"/>
      <c r="AW60" s="118"/>
      <c r="AX60" s="118"/>
      <c r="AY60" s="86"/>
      <c r="AZ60" s="127"/>
      <c r="BB60" s="3"/>
    </row>
    <row r="61" spans="3:54" ht="15.6" x14ac:dyDescent="0.3">
      <c r="C61" s="86">
        <v>57</v>
      </c>
      <c r="D61" s="1"/>
      <c r="E61" s="1"/>
      <c r="F61" s="120"/>
      <c r="G61" s="120"/>
      <c r="H61" s="120"/>
      <c r="I61" s="120"/>
      <c r="J61" s="120"/>
      <c r="K61" s="86"/>
      <c r="L61" s="123"/>
      <c r="M61" s="3"/>
      <c r="N61" s="86">
        <v>57</v>
      </c>
      <c r="O61" s="112"/>
      <c r="P61" s="112"/>
      <c r="Q61" s="125"/>
      <c r="R61" s="125"/>
      <c r="S61" s="125"/>
      <c r="T61" s="125"/>
      <c r="U61" s="125"/>
      <c r="V61" s="86" t="s">
        <v>40</v>
      </c>
      <c r="W61" s="124"/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26"/>
      <c r="AS61" s="126"/>
      <c r="AT61" s="118"/>
      <c r="AU61" s="118"/>
      <c r="AV61" s="118"/>
      <c r="AW61" s="118"/>
      <c r="AX61" s="118"/>
      <c r="AY61" s="86"/>
      <c r="AZ61" s="127"/>
      <c r="BB61" s="3"/>
    </row>
    <row r="62" spans="3:54" ht="15.6" x14ac:dyDescent="0.3">
      <c r="C62" s="86">
        <v>58</v>
      </c>
      <c r="D62" s="1"/>
      <c r="E62" s="1"/>
      <c r="F62" s="120"/>
      <c r="G62" s="120"/>
      <c r="H62" s="120"/>
      <c r="I62" s="120"/>
      <c r="J62" s="120"/>
      <c r="K62" s="86"/>
      <c r="L62" s="123"/>
      <c r="M62" s="3"/>
      <c r="N62" s="86">
        <v>58</v>
      </c>
      <c r="O62" s="112"/>
      <c r="P62" s="112"/>
      <c r="Q62" s="125"/>
      <c r="R62" s="125"/>
      <c r="S62" s="125"/>
      <c r="T62" s="125"/>
      <c r="U62" s="125"/>
      <c r="V62" s="86" t="s">
        <v>40</v>
      </c>
      <c r="W62" s="124"/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26"/>
      <c r="AS62" s="126"/>
      <c r="AT62" s="118"/>
      <c r="AU62" s="118"/>
      <c r="AV62" s="118"/>
      <c r="AW62" s="118"/>
      <c r="AX62" s="118"/>
      <c r="AY62" s="86"/>
      <c r="AZ62" s="127"/>
      <c r="BB62" s="3"/>
    </row>
    <row r="63" spans="3:54" ht="15.6" x14ac:dyDescent="0.3">
      <c r="C63" s="86">
        <v>59</v>
      </c>
      <c r="D63" s="1"/>
      <c r="E63" s="1"/>
      <c r="F63" s="120"/>
      <c r="G63" s="120"/>
      <c r="H63" s="120"/>
      <c r="I63" s="120"/>
      <c r="J63" s="120"/>
      <c r="K63" s="86"/>
      <c r="L63" s="123"/>
      <c r="M63" s="3"/>
      <c r="N63" s="86">
        <v>59</v>
      </c>
      <c r="O63" s="112"/>
      <c r="P63" s="112"/>
      <c r="Q63" s="125"/>
      <c r="R63" s="125"/>
      <c r="S63" s="125"/>
      <c r="T63" s="125"/>
      <c r="U63" s="125"/>
      <c r="V63" s="86" t="s">
        <v>40</v>
      </c>
      <c r="W63" s="124"/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>
        <v>59</v>
      </c>
      <c r="AR63" s="126"/>
      <c r="AS63" s="126"/>
      <c r="AT63" s="118"/>
      <c r="AU63" s="118"/>
      <c r="AV63" s="118"/>
      <c r="AW63" s="118"/>
      <c r="AX63" s="118"/>
      <c r="AY63" s="86"/>
      <c r="AZ63" s="127"/>
      <c r="BB63" s="3"/>
    </row>
    <row r="64" spans="3:54" ht="15.6" x14ac:dyDescent="0.3">
      <c r="C64" s="86">
        <v>60</v>
      </c>
      <c r="D64" s="1"/>
      <c r="E64" s="1"/>
      <c r="F64" s="120"/>
      <c r="G64" s="120"/>
      <c r="H64" s="120"/>
      <c r="I64" s="120"/>
      <c r="J64" s="120"/>
      <c r="K64" s="86"/>
      <c r="L64" s="123"/>
      <c r="M64" s="3"/>
      <c r="N64" s="86">
        <v>60</v>
      </c>
      <c r="O64" s="112"/>
      <c r="P64" s="112"/>
      <c r="Q64" s="125"/>
      <c r="R64" s="125"/>
      <c r="S64" s="125"/>
      <c r="T64" s="125"/>
      <c r="U64" s="125"/>
      <c r="V64" s="86" t="s">
        <v>40</v>
      </c>
      <c r="W64" s="124"/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>
        <v>60</v>
      </c>
      <c r="AR64" s="126"/>
      <c r="AS64" s="126"/>
      <c r="AT64" s="118"/>
      <c r="AU64" s="118"/>
      <c r="AV64" s="118"/>
      <c r="AW64" s="118"/>
      <c r="AX64" s="118"/>
      <c r="AY64" s="86"/>
      <c r="AZ64" s="127"/>
      <c r="BB64" s="3"/>
    </row>
    <row r="65" spans="3:54" ht="15.6" x14ac:dyDescent="0.3">
      <c r="C65" s="86">
        <v>61</v>
      </c>
      <c r="D65" s="1"/>
      <c r="E65" s="1"/>
      <c r="F65" s="120"/>
      <c r="G65" s="120"/>
      <c r="H65" s="120"/>
      <c r="I65" s="120"/>
      <c r="J65" s="120"/>
      <c r="K65" s="86"/>
      <c r="L65" s="123"/>
      <c r="M65" s="3"/>
      <c r="N65" s="86">
        <v>61</v>
      </c>
      <c r="O65" s="112"/>
      <c r="P65" s="112"/>
      <c r="Q65" s="125"/>
      <c r="R65" s="125"/>
      <c r="S65" s="125"/>
      <c r="T65" s="125"/>
      <c r="U65" s="125"/>
      <c r="V65" s="86" t="s">
        <v>40</v>
      </c>
      <c r="W65" s="124"/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>
        <v>61</v>
      </c>
      <c r="AR65" s="126"/>
      <c r="AS65" s="126"/>
      <c r="AT65" s="118"/>
      <c r="AU65" s="118"/>
      <c r="AV65" s="118"/>
      <c r="AW65" s="118"/>
      <c r="AX65" s="118"/>
      <c r="AY65" s="86"/>
      <c r="AZ65" s="127"/>
      <c r="BB65" s="3"/>
    </row>
    <row r="66" spans="3:54" ht="15.6" x14ac:dyDescent="0.3">
      <c r="C66" s="86">
        <v>62</v>
      </c>
      <c r="D66" s="1"/>
      <c r="E66" s="1"/>
      <c r="F66" s="120"/>
      <c r="G66" s="120"/>
      <c r="H66" s="120"/>
      <c r="I66" s="120"/>
      <c r="J66" s="120"/>
      <c r="K66" s="86"/>
      <c r="L66" s="123"/>
      <c r="M66" s="3"/>
      <c r="N66" s="86">
        <v>62</v>
      </c>
      <c r="O66" s="112"/>
      <c r="P66" s="112"/>
      <c r="Q66" s="125"/>
      <c r="R66" s="125"/>
      <c r="S66" s="125"/>
      <c r="T66" s="125"/>
      <c r="U66" s="125"/>
      <c r="V66" s="86" t="s">
        <v>40</v>
      </c>
      <c r="W66" s="124"/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>
        <v>62</v>
      </c>
      <c r="AR66" s="126"/>
      <c r="AS66" s="126"/>
      <c r="AT66" s="118"/>
      <c r="AU66" s="118"/>
      <c r="AV66" s="118"/>
      <c r="AW66" s="118"/>
      <c r="AX66" s="118"/>
      <c r="AY66" s="86"/>
      <c r="AZ66" s="127"/>
      <c r="BB66" s="3"/>
    </row>
    <row r="67" spans="3:54" ht="15.6" x14ac:dyDescent="0.3">
      <c r="C67" s="86">
        <v>63</v>
      </c>
      <c r="D67" s="1"/>
      <c r="E67" s="1"/>
      <c r="F67" s="120"/>
      <c r="G67" s="120"/>
      <c r="H67" s="120"/>
      <c r="I67" s="120"/>
      <c r="J67" s="120"/>
      <c r="K67" s="86"/>
      <c r="L67" s="123"/>
      <c r="M67" s="3"/>
      <c r="N67" s="86">
        <v>63</v>
      </c>
      <c r="O67" s="112"/>
      <c r="P67" s="112"/>
      <c r="Q67" s="125"/>
      <c r="R67" s="125"/>
      <c r="S67" s="125"/>
      <c r="T67" s="125"/>
      <c r="U67" s="125"/>
      <c r="V67" s="86" t="s">
        <v>40</v>
      </c>
      <c r="W67" s="124"/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>
        <v>63</v>
      </c>
      <c r="AR67" s="126"/>
      <c r="AS67" s="126"/>
      <c r="AT67" s="118"/>
      <c r="AU67" s="118"/>
      <c r="AV67" s="118"/>
      <c r="AW67" s="118"/>
      <c r="AX67" s="118"/>
      <c r="AY67" s="86"/>
      <c r="AZ67" s="127"/>
      <c r="BB67" s="3"/>
    </row>
    <row r="68" spans="3:54" ht="15.6" x14ac:dyDescent="0.3">
      <c r="C68" s="86">
        <v>64</v>
      </c>
      <c r="D68" s="1"/>
      <c r="E68" s="1"/>
      <c r="F68" s="120"/>
      <c r="G68" s="120"/>
      <c r="H68" s="120"/>
      <c r="I68" s="120"/>
      <c r="J68" s="120"/>
      <c r="K68" s="86"/>
      <c r="L68" s="123"/>
      <c r="M68" s="3"/>
      <c r="N68" s="86">
        <v>64</v>
      </c>
      <c r="O68" s="112"/>
      <c r="P68" s="112"/>
      <c r="Q68" s="125"/>
      <c r="R68" s="125"/>
      <c r="S68" s="125"/>
      <c r="T68" s="125"/>
      <c r="U68" s="125"/>
      <c r="V68" s="86" t="s">
        <v>40</v>
      </c>
      <c r="W68" s="124"/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>
        <v>64</v>
      </c>
      <c r="AR68" s="126"/>
      <c r="AS68" s="126"/>
      <c r="AT68" s="118"/>
      <c r="AU68" s="118"/>
      <c r="AV68" s="118"/>
      <c r="AW68" s="118"/>
      <c r="AX68" s="118"/>
      <c r="AY68" s="86"/>
      <c r="AZ68" s="127"/>
      <c r="BB68" s="3"/>
    </row>
    <row r="69" spans="3:54" ht="15.6" x14ac:dyDescent="0.3">
      <c r="C69" s="86">
        <v>65</v>
      </c>
      <c r="D69" s="1"/>
      <c r="E69" s="1"/>
      <c r="F69" s="120"/>
      <c r="G69" s="120"/>
      <c r="H69" s="120"/>
      <c r="I69" s="120"/>
      <c r="J69" s="120"/>
      <c r="K69" s="86"/>
      <c r="L69" s="123"/>
      <c r="M69" s="3"/>
      <c r="N69" s="86">
        <v>65</v>
      </c>
      <c r="O69" s="112"/>
      <c r="P69" s="112"/>
      <c r="Q69" s="125"/>
      <c r="R69" s="125"/>
      <c r="S69" s="125"/>
      <c r="T69" s="125"/>
      <c r="U69" s="125"/>
      <c r="V69" s="86" t="s">
        <v>40</v>
      </c>
      <c r="W69" s="124"/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>
        <v>65</v>
      </c>
      <c r="AR69" s="126"/>
      <c r="AS69" s="126"/>
      <c r="AT69" s="118"/>
      <c r="AU69" s="118"/>
      <c r="AV69" s="118"/>
      <c r="AW69" s="118"/>
      <c r="AX69" s="118"/>
      <c r="AY69" s="86"/>
      <c r="AZ69" s="127"/>
      <c r="BB69" s="3"/>
    </row>
    <row r="70" spans="3:54" ht="15.6" x14ac:dyDescent="0.3">
      <c r="C70" s="86">
        <v>66</v>
      </c>
      <c r="D70" s="1"/>
      <c r="E70" s="1"/>
      <c r="F70" s="120"/>
      <c r="G70" s="120"/>
      <c r="H70" s="120"/>
      <c r="I70" s="120"/>
      <c r="J70" s="120"/>
      <c r="K70" s="86"/>
      <c r="L70" s="123"/>
      <c r="M70" s="3"/>
      <c r="N70" s="86">
        <v>66</v>
      </c>
      <c r="O70" s="112"/>
      <c r="P70" s="112"/>
      <c r="Q70" s="125"/>
      <c r="R70" s="125"/>
      <c r="S70" s="125"/>
      <c r="T70" s="125"/>
      <c r="U70" s="125"/>
      <c r="V70" s="86" t="s">
        <v>40</v>
      </c>
      <c r="W70" s="124"/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>
        <v>66</v>
      </c>
      <c r="AR70" s="126"/>
      <c r="AS70" s="126"/>
      <c r="AT70" s="118"/>
      <c r="AU70" s="118"/>
      <c r="AV70" s="118"/>
      <c r="AW70" s="118"/>
      <c r="AX70" s="118"/>
      <c r="AY70" s="86"/>
      <c r="AZ70" s="127"/>
      <c r="BB70" s="3"/>
    </row>
    <row r="71" spans="3:54" ht="15.6" x14ac:dyDescent="0.3">
      <c r="C71" s="86">
        <v>67</v>
      </c>
      <c r="D71" s="1"/>
      <c r="E71" s="1"/>
      <c r="F71" s="120"/>
      <c r="G71" s="120"/>
      <c r="H71" s="120"/>
      <c r="I71" s="120"/>
      <c r="J71" s="120"/>
      <c r="K71" s="86"/>
      <c r="L71" s="123"/>
      <c r="M71" s="3"/>
      <c r="N71" s="86">
        <v>67</v>
      </c>
      <c r="O71" s="112"/>
      <c r="P71" s="112"/>
      <c r="Q71" s="125"/>
      <c r="R71" s="125"/>
      <c r="S71" s="125"/>
      <c r="T71" s="125"/>
      <c r="U71" s="125"/>
      <c r="V71" s="86" t="s">
        <v>40</v>
      </c>
      <c r="W71" s="124"/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>
        <v>67</v>
      </c>
      <c r="AR71" s="126"/>
      <c r="AS71" s="126"/>
      <c r="AT71" s="118"/>
      <c r="AU71" s="118"/>
      <c r="AV71" s="118"/>
      <c r="AW71" s="118"/>
      <c r="AX71" s="118"/>
      <c r="AY71" s="86"/>
      <c r="AZ71" s="127"/>
      <c r="BB71" s="3"/>
    </row>
    <row r="72" spans="3:54" ht="15.6" x14ac:dyDescent="0.3">
      <c r="C72" s="86">
        <v>68</v>
      </c>
      <c r="D72" s="1"/>
      <c r="E72" s="1"/>
      <c r="F72" s="120"/>
      <c r="G72" s="120"/>
      <c r="H72" s="120"/>
      <c r="I72" s="120"/>
      <c r="J72" s="120"/>
      <c r="K72" s="86"/>
      <c r="L72" s="123"/>
      <c r="M72" s="3"/>
      <c r="N72" s="86">
        <v>68</v>
      </c>
      <c r="O72" s="112"/>
      <c r="P72" s="112"/>
      <c r="Q72" s="125"/>
      <c r="R72" s="125"/>
      <c r="S72" s="125"/>
      <c r="T72" s="125"/>
      <c r="U72" s="125"/>
      <c r="V72" s="86" t="s">
        <v>40</v>
      </c>
      <c r="W72" s="124"/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>
        <v>68</v>
      </c>
      <c r="AR72" s="126"/>
      <c r="AS72" s="126"/>
      <c r="AT72" s="118"/>
      <c r="AU72" s="118"/>
      <c r="AV72" s="118"/>
      <c r="AW72" s="118"/>
      <c r="AX72" s="118"/>
      <c r="AY72" s="86"/>
      <c r="AZ72" s="127"/>
      <c r="BB72" s="3"/>
    </row>
    <row r="73" spans="3:54" x14ac:dyDescent="0.3">
      <c r="C73" s="86">
        <v>69</v>
      </c>
      <c r="D73" s="1"/>
      <c r="E73" s="1"/>
      <c r="F73" s="120"/>
      <c r="G73" s="120"/>
      <c r="H73" s="120"/>
      <c r="I73" s="120"/>
      <c r="J73" s="120"/>
      <c r="K73" s="86"/>
      <c r="L73" s="123"/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 t="s">
        <v>40</v>
      </c>
      <c r="W73" s="116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>
        <v>69</v>
      </c>
      <c r="AR73" s="126"/>
      <c r="AS73" s="126"/>
      <c r="AT73" s="118"/>
      <c r="AU73" s="118"/>
      <c r="AV73" s="118"/>
      <c r="AW73" s="118"/>
      <c r="AX73" s="118"/>
      <c r="AY73" s="86"/>
      <c r="AZ73" s="127"/>
      <c r="BB73" s="3"/>
    </row>
    <row r="74" spans="3:54" x14ac:dyDescent="0.3">
      <c r="C74" s="86">
        <v>70</v>
      </c>
      <c r="D74" s="1"/>
      <c r="E74" s="1"/>
      <c r="F74" s="120"/>
      <c r="G74" s="120"/>
      <c r="H74" s="120"/>
      <c r="I74" s="120"/>
      <c r="J74" s="120"/>
      <c r="K74" s="86"/>
      <c r="L74" s="123"/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 t="s">
        <v>40</v>
      </c>
      <c r="W74" s="116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>
        <v>70</v>
      </c>
      <c r="AR74" s="126"/>
      <c r="AS74" s="126"/>
      <c r="AT74" s="118"/>
      <c r="AU74" s="118"/>
      <c r="AV74" s="118"/>
      <c r="AW74" s="118"/>
      <c r="AX74" s="118"/>
      <c r="AY74" s="86"/>
      <c r="AZ74" s="127"/>
      <c r="BB74" s="3"/>
    </row>
    <row r="75" spans="3:54" x14ac:dyDescent="0.3">
      <c r="C75" s="86">
        <v>71</v>
      </c>
      <c r="D75" s="1"/>
      <c r="E75" s="1"/>
      <c r="F75" s="120"/>
      <c r="G75" s="120"/>
      <c r="H75" s="120"/>
      <c r="I75" s="120"/>
      <c r="J75" s="120"/>
      <c r="K75" s="86"/>
      <c r="L75" s="123"/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 t="s">
        <v>40</v>
      </c>
      <c r="W75" s="116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>
        <v>71</v>
      </c>
      <c r="AR75" s="126"/>
      <c r="AS75" s="126"/>
      <c r="AT75" s="118"/>
      <c r="AU75" s="118"/>
      <c r="AV75" s="118"/>
      <c r="AW75" s="118"/>
      <c r="AX75" s="118"/>
      <c r="AY75" s="86"/>
      <c r="AZ75" s="127"/>
      <c r="BB75" s="3"/>
    </row>
    <row r="76" spans="3:54" x14ac:dyDescent="0.3">
      <c r="C76" s="86">
        <v>72</v>
      </c>
      <c r="D76" s="1"/>
      <c r="E76" s="1"/>
      <c r="F76" s="120"/>
      <c r="G76" s="120"/>
      <c r="H76" s="120"/>
      <c r="I76" s="120"/>
      <c r="J76" s="120"/>
      <c r="K76" s="86"/>
      <c r="L76" s="123"/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 t="s">
        <v>40</v>
      </c>
      <c r="W76" s="116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>
        <v>72</v>
      </c>
      <c r="AR76" s="126"/>
      <c r="AS76" s="126"/>
      <c r="AT76" s="118"/>
      <c r="AU76" s="118"/>
      <c r="AV76" s="118"/>
      <c r="AW76" s="118"/>
      <c r="AX76" s="118"/>
      <c r="AY76" s="86"/>
      <c r="AZ76" s="127"/>
      <c r="BB76" s="3"/>
    </row>
    <row r="77" spans="3:54" x14ac:dyDescent="0.3">
      <c r="C77" s="86">
        <v>73</v>
      </c>
      <c r="D77" s="1"/>
      <c r="E77" s="1"/>
      <c r="F77" s="120"/>
      <c r="G77" s="120"/>
      <c r="H77" s="120"/>
      <c r="I77" s="120"/>
      <c r="J77" s="120"/>
      <c r="K77" s="86"/>
      <c r="L77" s="123"/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 t="s">
        <v>40</v>
      </c>
      <c r="W77" s="116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>
        <v>73</v>
      </c>
      <c r="AR77" s="126"/>
      <c r="AS77" s="126"/>
      <c r="AT77" s="118"/>
      <c r="AU77" s="118"/>
      <c r="AV77" s="118"/>
      <c r="AW77" s="118"/>
      <c r="AX77" s="118"/>
      <c r="AY77" s="86"/>
      <c r="AZ77" s="127"/>
      <c r="BB77" s="3"/>
    </row>
    <row r="78" spans="3:54" x14ac:dyDescent="0.3">
      <c r="C78" s="86">
        <v>74</v>
      </c>
      <c r="D78" s="1"/>
      <c r="E78" s="1"/>
      <c r="F78" s="120"/>
      <c r="G78" s="120"/>
      <c r="H78" s="120"/>
      <c r="I78" s="120"/>
      <c r="J78" s="120"/>
      <c r="K78" s="86"/>
      <c r="L78" s="123"/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 t="s">
        <v>40</v>
      </c>
      <c r="W78" s="116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>
        <v>74</v>
      </c>
      <c r="AR78" s="126"/>
      <c r="AS78" s="126"/>
      <c r="AT78" s="118"/>
      <c r="AU78" s="118"/>
      <c r="AV78" s="118"/>
      <c r="AW78" s="118"/>
      <c r="AX78" s="118"/>
      <c r="AY78" s="86"/>
      <c r="AZ78" s="127"/>
      <c r="BB78" s="3"/>
    </row>
    <row r="79" spans="3:54" x14ac:dyDescent="0.3">
      <c r="C79" s="86">
        <v>75</v>
      </c>
      <c r="D79" s="1"/>
      <c r="E79" s="1"/>
      <c r="F79" s="120"/>
      <c r="G79" s="120"/>
      <c r="H79" s="120"/>
      <c r="I79" s="120"/>
      <c r="J79" s="120"/>
      <c r="K79" s="86"/>
      <c r="L79" s="123"/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 t="s">
        <v>40</v>
      </c>
      <c r="W79" s="116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>
        <v>75</v>
      </c>
      <c r="AR79" s="126"/>
      <c r="AS79" s="126"/>
      <c r="AT79" s="118"/>
      <c r="AU79" s="118"/>
      <c r="AV79" s="118"/>
      <c r="AW79" s="118"/>
      <c r="AX79" s="118"/>
      <c r="AY79" s="86"/>
      <c r="AZ79" s="127"/>
      <c r="BB79" s="3"/>
    </row>
    <row r="80" spans="3:54" x14ac:dyDescent="0.3">
      <c r="C80" s="86">
        <v>76</v>
      </c>
      <c r="D80" s="1"/>
      <c r="E80" s="1"/>
      <c r="F80" s="120"/>
      <c r="G80" s="120"/>
      <c r="H80" s="120"/>
      <c r="I80" s="120"/>
      <c r="J80" s="120"/>
      <c r="K80" s="86"/>
      <c r="L80" s="123"/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 t="s">
        <v>40</v>
      </c>
      <c r="W80" s="116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>
        <v>76</v>
      </c>
      <c r="AR80" s="126"/>
      <c r="AS80" s="126"/>
      <c r="AT80" s="118"/>
      <c r="AU80" s="118"/>
      <c r="AV80" s="118"/>
      <c r="AW80" s="118"/>
      <c r="AX80" s="118"/>
      <c r="AY80" s="86"/>
      <c r="AZ80" s="127"/>
      <c r="BB80" s="3"/>
    </row>
    <row r="81" spans="3:54" x14ac:dyDescent="0.3">
      <c r="C81" s="86">
        <v>77</v>
      </c>
      <c r="D81" s="1"/>
      <c r="E81" s="1"/>
      <c r="F81" s="120"/>
      <c r="G81" s="120"/>
      <c r="H81" s="120"/>
      <c r="I81" s="120"/>
      <c r="J81" s="120"/>
      <c r="K81" s="86"/>
      <c r="L81" s="123"/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 t="s">
        <v>40</v>
      </c>
      <c r="W81" s="116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>
        <v>77</v>
      </c>
      <c r="AR81" s="126"/>
      <c r="AS81" s="126"/>
      <c r="AT81" s="118"/>
      <c r="AU81" s="118"/>
      <c r="AV81" s="118"/>
      <c r="AW81" s="118"/>
      <c r="AX81" s="118"/>
      <c r="AY81" s="86"/>
      <c r="AZ81" s="127"/>
      <c r="BB81" s="3"/>
    </row>
    <row r="82" spans="3:54" x14ac:dyDescent="0.3">
      <c r="C82" s="86">
        <v>78</v>
      </c>
      <c r="D82" s="1"/>
      <c r="E82" s="1"/>
      <c r="F82" s="120"/>
      <c r="G82" s="120"/>
      <c r="H82" s="120"/>
      <c r="I82" s="120"/>
      <c r="J82" s="120"/>
      <c r="K82" s="86"/>
      <c r="L82" s="123"/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 t="s">
        <v>40</v>
      </c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>
        <v>78</v>
      </c>
      <c r="AR82" s="126"/>
      <c r="AS82" s="126"/>
      <c r="AT82" s="118"/>
      <c r="AU82" s="118"/>
      <c r="AV82" s="118"/>
      <c r="AW82" s="118"/>
      <c r="AX82" s="118"/>
      <c r="AY82" s="86"/>
      <c r="AZ82" s="127"/>
      <c r="BB82" s="3"/>
    </row>
    <row r="83" spans="3:54" x14ac:dyDescent="0.3">
      <c r="C83" s="86">
        <v>79</v>
      </c>
      <c r="D83" s="1"/>
      <c r="E83" s="1"/>
      <c r="F83" s="120"/>
      <c r="G83" s="120"/>
      <c r="H83" s="120"/>
      <c r="I83" s="120"/>
      <c r="J83" s="120"/>
      <c r="K83" s="86"/>
      <c r="L83" s="123"/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 t="s">
        <v>40</v>
      </c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>
        <v>79</v>
      </c>
      <c r="AR83" s="126"/>
      <c r="AS83" s="126"/>
      <c r="AT83" s="118"/>
      <c r="AU83" s="118"/>
      <c r="AV83" s="118"/>
      <c r="AW83" s="118"/>
      <c r="AX83" s="118"/>
      <c r="AY83" s="86"/>
      <c r="AZ83" s="127"/>
      <c r="BB83" s="3"/>
    </row>
    <row r="84" spans="3:54" x14ac:dyDescent="0.3">
      <c r="C84" s="86">
        <v>80</v>
      </c>
      <c r="D84" s="1"/>
      <c r="E84" s="1"/>
      <c r="F84" s="120"/>
      <c r="G84" s="120"/>
      <c r="H84" s="120"/>
      <c r="I84" s="120"/>
      <c r="J84" s="120"/>
      <c r="K84" s="86"/>
      <c r="L84" s="123"/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 t="s">
        <v>40</v>
      </c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>
        <v>80</v>
      </c>
      <c r="AR84" s="126"/>
      <c r="AS84" s="126"/>
      <c r="AT84" s="118"/>
      <c r="AU84" s="118"/>
      <c r="AV84" s="118"/>
      <c r="AW84" s="118"/>
      <c r="AX84" s="118"/>
      <c r="AY84" s="86"/>
      <c r="AZ84" s="127"/>
      <c r="BB84" s="3"/>
    </row>
    <row r="85" spans="3:54" x14ac:dyDescent="0.3">
      <c r="C85" s="86">
        <v>81</v>
      </c>
      <c r="D85" s="1"/>
      <c r="E85" s="1"/>
      <c r="F85" s="120"/>
      <c r="G85" s="120"/>
      <c r="H85" s="120"/>
      <c r="I85" s="120"/>
      <c r="J85" s="120"/>
      <c r="K85" s="86"/>
      <c r="L85" s="123"/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 t="s">
        <v>40</v>
      </c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>
        <v>81</v>
      </c>
      <c r="AR85" s="126"/>
      <c r="AS85" s="126"/>
      <c r="AT85" s="118"/>
      <c r="AU85" s="118"/>
      <c r="AV85" s="118"/>
      <c r="AW85" s="118"/>
      <c r="AX85" s="118"/>
      <c r="AY85" s="86"/>
      <c r="AZ85" s="127"/>
      <c r="BB85" s="3"/>
    </row>
    <row r="86" spans="3:54" x14ac:dyDescent="0.3">
      <c r="C86" s="86">
        <v>82</v>
      </c>
      <c r="D86" s="1"/>
      <c r="E86" s="1"/>
      <c r="F86" s="120"/>
      <c r="G86" s="120"/>
      <c r="H86" s="120"/>
      <c r="I86" s="120"/>
      <c r="J86" s="120"/>
      <c r="K86" s="86"/>
      <c r="L86" s="123"/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 t="s">
        <v>40</v>
      </c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6">
        <v>82</v>
      </c>
      <c r="AR86" s="126"/>
      <c r="AS86" s="126"/>
      <c r="AT86" s="118"/>
      <c r="AU86" s="118"/>
      <c r="AV86" s="118"/>
      <c r="AW86" s="118"/>
      <c r="AX86" s="118"/>
      <c r="AY86" s="86"/>
      <c r="AZ86" s="127"/>
      <c r="BB86" s="3"/>
    </row>
    <row r="87" spans="3:54" x14ac:dyDescent="0.3">
      <c r="C87" s="86">
        <v>83</v>
      </c>
      <c r="D87" s="1"/>
      <c r="E87" s="1"/>
      <c r="F87" s="120"/>
      <c r="G87" s="120"/>
      <c r="H87" s="120"/>
      <c r="I87" s="120"/>
      <c r="J87" s="120"/>
      <c r="K87" s="86"/>
      <c r="L87" s="123"/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 t="s">
        <v>40</v>
      </c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6">
        <v>83</v>
      </c>
      <c r="AR87" s="126"/>
      <c r="AS87" s="126"/>
      <c r="AT87" s="118"/>
      <c r="AU87" s="118"/>
      <c r="AV87" s="118"/>
      <c r="AW87" s="118"/>
      <c r="AX87" s="118"/>
      <c r="AY87" s="86"/>
      <c r="AZ87" s="127"/>
      <c r="BB87" s="3"/>
    </row>
    <row r="88" spans="3:54" x14ac:dyDescent="0.3">
      <c r="C88" s="86">
        <v>84</v>
      </c>
      <c r="D88" s="1"/>
      <c r="E88" s="1"/>
      <c r="F88" s="120"/>
      <c r="G88" s="120"/>
      <c r="H88" s="120"/>
      <c r="I88" s="120"/>
      <c r="J88" s="120"/>
      <c r="K88" s="86"/>
      <c r="L88" s="123"/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 t="s">
        <v>40</v>
      </c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6">
        <v>84</v>
      </c>
      <c r="AR88" s="126"/>
      <c r="AS88" s="126"/>
      <c r="AT88" s="118"/>
      <c r="AU88" s="118"/>
      <c r="AV88" s="118"/>
      <c r="AW88" s="118"/>
      <c r="AX88" s="118"/>
      <c r="AY88" s="86"/>
      <c r="AZ88" s="127"/>
      <c r="BB88" s="3"/>
    </row>
    <row r="89" spans="3:54" x14ac:dyDescent="0.3">
      <c r="C89" s="86">
        <v>85</v>
      </c>
      <c r="D89" s="1"/>
      <c r="E89" s="1"/>
      <c r="F89" s="120"/>
      <c r="G89" s="120"/>
      <c r="H89" s="120"/>
      <c r="I89" s="120"/>
      <c r="J89" s="120"/>
      <c r="K89" s="86"/>
      <c r="L89" s="123"/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 t="s">
        <v>40</v>
      </c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6">
        <v>85</v>
      </c>
      <c r="AR89" s="126"/>
      <c r="AS89" s="126"/>
      <c r="AT89" s="118"/>
      <c r="AU89" s="118"/>
      <c r="AV89" s="118"/>
      <c r="AW89" s="118"/>
      <c r="AX89" s="118"/>
      <c r="AY89" s="86"/>
      <c r="AZ89" s="127"/>
      <c r="BB89" s="3"/>
    </row>
    <row r="90" spans="3:54" x14ac:dyDescent="0.3">
      <c r="C90" s="86">
        <v>86</v>
      </c>
      <c r="D90" s="1"/>
      <c r="E90" s="1"/>
      <c r="F90" s="120"/>
      <c r="G90" s="120"/>
      <c r="H90" s="120"/>
      <c r="I90" s="120"/>
      <c r="J90" s="120"/>
      <c r="K90" s="86"/>
      <c r="L90" s="123"/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 t="s">
        <v>40</v>
      </c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6">
        <v>86</v>
      </c>
      <c r="AR90" s="126"/>
      <c r="AS90" s="126"/>
      <c r="AT90" s="118"/>
      <c r="AU90" s="118"/>
      <c r="AV90" s="118"/>
      <c r="AW90" s="118"/>
      <c r="AX90" s="118"/>
      <c r="AY90" s="86"/>
      <c r="AZ90" s="127"/>
      <c r="BB90" s="3"/>
    </row>
    <row r="91" spans="3:54" x14ac:dyDescent="0.3">
      <c r="C91" s="86">
        <v>87</v>
      </c>
      <c r="D91" s="1"/>
      <c r="E91" s="1"/>
      <c r="F91" s="120"/>
      <c r="G91" s="120"/>
      <c r="H91" s="120"/>
      <c r="I91" s="120"/>
      <c r="J91" s="120"/>
      <c r="K91" s="86"/>
      <c r="L91" s="123"/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 t="s">
        <v>40</v>
      </c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6">
        <v>87</v>
      </c>
      <c r="AR91" s="126"/>
      <c r="AS91" s="126"/>
      <c r="AT91" s="118"/>
      <c r="AU91" s="118"/>
      <c r="AV91" s="118"/>
      <c r="AW91" s="118"/>
      <c r="AX91" s="118"/>
      <c r="AY91" s="86"/>
      <c r="AZ91" s="127"/>
      <c r="BB91" s="3"/>
    </row>
    <row r="92" spans="3:54" x14ac:dyDescent="0.3">
      <c r="C92" s="86">
        <v>88</v>
      </c>
      <c r="D92" s="1"/>
      <c r="E92" s="1"/>
      <c r="F92" s="120"/>
      <c r="G92" s="120"/>
      <c r="H92" s="120"/>
      <c r="I92" s="120"/>
      <c r="J92" s="120"/>
      <c r="K92" s="86"/>
      <c r="L92" s="123"/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6">
        <v>88</v>
      </c>
      <c r="AR92" s="126"/>
      <c r="AS92" s="126"/>
      <c r="AT92" s="118"/>
      <c r="AU92" s="118"/>
      <c r="AV92" s="118"/>
      <c r="AW92" s="118"/>
      <c r="AX92" s="118"/>
      <c r="AY92" s="86"/>
      <c r="AZ92" s="127"/>
      <c r="BB92" s="3"/>
    </row>
    <row r="93" spans="3:54" x14ac:dyDescent="0.3">
      <c r="C93" s="86">
        <v>89</v>
      </c>
      <c r="D93" s="1"/>
      <c r="E93" s="1"/>
      <c r="F93" s="120"/>
      <c r="G93" s="120"/>
      <c r="H93" s="120"/>
      <c r="I93" s="120"/>
      <c r="J93" s="120"/>
      <c r="K93" s="86"/>
      <c r="L93" s="123"/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6">
        <v>89</v>
      </c>
      <c r="AR93" s="126"/>
      <c r="AS93" s="126"/>
      <c r="AT93" s="118"/>
      <c r="AU93" s="118"/>
      <c r="AV93" s="118"/>
      <c r="AW93" s="118"/>
      <c r="AX93" s="118"/>
      <c r="AY93" s="86"/>
      <c r="AZ93" s="127"/>
      <c r="BB93" s="3"/>
    </row>
    <row r="94" spans="3:54" x14ac:dyDescent="0.3">
      <c r="C94" s="86">
        <v>90</v>
      </c>
      <c r="D94" s="1"/>
      <c r="E94" s="1"/>
      <c r="F94" s="120"/>
      <c r="G94" s="120"/>
      <c r="H94" s="120"/>
      <c r="I94" s="120"/>
      <c r="J94" s="120"/>
      <c r="K94" s="86"/>
      <c r="L94" s="123"/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6">
        <v>90</v>
      </c>
      <c r="AR94" s="126"/>
      <c r="AS94" s="126"/>
      <c r="AT94" s="118"/>
      <c r="AU94" s="118"/>
      <c r="AV94" s="118"/>
      <c r="AW94" s="118"/>
      <c r="AX94" s="118"/>
      <c r="AY94" s="86"/>
      <c r="AZ94" s="127"/>
      <c r="BB94" s="3"/>
    </row>
    <row r="95" spans="3:54" x14ac:dyDescent="0.3">
      <c r="C95" s="86">
        <v>91</v>
      </c>
      <c r="D95" s="1"/>
      <c r="E95" s="1"/>
      <c r="F95" s="120"/>
      <c r="G95" s="120"/>
      <c r="H95" s="120"/>
      <c r="I95" s="120"/>
      <c r="J95" s="120"/>
      <c r="K95" s="86"/>
      <c r="L95" s="123"/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6">
        <v>91</v>
      </c>
      <c r="AR95" s="126"/>
      <c r="AS95" s="126"/>
      <c r="AT95" s="118"/>
      <c r="AU95" s="118"/>
      <c r="AV95" s="118"/>
      <c r="AW95" s="118"/>
      <c r="AX95" s="118"/>
      <c r="AY95" s="86"/>
      <c r="AZ95" s="127"/>
      <c r="BB95" s="3"/>
    </row>
    <row r="96" spans="3:54" x14ac:dyDescent="0.3">
      <c r="C96" s="86">
        <v>92</v>
      </c>
      <c r="D96" s="1"/>
      <c r="E96" s="1"/>
      <c r="F96" s="120"/>
      <c r="G96" s="120"/>
      <c r="H96" s="120"/>
      <c r="I96" s="120"/>
      <c r="J96" s="120"/>
      <c r="K96" s="86"/>
      <c r="L96" s="123"/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6">
        <v>92</v>
      </c>
      <c r="AR96" s="126"/>
      <c r="AS96" s="126"/>
      <c r="AT96" s="118"/>
      <c r="AU96" s="118"/>
      <c r="AV96" s="118"/>
      <c r="AW96" s="118"/>
      <c r="AX96" s="118"/>
      <c r="AY96" s="86"/>
      <c r="AZ96" s="127"/>
      <c r="BB96" s="3"/>
    </row>
    <row r="97" spans="3:54" x14ac:dyDescent="0.3">
      <c r="C97" s="86">
        <v>93</v>
      </c>
      <c r="D97" s="1"/>
      <c r="E97" s="1"/>
      <c r="F97" s="120"/>
      <c r="G97" s="120"/>
      <c r="H97" s="120"/>
      <c r="I97" s="120"/>
      <c r="J97" s="120"/>
      <c r="K97" s="86"/>
      <c r="L97" s="123"/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6">
        <v>93</v>
      </c>
      <c r="AR97" s="126"/>
      <c r="AS97" s="126"/>
      <c r="AT97" s="118"/>
      <c r="AU97" s="118"/>
      <c r="AV97" s="118"/>
      <c r="AW97" s="118"/>
      <c r="AX97" s="118"/>
      <c r="AY97" s="86"/>
      <c r="AZ97" s="127"/>
      <c r="BB97" s="3"/>
    </row>
    <row r="98" spans="3:54" x14ac:dyDescent="0.3">
      <c r="C98" s="86">
        <v>94</v>
      </c>
      <c r="D98" s="1"/>
      <c r="E98" s="1"/>
      <c r="F98" s="120"/>
      <c r="G98" s="120"/>
      <c r="H98" s="120"/>
      <c r="I98" s="120"/>
      <c r="J98" s="120"/>
      <c r="K98" s="86"/>
      <c r="L98" s="123"/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6">
        <v>94</v>
      </c>
      <c r="AR98" s="126"/>
      <c r="AS98" s="126"/>
      <c r="AT98" s="118"/>
      <c r="AU98" s="118"/>
      <c r="AV98" s="118"/>
      <c r="AW98" s="118"/>
      <c r="AX98" s="118"/>
      <c r="AY98" s="86"/>
      <c r="AZ98" s="127"/>
      <c r="BB98" s="3"/>
    </row>
    <row r="99" spans="3:54" x14ac:dyDescent="0.3">
      <c r="C99" s="86">
        <v>95</v>
      </c>
      <c r="D99" s="1"/>
      <c r="E99" s="1"/>
      <c r="F99" s="120"/>
      <c r="G99" s="120"/>
      <c r="H99" s="120"/>
      <c r="I99" s="120"/>
      <c r="J99" s="120"/>
      <c r="K99" s="86"/>
      <c r="L99" s="123"/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6">
        <v>95</v>
      </c>
      <c r="AR99" s="126"/>
      <c r="AS99" s="126"/>
      <c r="AT99" s="118"/>
      <c r="AU99" s="118"/>
      <c r="AV99" s="118"/>
      <c r="AW99" s="118"/>
      <c r="AX99" s="118"/>
      <c r="AY99" s="86"/>
      <c r="AZ99" s="127"/>
      <c r="BB99" s="3"/>
    </row>
    <row r="100" spans="3:54" x14ac:dyDescent="0.3">
      <c r="C100" s="86">
        <v>96</v>
      </c>
      <c r="D100" s="1"/>
      <c r="E100" s="1"/>
      <c r="F100" s="120"/>
      <c r="G100" s="120"/>
      <c r="H100" s="120"/>
      <c r="I100" s="120"/>
      <c r="J100" s="120"/>
      <c r="K100" s="86"/>
      <c r="L100" s="123"/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6">
        <v>96</v>
      </c>
      <c r="AR100" s="126"/>
      <c r="AS100" s="126"/>
      <c r="AT100" s="118"/>
      <c r="AU100" s="118"/>
      <c r="AV100" s="118"/>
      <c r="AW100" s="118"/>
      <c r="AX100" s="118"/>
      <c r="AY100" s="86"/>
      <c r="AZ100" s="127"/>
      <c r="BB100" s="3"/>
    </row>
    <row r="101" spans="3:54" x14ac:dyDescent="0.3">
      <c r="C101" s="86">
        <v>97</v>
      </c>
      <c r="D101" s="1"/>
      <c r="E101" s="1"/>
      <c r="F101" s="120"/>
      <c r="G101" s="120"/>
      <c r="H101" s="120"/>
      <c r="I101" s="120"/>
      <c r="J101" s="120"/>
      <c r="K101" s="86"/>
      <c r="L101" s="123"/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6">
        <v>97</v>
      </c>
      <c r="AR101" s="126"/>
      <c r="AS101" s="126"/>
      <c r="AT101" s="118"/>
      <c r="AU101" s="118"/>
      <c r="AV101" s="118"/>
      <c r="AW101" s="118"/>
      <c r="AX101" s="118"/>
      <c r="AY101" s="86"/>
      <c r="AZ101" s="127"/>
      <c r="BB101" s="3"/>
    </row>
    <row r="102" spans="3:54" x14ac:dyDescent="0.3">
      <c r="C102" s="86">
        <v>98</v>
      </c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6">
        <v>98</v>
      </c>
      <c r="AR102" s="126"/>
      <c r="AS102" s="126"/>
      <c r="AT102" s="118"/>
      <c r="AU102" s="118"/>
      <c r="AV102" s="118"/>
      <c r="AW102" s="118"/>
      <c r="AX102" s="118"/>
      <c r="AY102" s="86"/>
      <c r="AZ102" s="127"/>
      <c r="BB102" s="3"/>
    </row>
    <row r="103" spans="3:54" x14ac:dyDescent="0.3">
      <c r="C103" s="86">
        <v>99</v>
      </c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6">
        <v>99</v>
      </c>
      <c r="AR103" s="126"/>
      <c r="AS103" s="126"/>
      <c r="AT103" s="118"/>
      <c r="AU103" s="118"/>
      <c r="AV103" s="118"/>
      <c r="AW103" s="118"/>
      <c r="AX103" s="118"/>
      <c r="AY103" s="86"/>
      <c r="AZ103" s="127"/>
      <c r="BB103" s="3"/>
    </row>
    <row r="104" spans="3:54" x14ac:dyDescent="0.3">
      <c r="C104" s="86">
        <v>100</v>
      </c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6">
        <v>100</v>
      </c>
      <c r="AR104" s="126"/>
      <c r="AS104" s="126"/>
      <c r="AT104" s="118"/>
      <c r="AU104" s="118"/>
      <c r="AV104" s="118"/>
      <c r="AW104" s="118"/>
      <c r="AX104" s="118"/>
      <c r="AY104" s="86"/>
      <c r="AZ104" s="127"/>
      <c r="BB104" s="3"/>
    </row>
    <row r="105" spans="3:54" x14ac:dyDescent="0.3">
      <c r="C105" s="86">
        <v>101</v>
      </c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6">
        <v>101</v>
      </c>
      <c r="AR105" s="126"/>
      <c r="AS105" s="126"/>
      <c r="AT105" s="118"/>
      <c r="AU105" s="118"/>
      <c r="AV105" s="118"/>
      <c r="AW105" s="118"/>
      <c r="AX105" s="118"/>
      <c r="AY105" s="86"/>
      <c r="AZ105" s="127"/>
      <c r="BB105" s="3"/>
    </row>
    <row r="106" spans="3:54" x14ac:dyDescent="0.3">
      <c r="C106" s="86">
        <v>102</v>
      </c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6">
        <v>102</v>
      </c>
      <c r="AR106" s="126"/>
      <c r="AS106" s="126"/>
      <c r="AT106" s="118"/>
      <c r="AU106" s="118"/>
      <c r="AV106" s="118"/>
      <c r="AW106" s="118"/>
      <c r="AX106" s="118"/>
      <c r="AY106" s="86"/>
      <c r="AZ106" s="127"/>
      <c r="BB106" s="3"/>
    </row>
    <row r="107" spans="3:54" x14ac:dyDescent="0.3">
      <c r="C107" s="86">
        <v>103</v>
      </c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6">
        <v>103</v>
      </c>
      <c r="AR107" s="126"/>
      <c r="AS107" s="126"/>
      <c r="AT107" s="118"/>
      <c r="AU107" s="118"/>
      <c r="AV107" s="118"/>
      <c r="AW107" s="118"/>
      <c r="AX107" s="118"/>
      <c r="AY107" s="86"/>
      <c r="AZ107" s="127"/>
      <c r="BB107" s="3"/>
    </row>
    <row r="108" spans="3:54" x14ac:dyDescent="0.3">
      <c r="C108" s="86">
        <v>104</v>
      </c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6">
        <v>104</v>
      </c>
      <c r="AR108" s="126"/>
      <c r="AS108" s="126"/>
      <c r="AT108" s="118"/>
      <c r="AU108" s="118"/>
      <c r="AV108" s="118"/>
      <c r="AW108" s="118"/>
      <c r="AX108" s="118"/>
      <c r="AY108" s="86"/>
      <c r="AZ108" s="127"/>
      <c r="BB108" s="3"/>
    </row>
    <row r="109" spans="3:54" x14ac:dyDescent="0.3">
      <c r="C109" s="86">
        <v>105</v>
      </c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6">
        <v>105</v>
      </c>
      <c r="AR109" s="126"/>
      <c r="AS109" s="126"/>
      <c r="AT109" s="118"/>
      <c r="AU109" s="118"/>
      <c r="AV109" s="118"/>
      <c r="AW109" s="118"/>
      <c r="AX109" s="118"/>
      <c r="AY109" s="86"/>
      <c r="AZ109" s="127"/>
      <c r="BB109" s="3"/>
    </row>
    <row r="110" spans="3:54" x14ac:dyDescent="0.3">
      <c r="C110" s="86">
        <v>106</v>
      </c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6">
        <v>106</v>
      </c>
      <c r="AR110" s="126"/>
      <c r="AS110" s="126"/>
      <c r="AT110" s="118"/>
      <c r="AU110" s="118"/>
      <c r="AV110" s="118"/>
      <c r="AW110" s="118"/>
      <c r="AX110" s="118"/>
      <c r="AY110" s="86"/>
      <c r="AZ110" s="127"/>
      <c r="BB110" s="3"/>
    </row>
    <row r="111" spans="3:54" x14ac:dyDescent="0.3">
      <c r="C111" s="86">
        <v>107</v>
      </c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6">
        <v>107</v>
      </c>
      <c r="AR111" s="126"/>
      <c r="AS111" s="126"/>
      <c r="AT111" s="118"/>
      <c r="AU111" s="118"/>
      <c r="AV111" s="118"/>
      <c r="AW111" s="118"/>
      <c r="AX111" s="118"/>
      <c r="AY111" s="86"/>
      <c r="AZ111" s="127"/>
      <c r="BB111" s="3"/>
    </row>
    <row r="112" spans="3:54" x14ac:dyDescent="0.3">
      <c r="C112" s="86">
        <v>108</v>
      </c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6">
        <v>108</v>
      </c>
      <c r="AR112" s="126"/>
      <c r="AS112" s="126"/>
      <c r="AT112" s="118"/>
      <c r="AU112" s="118"/>
      <c r="AV112" s="118"/>
      <c r="AW112" s="118"/>
      <c r="AX112" s="118"/>
      <c r="AY112" s="86"/>
      <c r="AZ112" s="127"/>
      <c r="BB112" s="3"/>
    </row>
    <row r="113" spans="3:54" x14ac:dyDescent="0.3">
      <c r="C113" s="86">
        <v>109</v>
      </c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6">
        <v>109</v>
      </c>
      <c r="AR113" s="126"/>
      <c r="AS113" s="126"/>
      <c r="AT113" s="118"/>
      <c r="AU113" s="118"/>
      <c r="AV113" s="118"/>
      <c r="AW113" s="118"/>
      <c r="AX113" s="118"/>
      <c r="AY113" s="86"/>
      <c r="AZ113" s="127"/>
      <c r="BB113" s="3"/>
    </row>
    <row r="114" spans="3:54" x14ac:dyDescent="0.3">
      <c r="C114" s="86">
        <v>110</v>
      </c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6">
        <v>110</v>
      </c>
      <c r="AR114" s="126"/>
      <c r="AS114" s="126"/>
      <c r="AT114" s="118"/>
      <c r="AU114" s="118"/>
      <c r="AV114" s="118"/>
      <c r="AW114" s="118"/>
      <c r="AX114" s="118"/>
      <c r="AY114" s="86"/>
      <c r="AZ114" s="127"/>
      <c r="BB114" s="3"/>
    </row>
    <row r="115" spans="3:54" x14ac:dyDescent="0.3">
      <c r="C115" s="86">
        <v>111</v>
      </c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6">
        <v>111</v>
      </c>
      <c r="AR115" s="126"/>
      <c r="AS115" s="126"/>
      <c r="AT115" s="118"/>
      <c r="AU115" s="118"/>
      <c r="AV115" s="118"/>
      <c r="AW115" s="118"/>
      <c r="AX115" s="118"/>
      <c r="AY115" s="86"/>
      <c r="AZ115" s="127"/>
      <c r="BB115" s="3"/>
    </row>
    <row r="116" spans="3:54" x14ac:dyDescent="0.3">
      <c r="C116" s="86">
        <v>112</v>
      </c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6">
        <v>112</v>
      </c>
      <c r="AR116" s="126"/>
      <c r="AS116" s="126"/>
      <c r="AT116" s="118"/>
      <c r="AU116" s="118"/>
      <c r="AV116" s="118"/>
      <c r="AW116" s="118"/>
      <c r="AX116" s="118"/>
      <c r="AY116" s="86"/>
      <c r="AZ116" s="127"/>
      <c r="BB116" s="3"/>
    </row>
    <row r="117" spans="3:54" x14ac:dyDescent="0.3">
      <c r="C117" s="86">
        <v>113</v>
      </c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6">
        <v>113</v>
      </c>
      <c r="AR117" s="126"/>
      <c r="AS117" s="126"/>
      <c r="AT117" s="118"/>
      <c r="AU117" s="118"/>
      <c r="AV117" s="118"/>
      <c r="AW117" s="118"/>
      <c r="AX117" s="118"/>
      <c r="AY117" s="86"/>
      <c r="AZ117" s="127"/>
      <c r="BB117" s="3"/>
    </row>
    <row r="118" spans="3:54" x14ac:dyDescent="0.3">
      <c r="C118" s="86">
        <v>114</v>
      </c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6">
        <v>114</v>
      </c>
      <c r="AR118" s="126"/>
      <c r="AS118" s="126"/>
      <c r="AT118" s="118"/>
      <c r="AU118" s="118"/>
      <c r="AV118" s="118"/>
      <c r="AW118" s="118"/>
      <c r="AX118" s="118"/>
      <c r="AY118" s="86"/>
      <c r="AZ118" s="127"/>
      <c r="BB118" s="3"/>
    </row>
    <row r="119" spans="3:54" x14ac:dyDescent="0.3">
      <c r="C119" s="86">
        <v>115</v>
      </c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6">
        <v>115</v>
      </c>
      <c r="AR119" s="126"/>
      <c r="AS119" s="126"/>
      <c r="AT119" s="118"/>
      <c r="AU119" s="118"/>
      <c r="AV119" s="118"/>
      <c r="AW119" s="118"/>
      <c r="AX119" s="118"/>
      <c r="AY119" s="86"/>
      <c r="AZ119" s="127"/>
      <c r="BB119" s="3"/>
    </row>
    <row r="120" spans="3:54" x14ac:dyDescent="0.3">
      <c r="C120" s="86">
        <v>116</v>
      </c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6">
        <v>116</v>
      </c>
      <c r="AR120" s="126"/>
      <c r="AS120" s="126"/>
      <c r="AT120" s="118"/>
      <c r="AU120" s="118"/>
      <c r="AV120" s="118"/>
      <c r="AW120" s="118"/>
      <c r="AX120" s="118"/>
      <c r="AY120" s="86"/>
      <c r="AZ120" s="127"/>
      <c r="BB120" s="3"/>
    </row>
    <row r="121" spans="3:54" x14ac:dyDescent="0.3">
      <c r="C121" s="86">
        <v>117</v>
      </c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6">
        <v>117</v>
      </c>
      <c r="AR121" s="126"/>
      <c r="AS121" s="126"/>
      <c r="AT121" s="118"/>
      <c r="AU121" s="118"/>
      <c r="AV121" s="118"/>
      <c r="AW121" s="118"/>
      <c r="AX121" s="118"/>
      <c r="AY121" s="86"/>
      <c r="AZ121" s="127"/>
      <c r="BB121" s="3"/>
    </row>
    <row r="122" spans="3:54" x14ac:dyDescent="0.3">
      <c r="C122" s="86">
        <v>118</v>
      </c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6">
        <v>118</v>
      </c>
      <c r="AR122" s="126"/>
      <c r="AS122" s="126"/>
      <c r="AT122" s="118"/>
      <c r="AU122" s="118"/>
      <c r="AV122" s="118"/>
      <c r="AW122" s="118"/>
      <c r="AX122" s="118"/>
      <c r="AY122" s="86"/>
      <c r="AZ122" s="127"/>
      <c r="BB122" s="3"/>
    </row>
    <row r="123" spans="3:54" x14ac:dyDescent="0.3">
      <c r="C123" s="86">
        <v>119</v>
      </c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6">
        <v>119</v>
      </c>
      <c r="AR123" s="126"/>
      <c r="AS123" s="126"/>
      <c r="AT123" s="118"/>
      <c r="AU123" s="118"/>
      <c r="AV123" s="118"/>
      <c r="AW123" s="118"/>
      <c r="AX123" s="118"/>
      <c r="AY123" s="86"/>
      <c r="AZ123" s="127"/>
      <c r="BB123" s="3"/>
    </row>
    <row r="124" spans="3:54" x14ac:dyDescent="0.3">
      <c r="C124" s="86">
        <v>120</v>
      </c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6">
        <v>120</v>
      </c>
      <c r="AR124" s="126"/>
      <c r="AS124" s="126"/>
      <c r="AT124" s="118"/>
      <c r="AU124" s="118"/>
      <c r="AV124" s="118"/>
      <c r="AW124" s="118"/>
      <c r="AX124" s="118"/>
      <c r="AY124" s="86"/>
      <c r="AZ124" s="127"/>
      <c r="BB124" s="3"/>
    </row>
    <row r="125" spans="3:54" x14ac:dyDescent="0.3">
      <c r="C125" s="86">
        <v>121</v>
      </c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6">
        <v>121</v>
      </c>
      <c r="AR125" s="126"/>
      <c r="AS125" s="126"/>
      <c r="AT125" s="118"/>
      <c r="AU125" s="118"/>
      <c r="AV125" s="118"/>
      <c r="AW125" s="118"/>
      <c r="AX125" s="118"/>
      <c r="AY125" s="86"/>
      <c r="AZ125" s="127"/>
      <c r="BB125" s="3"/>
    </row>
    <row r="126" spans="3:54" x14ac:dyDescent="0.3">
      <c r="C126" s="86">
        <v>122</v>
      </c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6">
        <v>122</v>
      </c>
      <c r="AR126" s="126"/>
      <c r="AS126" s="126"/>
      <c r="AT126" s="118"/>
      <c r="AU126" s="118"/>
      <c r="AV126" s="118"/>
      <c r="AW126" s="118"/>
      <c r="AX126" s="118"/>
      <c r="AY126" s="86"/>
      <c r="AZ126" s="127"/>
      <c r="BB126" s="3"/>
    </row>
    <row r="127" spans="3:54" x14ac:dyDescent="0.3">
      <c r="C127" s="86">
        <v>123</v>
      </c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6">
        <v>123</v>
      </c>
      <c r="AR127" s="126"/>
      <c r="AS127" s="126"/>
      <c r="AT127" s="118"/>
      <c r="AU127" s="118"/>
      <c r="AV127" s="118"/>
      <c r="AW127" s="118"/>
      <c r="AX127" s="118"/>
      <c r="AY127" s="86"/>
      <c r="AZ127" s="127"/>
      <c r="BB127" s="3"/>
    </row>
    <row r="128" spans="3:54" x14ac:dyDescent="0.3">
      <c r="C128" s="86">
        <v>124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6">
        <v>124</v>
      </c>
      <c r="AR128" s="126"/>
      <c r="AS128" s="126"/>
      <c r="AT128" s="118"/>
      <c r="AU128" s="118"/>
      <c r="AV128" s="118"/>
      <c r="AW128" s="118"/>
      <c r="AX128" s="118"/>
      <c r="AY128" s="86"/>
      <c r="AZ128" s="128"/>
      <c r="BB128" s="3"/>
    </row>
    <row r="129" spans="3:54" x14ac:dyDescent="0.3">
      <c r="C129" s="86">
        <v>125</v>
      </c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6">
        <v>125</v>
      </c>
      <c r="AR129" s="126"/>
      <c r="AS129" s="126"/>
      <c r="AT129" s="118"/>
      <c r="AU129" s="118"/>
      <c r="AV129" s="118"/>
      <c r="AW129" s="118"/>
      <c r="AX129" s="118"/>
      <c r="AY129" s="86"/>
      <c r="AZ129" s="128"/>
      <c r="BB129" s="3"/>
    </row>
    <row r="130" spans="3:54" x14ac:dyDescent="0.3">
      <c r="C130" s="86">
        <v>126</v>
      </c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6">
        <v>126</v>
      </c>
      <c r="AR130" s="126"/>
      <c r="AS130" s="126"/>
      <c r="AT130" s="118"/>
      <c r="AU130" s="118"/>
      <c r="AV130" s="118"/>
      <c r="AW130" s="118"/>
      <c r="AX130" s="118"/>
      <c r="AY130" s="86"/>
      <c r="AZ130" s="128"/>
      <c r="BB130" s="3"/>
    </row>
    <row r="131" spans="3:54" x14ac:dyDescent="0.3">
      <c r="C131" s="86">
        <v>127</v>
      </c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6">
        <v>127</v>
      </c>
      <c r="AR131" s="126"/>
      <c r="AS131" s="126"/>
      <c r="AT131" s="118"/>
      <c r="AU131" s="118"/>
      <c r="AV131" s="118"/>
      <c r="AW131" s="118"/>
      <c r="AX131" s="118"/>
      <c r="AY131" s="86"/>
      <c r="AZ131" s="128"/>
      <c r="BB131" s="3"/>
    </row>
    <row r="132" spans="3:54" x14ac:dyDescent="0.3">
      <c r="C132" s="86">
        <v>128</v>
      </c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6">
        <v>128</v>
      </c>
      <c r="AR132" s="126"/>
      <c r="AS132" s="126"/>
      <c r="AT132" s="120"/>
      <c r="AU132" s="120"/>
      <c r="AV132" s="120"/>
      <c r="AW132" s="120"/>
      <c r="AX132" s="120"/>
      <c r="AY132" s="86"/>
      <c r="AZ132" s="128"/>
      <c r="BB132" s="3"/>
    </row>
    <row r="133" spans="3:54" x14ac:dyDescent="0.3">
      <c r="C133" s="86">
        <v>129</v>
      </c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6">
        <v>129</v>
      </c>
      <c r="AR133" s="126"/>
      <c r="AS133" s="126"/>
      <c r="AT133" s="120"/>
      <c r="AU133" s="120"/>
      <c r="AV133" s="120"/>
      <c r="AW133" s="120"/>
      <c r="AX133" s="120"/>
      <c r="AY133" s="86"/>
      <c r="AZ133" s="128"/>
      <c r="BB133" s="3"/>
    </row>
    <row r="134" spans="3:54" x14ac:dyDescent="0.3">
      <c r="C134" s="86">
        <v>130</v>
      </c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6">
        <v>130</v>
      </c>
      <c r="AR134" s="126"/>
      <c r="AS134" s="126"/>
      <c r="AT134" s="120"/>
      <c r="AU134" s="120"/>
      <c r="AV134" s="120"/>
      <c r="AW134" s="120"/>
      <c r="AX134" s="120"/>
      <c r="AY134" s="86"/>
      <c r="AZ134" s="128"/>
      <c r="BB134" s="3"/>
    </row>
    <row r="135" spans="3:54" x14ac:dyDescent="0.3">
      <c r="C135" s="86">
        <v>131</v>
      </c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6">
        <v>131</v>
      </c>
      <c r="AR135" s="126"/>
      <c r="AS135" s="126"/>
      <c r="AT135" s="120"/>
      <c r="AU135" s="120"/>
      <c r="AV135" s="120"/>
      <c r="AW135" s="120"/>
      <c r="AX135" s="120"/>
      <c r="AY135" s="86"/>
      <c r="AZ135" s="128"/>
      <c r="BB135" s="3"/>
    </row>
    <row r="136" spans="3:54" x14ac:dyDescent="0.3">
      <c r="C136" s="86">
        <v>132</v>
      </c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6">
        <v>132</v>
      </c>
      <c r="AR136" s="126"/>
      <c r="AS136" s="126"/>
      <c r="AT136" s="120"/>
      <c r="AU136" s="120"/>
      <c r="AV136" s="120"/>
      <c r="AW136" s="120"/>
      <c r="AX136" s="120"/>
      <c r="AY136" s="86"/>
      <c r="AZ136" s="128"/>
      <c r="BB136" s="3"/>
    </row>
    <row r="137" spans="3:54" x14ac:dyDescent="0.3">
      <c r="C137" s="86">
        <v>133</v>
      </c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6">
        <v>133</v>
      </c>
      <c r="AR137" s="126"/>
      <c r="AS137" s="126"/>
      <c r="AT137" s="120"/>
      <c r="AU137" s="120"/>
      <c r="AV137" s="120"/>
      <c r="AW137" s="120"/>
      <c r="AX137" s="120"/>
      <c r="AY137" s="86"/>
      <c r="AZ137" s="128"/>
      <c r="BB137" s="3"/>
    </row>
    <row r="138" spans="3:54" x14ac:dyDescent="0.3">
      <c r="C138" s="86">
        <v>134</v>
      </c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6">
        <v>134</v>
      </c>
      <c r="AR138" s="126"/>
      <c r="AS138" s="126"/>
      <c r="AT138" s="120"/>
      <c r="AU138" s="120"/>
      <c r="AV138" s="120"/>
      <c r="AW138" s="120"/>
      <c r="AX138" s="120"/>
      <c r="AY138" s="86"/>
      <c r="AZ138" s="128"/>
      <c r="BB138" s="3"/>
    </row>
    <row r="139" spans="3:54" x14ac:dyDescent="0.3">
      <c r="C139" s="86">
        <v>135</v>
      </c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6">
        <v>135</v>
      </c>
      <c r="AR139" s="126"/>
      <c r="AS139" s="126"/>
      <c r="AT139" s="120"/>
      <c r="AU139" s="120"/>
      <c r="AV139" s="120"/>
      <c r="AW139" s="120"/>
      <c r="AX139" s="120"/>
      <c r="AY139" s="86"/>
      <c r="AZ139" s="128"/>
      <c r="BB139" s="3"/>
    </row>
    <row r="140" spans="3:54" x14ac:dyDescent="0.3">
      <c r="C140" s="86">
        <v>136</v>
      </c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6">
        <v>136</v>
      </c>
      <c r="AR140" s="126"/>
      <c r="AS140" s="126"/>
      <c r="AT140" s="120"/>
      <c r="AU140" s="120"/>
      <c r="AV140" s="120"/>
      <c r="AW140" s="120"/>
      <c r="AX140" s="120"/>
      <c r="AY140" s="86"/>
      <c r="AZ140" s="128"/>
      <c r="BB140" s="3"/>
    </row>
    <row r="141" spans="3:54" x14ac:dyDescent="0.3">
      <c r="C141" s="86">
        <v>137</v>
      </c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6">
        <v>137</v>
      </c>
      <c r="AR141" s="126"/>
      <c r="AS141" s="126"/>
      <c r="AT141" s="120"/>
      <c r="AU141" s="120"/>
      <c r="AV141" s="120"/>
      <c r="AW141" s="120"/>
      <c r="AX141" s="120"/>
      <c r="AY141" s="86"/>
      <c r="AZ141" s="128"/>
      <c r="BB141" s="3"/>
    </row>
    <row r="142" spans="3:54" x14ac:dyDescent="0.3">
      <c r="C142" s="86">
        <v>138</v>
      </c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6">
        <v>138</v>
      </c>
      <c r="AR142" s="126"/>
      <c r="AS142" s="126"/>
      <c r="AT142" s="120"/>
      <c r="AU142" s="120"/>
      <c r="AV142" s="120"/>
      <c r="AW142" s="120"/>
      <c r="AX142" s="120"/>
      <c r="AY142" s="86"/>
      <c r="AZ142" s="128"/>
      <c r="BB142" s="3"/>
    </row>
    <row r="143" spans="3:54" x14ac:dyDescent="0.3">
      <c r="C143" s="86">
        <v>139</v>
      </c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6">
        <v>139</v>
      </c>
      <c r="AR143" s="126"/>
      <c r="AS143" s="126"/>
      <c r="AT143" s="120"/>
      <c r="AU143" s="120"/>
      <c r="AV143" s="120"/>
      <c r="AW143" s="120"/>
      <c r="AX143" s="120"/>
      <c r="AY143" s="86"/>
      <c r="AZ143" s="128"/>
      <c r="BB143" s="3"/>
    </row>
    <row r="144" spans="3:54" x14ac:dyDescent="0.3">
      <c r="C144" s="86">
        <v>140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6">
        <v>140</v>
      </c>
      <c r="AR144" s="126"/>
      <c r="AS144" s="126"/>
      <c r="AT144" s="120"/>
      <c r="AU144" s="120"/>
      <c r="AV144" s="120"/>
      <c r="AW144" s="120"/>
      <c r="AX144" s="120"/>
      <c r="AY144" s="86"/>
      <c r="AZ144" s="128"/>
      <c r="BB144" s="3"/>
    </row>
    <row r="145" spans="3:54" x14ac:dyDescent="0.3">
      <c r="C145" s="86">
        <v>141</v>
      </c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6">
        <v>141</v>
      </c>
      <c r="AR145" s="126"/>
      <c r="AS145" s="126"/>
      <c r="AT145" s="120"/>
      <c r="AU145" s="120"/>
      <c r="AV145" s="120"/>
      <c r="AW145" s="120"/>
      <c r="AX145" s="120"/>
      <c r="AY145" s="86"/>
      <c r="AZ145" s="128"/>
      <c r="BB145" s="3"/>
    </row>
    <row r="146" spans="3:54" x14ac:dyDescent="0.3">
      <c r="C146" s="86">
        <v>142</v>
      </c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6">
        <v>142</v>
      </c>
      <c r="AR146" s="126"/>
      <c r="AS146" s="126"/>
      <c r="AT146" s="120"/>
      <c r="AU146" s="120"/>
      <c r="AV146" s="120"/>
      <c r="AW146" s="120"/>
      <c r="AX146" s="120"/>
      <c r="AY146" s="86"/>
      <c r="AZ146" s="128"/>
      <c r="BB146" s="3"/>
    </row>
    <row r="147" spans="3:54" x14ac:dyDescent="0.3">
      <c r="C147" s="86">
        <v>143</v>
      </c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6">
        <v>143</v>
      </c>
      <c r="AR147" s="126"/>
      <c r="AS147" s="126"/>
      <c r="AT147" s="120"/>
      <c r="AU147" s="120"/>
      <c r="AV147" s="120"/>
      <c r="AW147" s="120"/>
      <c r="AX147" s="120"/>
      <c r="AY147" s="86"/>
      <c r="AZ147" s="128"/>
      <c r="BB147" s="3"/>
    </row>
    <row r="148" spans="3:54" x14ac:dyDescent="0.3">
      <c r="C148" s="86">
        <v>144</v>
      </c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6">
        <v>144</v>
      </c>
      <c r="AR148" s="126"/>
      <c r="AS148" s="126"/>
      <c r="AT148" s="120"/>
      <c r="AU148" s="120"/>
      <c r="AV148" s="120"/>
      <c r="AW148" s="120"/>
      <c r="AX148" s="120"/>
      <c r="AY148" s="86"/>
      <c r="AZ148" s="128"/>
      <c r="BB148" s="3"/>
    </row>
    <row r="149" spans="3:54" x14ac:dyDescent="0.3">
      <c r="C149" s="86">
        <v>145</v>
      </c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6">
        <v>145</v>
      </c>
      <c r="AR149" s="126"/>
      <c r="AS149" s="126"/>
      <c r="AT149" s="120"/>
      <c r="AU149" s="120"/>
      <c r="AV149" s="120"/>
      <c r="AW149" s="120"/>
      <c r="AX149" s="120"/>
      <c r="AY149" s="86"/>
      <c r="AZ149" s="128"/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6">
        <v>146</v>
      </c>
      <c r="AR150" s="126"/>
      <c r="AS150" s="126"/>
      <c r="AT150" s="120"/>
      <c r="AU150" s="120"/>
      <c r="AV150" s="120"/>
      <c r="AW150" s="120"/>
      <c r="AX150" s="120"/>
      <c r="AY150" s="86"/>
      <c r="AZ150" s="128"/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6">
        <v>147</v>
      </c>
      <c r="AR151" s="126"/>
      <c r="AS151" s="126"/>
      <c r="AT151" s="120"/>
      <c r="AU151" s="120"/>
      <c r="AV151" s="120"/>
      <c r="AW151" s="120"/>
      <c r="AX151" s="120"/>
      <c r="AY151" s="86"/>
      <c r="AZ151" s="128"/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6">
        <v>148</v>
      </c>
      <c r="AR152" s="126"/>
      <c r="AS152" s="126"/>
      <c r="AT152" s="120"/>
      <c r="AU152" s="120"/>
      <c r="AV152" s="120"/>
      <c r="AW152" s="120"/>
      <c r="AX152" s="120"/>
      <c r="AY152" s="86"/>
      <c r="AZ152" s="128"/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6">
        <v>149</v>
      </c>
      <c r="AR153" s="126"/>
      <c r="AS153" s="126"/>
      <c r="AT153" s="120"/>
      <c r="AU153" s="120"/>
      <c r="AV153" s="120"/>
      <c r="AW153" s="120"/>
      <c r="AX153" s="120"/>
      <c r="AY153" s="86"/>
      <c r="AZ153" s="128"/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6">
        <v>150</v>
      </c>
      <c r="AR154" s="126"/>
      <c r="AS154" s="126"/>
      <c r="AT154" s="120"/>
      <c r="AU154" s="120"/>
      <c r="AV154" s="120"/>
      <c r="AW154" s="120"/>
      <c r="AX154" s="120"/>
      <c r="AY154" s="86"/>
      <c r="AZ154" s="128"/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6">
        <v>151</v>
      </c>
      <c r="AR155" s="126"/>
      <c r="AS155" s="126"/>
      <c r="AT155" s="120"/>
      <c r="AU155" s="120"/>
      <c r="AV155" s="120"/>
      <c r="AW155" s="120"/>
      <c r="AX155" s="120"/>
      <c r="AY155" s="86"/>
      <c r="AZ155" s="128"/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6">
        <v>152</v>
      </c>
      <c r="AR156" s="126"/>
      <c r="AS156" s="126"/>
      <c r="AT156" s="120"/>
      <c r="AU156" s="120"/>
      <c r="AV156" s="120"/>
      <c r="AW156" s="120"/>
      <c r="AX156" s="120"/>
      <c r="AY156" s="86"/>
      <c r="AZ156" s="128"/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6">
        <v>153</v>
      </c>
      <c r="AR157" s="126"/>
      <c r="AS157" s="126"/>
      <c r="AT157" s="120"/>
      <c r="AU157" s="120"/>
      <c r="AV157" s="120"/>
      <c r="AW157" s="120"/>
      <c r="AX157" s="120"/>
      <c r="AY157" s="86"/>
      <c r="AZ157" s="128"/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6">
        <v>154</v>
      </c>
      <c r="AR158" s="126"/>
      <c r="AS158" s="126"/>
      <c r="AT158" s="120"/>
      <c r="AU158" s="120"/>
      <c r="AV158" s="120"/>
      <c r="AW158" s="120"/>
      <c r="AX158" s="120"/>
      <c r="AY158" s="86"/>
      <c r="AZ158" s="128"/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6">
        <v>155</v>
      </c>
      <c r="AR159" s="126"/>
      <c r="AS159" s="126"/>
      <c r="AT159" s="120"/>
      <c r="AU159" s="120"/>
      <c r="AV159" s="120"/>
      <c r="AW159" s="120"/>
      <c r="AX159" s="120"/>
      <c r="AY159" s="86"/>
      <c r="AZ159" s="128"/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6">
        <v>156</v>
      </c>
      <c r="AR160" s="126"/>
      <c r="AS160" s="126"/>
      <c r="AT160" s="120"/>
      <c r="AU160" s="120"/>
      <c r="AV160" s="120"/>
      <c r="AW160" s="120"/>
      <c r="AX160" s="120"/>
      <c r="AY160" s="86"/>
      <c r="AZ160" s="128"/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6">
        <v>157</v>
      </c>
      <c r="AR161" s="126"/>
      <c r="AS161" s="126"/>
      <c r="AT161" s="120"/>
      <c r="AU161" s="120"/>
      <c r="AV161" s="120"/>
      <c r="AW161" s="120"/>
      <c r="AX161" s="120"/>
      <c r="AY161" s="86"/>
      <c r="AZ161" s="128"/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6">
        <v>158</v>
      </c>
      <c r="AR162" s="126"/>
      <c r="AS162" s="126"/>
      <c r="AT162" s="120"/>
      <c r="AU162" s="120"/>
      <c r="AV162" s="120"/>
      <c r="AW162" s="120"/>
      <c r="AX162" s="120"/>
      <c r="AY162" s="86"/>
      <c r="AZ162" s="128"/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6">
        <v>159</v>
      </c>
      <c r="AR163" s="126"/>
      <c r="AS163" s="126"/>
      <c r="AT163" s="120"/>
      <c r="AU163" s="120"/>
      <c r="AV163" s="120"/>
      <c r="AW163" s="120"/>
      <c r="AX163" s="120"/>
      <c r="AY163" s="86"/>
      <c r="AZ163" s="128"/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6">
        <v>160</v>
      </c>
      <c r="AR164" s="126"/>
      <c r="AS164" s="126"/>
      <c r="AT164" s="120"/>
      <c r="AU164" s="120"/>
      <c r="AV164" s="120"/>
      <c r="AW164" s="120"/>
      <c r="AX164" s="120"/>
      <c r="AY164" s="86"/>
      <c r="AZ164" s="128"/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6">
        <v>161</v>
      </c>
      <c r="AR165" s="126"/>
      <c r="AS165" s="126"/>
      <c r="AT165" s="120"/>
      <c r="AU165" s="120"/>
      <c r="AV165" s="120"/>
      <c r="AW165" s="120"/>
      <c r="AX165" s="120"/>
      <c r="AY165" s="86"/>
      <c r="AZ165" s="128"/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6">
        <v>162</v>
      </c>
      <c r="AR166" s="126"/>
      <c r="AS166" s="126"/>
      <c r="AT166" s="120"/>
      <c r="AU166" s="120"/>
      <c r="AV166" s="120"/>
      <c r="AW166" s="120"/>
      <c r="AX166" s="120"/>
      <c r="AY166" s="86"/>
      <c r="AZ166" s="128"/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6">
        <v>163</v>
      </c>
      <c r="AR167" s="126"/>
      <c r="AS167" s="126"/>
      <c r="AT167" s="120"/>
      <c r="AU167" s="120"/>
      <c r="AV167" s="120"/>
      <c r="AW167" s="120"/>
      <c r="AX167" s="120"/>
      <c r="AY167" s="86"/>
      <c r="AZ167" s="128"/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6">
        <v>164</v>
      </c>
      <c r="AR168" s="126"/>
      <c r="AS168" s="126"/>
      <c r="AT168" s="120"/>
      <c r="AU168" s="120"/>
      <c r="AV168" s="120"/>
      <c r="AW168" s="120"/>
      <c r="AX168" s="120"/>
      <c r="AY168" s="86"/>
      <c r="AZ168" s="128"/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6">
        <v>165</v>
      </c>
      <c r="AR169" s="126"/>
      <c r="AS169" s="126"/>
      <c r="AT169" s="120"/>
      <c r="AU169" s="120"/>
      <c r="AV169" s="120"/>
      <c r="AW169" s="120"/>
      <c r="AX169" s="120"/>
      <c r="AY169" s="86"/>
      <c r="AZ169" s="128"/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6">
        <v>166</v>
      </c>
      <c r="AR170" s="126"/>
      <c r="AS170" s="126"/>
      <c r="AT170" s="120"/>
      <c r="AU170" s="120"/>
      <c r="AV170" s="120"/>
      <c r="AW170" s="120"/>
      <c r="AX170" s="120"/>
      <c r="AY170" s="86"/>
      <c r="AZ170" s="128"/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6">
        <v>167</v>
      </c>
      <c r="AR171" s="126"/>
      <c r="AS171" s="126"/>
      <c r="AT171" s="120"/>
      <c r="AU171" s="120"/>
      <c r="AV171" s="120"/>
      <c r="AW171" s="120"/>
      <c r="AX171" s="120"/>
      <c r="AY171" s="86"/>
      <c r="AZ171" s="128"/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6">
        <v>168</v>
      </c>
      <c r="AR172" s="126"/>
      <c r="AS172" s="126"/>
      <c r="AT172" s="120"/>
      <c r="AU172" s="120"/>
      <c r="AV172" s="120"/>
      <c r="AW172" s="120"/>
      <c r="AX172" s="120"/>
      <c r="AY172" s="86"/>
      <c r="AZ172" s="128"/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6">
        <v>169</v>
      </c>
      <c r="AR173" s="126"/>
      <c r="AS173" s="126"/>
      <c r="AT173" s="120"/>
      <c r="AU173" s="120"/>
      <c r="AV173" s="120"/>
      <c r="AW173" s="120"/>
      <c r="AX173" s="120"/>
      <c r="AY173" s="86"/>
      <c r="AZ173" s="129"/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6">
        <v>170</v>
      </c>
      <c r="AR174" s="126"/>
      <c r="AS174" s="126"/>
      <c r="AT174" s="120"/>
      <c r="AU174" s="120"/>
      <c r="AV174" s="120"/>
      <c r="AW174" s="120"/>
      <c r="AX174" s="120"/>
      <c r="AY174" s="86"/>
      <c r="AZ174" s="128"/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6">
        <v>171</v>
      </c>
      <c r="AR175" s="126"/>
      <c r="AS175" s="126"/>
      <c r="AT175" s="120"/>
      <c r="AU175" s="120"/>
      <c r="AV175" s="120"/>
      <c r="AW175" s="120"/>
      <c r="AX175" s="120"/>
      <c r="AY175" s="86"/>
      <c r="AZ175" s="128"/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6">
        <v>172</v>
      </c>
      <c r="AR176" s="126"/>
      <c r="AS176" s="126"/>
      <c r="AT176" s="120"/>
      <c r="AU176" s="120"/>
      <c r="AV176" s="120"/>
      <c r="AW176" s="120"/>
      <c r="AX176" s="120"/>
      <c r="AY176" s="86"/>
      <c r="AZ176" s="128"/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6">
        <v>173</v>
      </c>
      <c r="AR177" s="126"/>
      <c r="AS177" s="126"/>
      <c r="AT177" s="120"/>
      <c r="AU177" s="120"/>
      <c r="AV177" s="120"/>
      <c r="AW177" s="120"/>
      <c r="AX177" s="120"/>
      <c r="AY177" s="86"/>
      <c r="AZ177" s="128"/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6">
        <v>174</v>
      </c>
      <c r="AR178" s="126"/>
      <c r="AS178" s="126"/>
      <c r="AT178" s="120"/>
      <c r="AU178" s="120"/>
      <c r="AV178" s="120"/>
      <c r="AW178" s="120"/>
      <c r="AX178" s="120"/>
      <c r="AY178" s="86"/>
      <c r="AZ178" s="128"/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6">
        <v>175</v>
      </c>
      <c r="AR179" s="126"/>
      <c r="AS179" s="126"/>
      <c r="AT179" s="120"/>
      <c r="AU179" s="120"/>
      <c r="AV179" s="120"/>
      <c r="AW179" s="120"/>
      <c r="AX179" s="120"/>
      <c r="AY179" s="86"/>
      <c r="AZ179" s="128"/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6">
        <v>176</v>
      </c>
      <c r="AR180" s="126"/>
      <c r="AS180" s="126"/>
      <c r="AT180" s="120"/>
      <c r="AU180" s="120"/>
      <c r="AV180" s="120"/>
      <c r="AW180" s="120"/>
      <c r="AX180" s="120"/>
      <c r="AY180" s="86"/>
      <c r="AZ180" s="128"/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6">
        <v>177</v>
      </c>
      <c r="AR181" s="126"/>
      <c r="AS181" s="126"/>
      <c r="AT181" s="120"/>
      <c r="AU181" s="120"/>
      <c r="AV181" s="120"/>
      <c r="AW181" s="120"/>
      <c r="AX181" s="120"/>
      <c r="AY181" s="86"/>
      <c r="AZ181" s="128"/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6">
        <v>178</v>
      </c>
      <c r="AR182" s="126"/>
      <c r="AS182" s="126"/>
      <c r="AT182" s="120"/>
      <c r="AU182" s="120"/>
      <c r="AV182" s="120"/>
      <c r="AW182" s="120"/>
      <c r="AX182" s="120"/>
      <c r="AY182" s="86"/>
      <c r="AZ182" s="128"/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6">
        <v>179</v>
      </c>
      <c r="AR183" s="126"/>
      <c r="AS183" s="126"/>
      <c r="AT183" s="120"/>
      <c r="AU183" s="120"/>
      <c r="AV183" s="120"/>
      <c r="AW183" s="120"/>
      <c r="AX183" s="120"/>
      <c r="AY183" s="86"/>
      <c r="AZ183" s="128"/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6">
        <v>180</v>
      </c>
      <c r="AR184" s="126"/>
      <c r="AS184" s="126"/>
      <c r="AT184" s="120"/>
      <c r="AU184" s="120"/>
      <c r="AV184" s="120"/>
      <c r="AW184" s="120"/>
      <c r="AX184" s="120"/>
      <c r="AY184" s="86"/>
      <c r="AZ184" s="128"/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6">
        <v>181</v>
      </c>
      <c r="AR185" s="126"/>
      <c r="AS185" s="126"/>
      <c r="AT185" s="120"/>
      <c r="AU185" s="120"/>
      <c r="AV185" s="120"/>
      <c r="AW185" s="120"/>
      <c r="AX185" s="120"/>
      <c r="AY185" s="86"/>
      <c r="AZ185" s="128"/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6">
        <v>182</v>
      </c>
      <c r="AR186" s="126"/>
      <c r="AS186" s="126"/>
      <c r="AT186" s="120"/>
      <c r="AU186" s="120"/>
      <c r="AV186" s="120"/>
      <c r="AW186" s="120"/>
      <c r="AX186" s="120"/>
      <c r="AY186" s="86"/>
      <c r="AZ186" s="128"/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6">
        <v>183</v>
      </c>
      <c r="AR187" s="126"/>
      <c r="AS187" s="126"/>
      <c r="AT187" s="120"/>
      <c r="AU187" s="120"/>
      <c r="AV187" s="120"/>
      <c r="AW187" s="120"/>
      <c r="AX187" s="120"/>
      <c r="AY187" s="86"/>
      <c r="AZ187" s="128"/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6">
        <v>184</v>
      </c>
      <c r="AR188" s="126"/>
      <c r="AS188" s="126"/>
      <c r="AT188" s="120"/>
      <c r="AU188" s="120"/>
      <c r="AV188" s="120"/>
      <c r="AW188" s="120"/>
      <c r="AX188" s="120"/>
      <c r="AY188" s="86"/>
      <c r="AZ188" s="128"/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6">
        <v>185</v>
      </c>
      <c r="AR189" s="126"/>
      <c r="AS189" s="126"/>
      <c r="AT189" s="120"/>
      <c r="AU189" s="120"/>
      <c r="AV189" s="120"/>
      <c r="AW189" s="120"/>
      <c r="AX189" s="120"/>
      <c r="AY189" s="86"/>
      <c r="AZ189" s="128"/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6">
        <v>186</v>
      </c>
      <c r="AR190" s="126"/>
      <c r="AS190" s="126"/>
      <c r="AT190" s="120"/>
      <c r="AU190" s="120"/>
      <c r="AV190" s="120"/>
      <c r="AW190" s="120"/>
      <c r="AX190" s="120"/>
      <c r="AY190" s="86"/>
      <c r="AZ190" s="128"/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6">
        <v>187</v>
      </c>
      <c r="AR191" s="126"/>
      <c r="AS191" s="126"/>
      <c r="AT191" s="120"/>
      <c r="AU191" s="120"/>
      <c r="AV191" s="120"/>
      <c r="AW191" s="120"/>
      <c r="AX191" s="120"/>
      <c r="AY191" s="86"/>
      <c r="AZ191" s="128"/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6">
        <v>188</v>
      </c>
      <c r="AR192" s="126"/>
      <c r="AS192" s="126"/>
      <c r="AT192" s="120"/>
      <c r="AU192" s="120"/>
      <c r="AV192" s="120"/>
      <c r="AW192" s="120"/>
      <c r="AX192" s="120"/>
      <c r="AY192" s="86"/>
      <c r="AZ192" s="128"/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6">
        <v>189</v>
      </c>
      <c r="AR193" s="126"/>
      <c r="AS193" s="126"/>
      <c r="AT193" s="120"/>
      <c r="AU193" s="120"/>
      <c r="AV193" s="120"/>
      <c r="AW193" s="120"/>
      <c r="AX193" s="120"/>
      <c r="AY193" s="86"/>
      <c r="AZ193" s="128"/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6">
        <v>190</v>
      </c>
      <c r="AR194" s="126"/>
      <c r="AS194" s="126"/>
      <c r="AT194" s="120"/>
      <c r="AU194" s="120"/>
      <c r="AV194" s="120"/>
      <c r="AW194" s="120"/>
      <c r="AX194" s="120"/>
      <c r="AY194" s="86"/>
      <c r="AZ194" s="128"/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6">
        <v>191</v>
      </c>
      <c r="AR195" s="126"/>
      <c r="AS195" s="126"/>
      <c r="AT195" s="120"/>
      <c r="AU195" s="120"/>
      <c r="AV195" s="120"/>
      <c r="AW195" s="120"/>
      <c r="AX195" s="120"/>
      <c r="AY195" s="86"/>
      <c r="AZ195" s="128"/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6">
        <v>192</v>
      </c>
      <c r="AR196" s="126"/>
      <c r="AS196" s="126"/>
      <c r="AT196" s="120"/>
      <c r="AU196" s="120"/>
      <c r="AV196" s="120"/>
      <c r="AW196" s="120"/>
      <c r="AX196" s="120"/>
      <c r="AY196" s="86"/>
      <c r="AZ196" s="128"/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6">
        <v>193</v>
      </c>
      <c r="AR197" s="126"/>
      <c r="AS197" s="126"/>
      <c r="AT197" s="120"/>
      <c r="AU197" s="120"/>
      <c r="AV197" s="120"/>
      <c r="AW197" s="120"/>
      <c r="AX197" s="120"/>
      <c r="AY197" s="86"/>
      <c r="AZ197" s="128"/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6">
        <v>194</v>
      </c>
      <c r="AR198" s="126"/>
      <c r="AS198" s="126"/>
      <c r="AT198" s="120"/>
      <c r="AU198" s="120"/>
      <c r="AV198" s="120"/>
      <c r="AW198" s="120"/>
      <c r="AX198" s="120"/>
      <c r="AY198" s="86"/>
      <c r="AZ198" s="128"/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6">
        <v>195</v>
      </c>
      <c r="AR199" s="126"/>
      <c r="AS199" s="126"/>
      <c r="AT199" s="120"/>
      <c r="AU199" s="120"/>
      <c r="AV199" s="120"/>
      <c r="AW199" s="120"/>
      <c r="AX199" s="120"/>
      <c r="AY199" s="86"/>
      <c r="AZ199" s="128"/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6">
        <v>196</v>
      </c>
      <c r="AR200" s="126"/>
      <c r="AS200" s="126"/>
      <c r="AT200" s="120"/>
      <c r="AU200" s="120"/>
      <c r="AV200" s="120"/>
      <c r="AW200" s="120"/>
      <c r="AX200" s="120"/>
      <c r="AY200" s="86"/>
      <c r="AZ200" s="128"/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6">
        <v>197</v>
      </c>
      <c r="AR201" s="126"/>
      <c r="AS201" s="126"/>
      <c r="AT201" s="120"/>
      <c r="AU201" s="120"/>
      <c r="AV201" s="120"/>
      <c r="AW201" s="120"/>
      <c r="AX201" s="120"/>
      <c r="AY201" s="86"/>
      <c r="AZ201" s="128"/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6">
        <v>198</v>
      </c>
      <c r="AR202" s="126"/>
      <c r="AS202" s="126"/>
      <c r="AT202" s="120"/>
      <c r="AU202" s="120"/>
      <c r="AV202" s="120"/>
      <c r="AW202" s="120"/>
      <c r="AX202" s="120"/>
      <c r="AY202" s="86"/>
      <c r="AZ202" s="128"/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6">
        <v>199</v>
      </c>
      <c r="AR203" s="126"/>
      <c r="AS203" s="126"/>
      <c r="AT203" s="120"/>
      <c r="AU203" s="120"/>
      <c r="AV203" s="120"/>
      <c r="AW203" s="120"/>
      <c r="AX203" s="120"/>
      <c r="AY203" s="86"/>
      <c r="AZ203" s="128"/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6">
        <v>200</v>
      </c>
      <c r="AR204" s="126"/>
      <c r="AS204" s="126"/>
      <c r="AT204" s="120"/>
      <c r="AU204" s="120"/>
      <c r="AV204" s="120"/>
      <c r="AW204" s="120"/>
      <c r="AX204" s="120"/>
      <c r="AY204" s="86"/>
      <c r="AZ204" s="128"/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6">
        <v>201</v>
      </c>
      <c r="AR205" s="126"/>
      <c r="AS205" s="126"/>
      <c r="AT205" s="120"/>
      <c r="AU205" s="120"/>
      <c r="AV205" s="120"/>
      <c r="AW205" s="120"/>
      <c r="AX205" s="120"/>
      <c r="AY205" s="86"/>
      <c r="AZ205" s="128"/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6">
        <v>202</v>
      </c>
      <c r="AR206" s="126"/>
      <c r="AS206" s="126"/>
      <c r="AT206" s="120"/>
      <c r="AU206" s="120"/>
      <c r="AV206" s="120"/>
      <c r="AW206" s="120"/>
      <c r="AX206" s="120"/>
      <c r="AY206" s="86"/>
      <c r="AZ206" s="128"/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6">
        <v>203</v>
      </c>
      <c r="AR207" s="126"/>
      <c r="AS207" s="126"/>
      <c r="AT207" s="120"/>
      <c r="AU207" s="120"/>
      <c r="AV207" s="120"/>
      <c r="AW207" s="120"/>
      <c r="AX207" s="120"/>
      <c r="AY207" s="86"/>
      <c r="AZ207" s="128"/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6">
        <v>204</v>
      </c>
      <c r="AR208" s="126"/>
      <c r="AS208" s="126"/>
      <c r="AT208" s="120"/>
      <c r="AU208" s="120"/>
      <c r="AV208" s="120"/>
      <c r="AW208" s="120"/>
      <c r="AX208" s="120"/>
      <c r="AY208" s="86"/>
      <c r="AZ208" s="128"/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6">
        <v>205</v>
      </c>
      <c r="AR209" s="126"/>
      <c r="AS209" s="126"/>
      <c r="AT209" s="120"/>
      <c r="AU209" s="120"/>
      <c r="AV209" s="120"/>
      <c r="AW209" s="120"/>
      <c r="AX209" s="120"/>
      <c r="AY209" s="86"/>
      <c r="AZ209" s="128"/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6">
        <v>206</v>
      </c>
      <c r="AR210" s="126"/>
      <c r="AS210" s="126"/>
      <c r="AT210" s="120"/>
      <c r="AU210" s="120"/>
      <c r="AV210" s="120"/>
      <c r="AW210" s="120"/>
      <c r="AX210" s="120"/>
      <c r="AY210" s="86"/>
      <c r="AZ210" s="128"/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6">
        <v>207</v>
      </c>
      <c r="AR211" s="126"/>
      <c r="AS211" s="126"/>
      <c r="AT211" s="120"/>
      <c r="AU211" s="120"/>
      <c r="AV211" s="120"/>
      <c r="AW211" s="120"/>
      <c r="AX211" s="120"/>
      <c r="AY211" s="86"/>
      <c r="AZ211" s="128"/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6">
        <v>208</v>
      </c>
      <c r="AR212" s="126"/>
      <c r="AS212" s="126"/>
      <c r="AT212" s="120"/>
      <c r="AU212" s="120"/>
      <c r="AV212" s="120"/>
      <c r="AW212" s="120"/>
      <c r="AX212" s="120"/>
      <c r="AY212" s="86"/>
      <c r="AZ212" s="128"/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6">
        <v>209</v>
      </c>
      <c r="AR213" s="126"/>
      <c r="AS213" s="126"/>
      <c r="AT213" s="120"/>
      <c r="AU213" s="120"/>
      <c r="AV213" s="120"/>
      <c r="AW213" s="120"/>
      <c r="AX213" s="120"/>
      <c r="AY213" s="86"/>
      <c r="AZ213" s="128"/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6">
        <v>210</v>
      </c>
      <c r="AR214" s="126"/>
      <c r="AS214" s="126"/>
      <c r="AT214" s="120"/>
      <c r="AU214" s="120"/>
      <c r="AV214" s="120"/>
      <c r="AW214" s="120"/>
      <c r="AX214" s="120"/>
      <c r="AY214" s="86"/>
      <c r="AZ214" s="128"/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6">
        <v>211</v>
      </c>
      <c r="AR215" s="126"/>
      <c r="AS215" s="126"/>
      <c r="AT215" s="120"/>
      <c r="AU215" s="120"/>
      <c r="AV215" s="120"/>
      <c r="AW215" s="120"/>
      <c r="AX215" s="120"/>
      <c r="AY215" s="86"/>
      <c r="AZ215" s="128"/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6">
        <v>212</v>
      </c>
      <c r="AR216" s="126"/>
      <c r="AS216" s="126"/>
      <c r="AT216" s="120"/>
      <c r="AU216" s="120"/>
      <c r="AV216" s="120"/>
      <c r="AW216" s="120"/>
      <c r="AX216" s="120"/>
      <c r="AY216" s="86"/>
      <c r="AZ216" s="128"/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6">
        <v>213</v>
      </c>
      <c r="AR217" s="126"/>
      <c r="AS217" s="126"/>
      <c r="AT217" s="120"/>
      <c r="AU217" s="120"/>
      <c r="AV217" s="120"/>
      <c r="AW217" s="120"/>
      <c r="AX217" s="120"/>
      <c r="AY217" s="86"/>
      <c r="AZ217" s="128"/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6">
        <v>214</v>
      </c>
      <c r="AR218" s="126"/>
      <c r="AS218" s="126"/>
      <c r="AT218" s="120"/>
      <c r="AU218" s="120"/>
      <c r="AV218" s="120"/>
      <c r="AW218" s="120"/>
      <c r="AX218" s="120"/>
      <c r="AY218" s="86"/>
      <c r="AZ218" s="128"/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6">
        <v>215</v>
      </c>
      <c r="AR219" s="126"/>
      <c r="AS219" s="126"/>
      <c r="AT219" s="120"/>
      <c r="AU219" s="120"/>
      <c r="AV219" s="120"/>
      <c r="AW219" s="120"/>
      <c r="AX219" s="120"/>
      <c r="AY219" s="86"/>
      <c r="AZ219" s="128"/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6">
        <v>216</v>
      </c>
      <c r="AR220" s="126"/>
      <c r="AS220" s="126"/>
      <c r="AT220" s="120"/>
      <c r="AU220" s="120"/>
      <c r="AV220" s="120"/>
      <c r="AW220" s="120"/>
      <c r="AX220" s="120"/>
      <c r="AY220" s="86"/>
      <c r="AZ220" s="128"/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6">
        <v>217</v>
      </c>
      <c r="AR221" s="126"/>
      <c r="AS221" s="126"/>
      <c r="AT221" s="120"/>
      <c r="AU221" s="120"/>
      <c r="AV221" s="120"/>
      <c r="AW221" s="120"/>
      <c r="AX221" s="120"/>
      <c r="AY221" s="86"/>
      <c r="AZ221" s="128"/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6">
        <v>218</v>
      </c>
      <c r="AR222" s="126"/>
      <c r="AS222" s="126"/>
      <c r="AT222" s="120"/>
      <c r="AU222" s="120"/>
      <c r="AV222" s="120"/>
      <c r="AW222" s="120"/>
      <c r="AX222" s="120"/>
      <c r="AY222" s="86"/>
      <c r="AZ222" s="128"/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6">
        <v>219</v>
      </c>
      <c r="AR223" s="126"/>
      <c r="AS223" s="126"/>
      <c r="AT223" s="120"/>
      <c r="AU223" s="120"/>
      <c r="AV223" s="120"/>
      <c r="AW223" s="120"/>
      <c r="AX223" s="120"/>
      <c r="AY223" s="86"/>
      <c r="AZ223" s="128"/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6">
        <v>220</v>
      </c>
      <c r="AR224" s="126"/>
      <c r="AS224" s="126"/>
      <c r="AT224" s="120"/>
      <c r="AU224" s="120"/>
      <c r="AV224" s="120"/>
      <c r="AW224" s="120"/>
      <c r="AX224" s="120"/>
      <c r="AY224" s="86"/>
      <c r="AZ224" s="128"/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6">
        <v>221</v>
      </c>
      <c r="AR225" s="126"/>
      <c r="AS225" s="126"/>
      <c r="AT225" s="120"/>
      <c r="AU225" s="120"/>
      <c r="AV225" s="120"/>
      <c r="AW225" s="120"/>
      <c r="AX225" s="120"/>
      <c r="AY225" s="86"/>
      <c r="AZ225" s="128"/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6">
        <v>222</v>
      </c>
      <c r="AR226" s="126"/>
      <c r="AS226" s="126"/>
      <c r="AT226" s="120"/>
      <c r="AU226" s="120"/>
      <c r="AV226" s="120"/>
      <c r="AW226" s="120"/>
      <c r="AX226" s="120"/>
      <c r="AY226" s="86"/>
      <c r="AZ226" s="128"/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6">
        <v>223</v>
      </c>
      <c r="AR227" s="126"/>
      <c r="AS227" s="126"/>
      <c r="AT227" s="120"/>
      <c r="AU227" s="120"/>
      <c r="AV227" s="120"/>
      <c r="AW227" s="120"/>
      <c r="AX227" s="120"/>
      <c r="AY227" s="86"/>
      <c r="AZ227" s="128"/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6">
        <v>224</v>
      </c>
      <c r="AR228" s="126"/>
      <c r="AS228" s="126"/>
      <c r="AT228" s="120"/>
      <c r="AU228" s="120"/>
      <c r="AV228" s="120"/>
      <c r="AW228" s="120"/>
      <c r="AX228" s="120"/>
      <c r="AY228" s="86"/>
      <c r="AZ228" s="128"/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6">
        <v>225</v>
      </c>
      <c r="AR229" s="126"/>
      <c r="AS229" s="126"/>
      <c r="AT229" s="120"/>
      <c r="AU229" s="120"/>
      <c r="AV229" s="120"/>
      <c r="AW229" s="120"/>
      <c r="AX229" s="120"/>
      <c r="AY229" s="86"/>
      <c r="AZ229" s="128"/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6">
        <v>226</v>
      </c>
      <c r="AR230" s="126"/>
      <c r="AS230" s="126"/>
      <c r="AT230" s="120"/>
      <c r="AU230" s="120"/>
      <c r="AV230" s="120"/>
      <c r="AW230" s="120"/>
      <c r="AX230" s="120"/>
      <c r="AY230" s="86"/>
      <c r="AZ230" s="128"/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6">
        <v>227</v>
      </c>
      <c r="AR231" s="126"/>
      <c r="AS231" s="126"/>
      <c r="AT231" s="120"/>
      <c r="AU231" s="120"/>
      <c r="AV231" s="120"/>
      <c r="AW231" s="120"/>
      <c r="AX231" s="120"/>
      <c r="AY231" s="86"/>
      <c r="AZ231" s="128"/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6">
        <v>228</v>
      </c>
      <c r="AR232" s="126"/>
      <c r="AS232" s="126"/>
      <c r="AT232" s="120"/>
      <c r="AU232" s="120"/>
      <c r="AV232" s="120"/>
      <c r="AW232" s="120"/>
      <c r="AX232" s="120"/>
      <c r="AY232" s="86"/>
      <c r="AZ232" s="128"/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6">
        <v>229</v>
      </c>
      <c r="AR233" s="126"/>
      <c r="AS233" s="126"/>
      <c r="AT233" s="120"/>
      <c r="AU233" s="120"/>
      <c r="AV233" s="120"/>
      <c r="AW233" s="120"/>
      <c r="AX233" s="120"/>
      <c r="AY233" s="86"/>
      <c r="AZ233" s="128"/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6">
        <v>230</v>
      </c>
      <c r="AR234" s="126"/>
      <c r="AS234" s="126"/>
      <c r="AT234" s="120"/>
      <c r="AU234" s="120"/>
      <c r="AV234" s="120"/>
      <c r="AW234" s="120"/>
      <c r="AX234" s="120"/>
      <c r="AY234" s="86"/>
      <c r="AZ234" s="128"/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6">
        <v>231</v>
      </c>
      <c r="AR235" s="126"/>
      <c r="AS235" s="126"/>
      <c r="AT235" s="120"/>
      <c r="AU235" s="120"/>
      <c r="AV235" s="120"/>
      <c r="AW235" s="120"/>
      <c r="AX235" s="120"/>
      <c r="AY235" s="86"/>
      <c r="AZ235" s="128"/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30" t="s">
        <v>35</v>
      </c>
      <c r="G744" s="130"/>
      <c r="H744" s="130"/>
      <c r="I744" s="130"/>
      <c r="J744" s="130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30" t="s">
        <v>28</v>
      </c>
      <c r="AA744" s="130"/>
      <c r="AB744" s="130"/>
      <c r="AC744" s="130"/>
      <c r="AD744" s="130"/>
      <c r="AI744" s="130" t="s">
        <v>29</v>
      </c>
      <c r="AJ744" s="130"/>
      <c r="AK744" s="130"/>
      <c r="AL744" s="130"/>
      <c r="AM744" s="130"/>
      <c r="AT744" s="130" t="s">
        <v>41</v>
      </c>
      <c r="AU744" s="130"/>
      <c r="AV744" s="130"/>
      <c r="AW744" s="130"/>
      <c r="AX744" s="130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35</v>
      </c>
      <c r="G746">
        <f>SUM(G5:G740)</f>
        <v>35</v>
      </c>
      <c r="H746">
        <f>SUM(H5:H740)</f>
        <v>35</v>
      </c>
      <c r="I746">
        <f>SUM(I5:I740)</f>
        <v>34</v>
      </c>
      <c r="J746">
        <f>SUM(J5:J740)</f>
        <v>34</v>
      </c>
      <c r="N746" s="3"/>
      <c r="O746" s="3"/>
      <c r="P746" s="3"/>
      <c r="Q746">
        <f>SUM(Q5:Q740)</f>
        <v>0</v>
      </c>
      <c r="R746">
        <f>SUM(R5:R740)</f>
        <v>0</v>
      </c>
      <c r="S746">
        <f>SUM(S5:S740)</f>
        <v>0</v>
      </c>
      <c r="T746">
        <f>SUM(T5:T740)</f>
        <v>0</v>
      </c>
      <c r="U746">
        <f>SUM(U5:U740)</f>
        <v>0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25</v>
      </c>
      <c r="AU746">
        <f>SUM(AU5:AU740)</f>
        <v>24</v>
      </c>
      <c r="AV746">
        <f>SUM(AV5:AV740)</f>
        <v>25</v>
      </c>
      <c r="AW746">
        <f>SUM(AW5:AW740)</f>
        <v>23</v>
      </c>
      <c r="AX746">
        <f>SUM(AX5:AX740)</f>
        <v>25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5</v>
      </c>
      <c r="G748" s="61">
        <f>AVERAGE(G5:G740)</f>
        <v>5</v>
      </c>
      <c r="H748" s="61">
        <f>AVERAGE(H5:H740)</f>
        <v>5</v>
      </c>
      <c r="I748" s="61">
        <f>AVERAGE(I5:I740)</f>
        <v>4.8571428571428568</v>
      </c>
      <c r="J748" s="61">
        <f>AVERAGE(J5:J740)</f>
        <v>4.8571428571428568</v>
      </c>
      <c r="K748" s="61"/>
      <c r="N748" s="3"/>
      <c r="O748" s="3"/>
      <c r="P748" s="3"/>
      <c r="Q748" s="61" t="e">
        <f>AVERAGE(Q5:Q740)</f>
        <v>#DIV/0!</v>
      </c>
      <c r="R748" s="61" t="e">
        <f>AVERAGE(R5:R740)</f>
        <v>#DIV/0!</v>
      </c>
      <c r="S748" s="61" t="e">
        <f>AVERAGE(S5:S740)</f>
        <v>#DIV/0!</v>
      </c>
      <c r="T748" s="61" t="e">
        <f>AVERAGE(T5:T740)</f>
        <v>#DIV/0!</v>
      </c>
      <c r="U748" s="61" t="e">
        <f>AVERAGE(U5:U740)</f>
        <v>#DIV/0!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5</v>
      </c>
      <c r="AU748">
        <f>AVERAGE(AU5:AU740)</f>
        <v>4.8</v>
      </c>
      <c r="AV748" s="61">
        <f>AVERAGE(AV5:AV740)</f>
        <v>5</v>
      </c>
      <c r="AW748" s="61">
        <f>AVERAGE(AW5:AW740)</f>
        <v>4.5999999999999996</v>
      </c>
      <c r="AX748">
        <f>AVERAGE(AX5:AX740)</f>
        <v>5</v>
      </c>
    </row>
    <row r="749" spans="3:57" x14ac:dyDescent="0.3">
      <c r="F749" s="23">
        <f>F748/5</f>
        <v>1</v>
      </c>
      <c r="G749" s="23">
        <f>G748/5</f>
        <v>1</v>
      </c>
      <c r="H749" s="23">
        <f>H748/5</f>
        <v>1</v>
      </c>
      <c r="I749" s="23">
        <f>I748/5</f>
        <v>0.97142857142857131</v>
      </c>
      <c r="J749" s="23">
        <f>J748/5</f>
        <v>0.97142857142857131</v>
      </c>
      <c r="N749" s="3"/>
      <c r="O749" s="3"/>
      <c r="P749" s="3"/>
      <c r="Q749" s="23" t="e">
        <f>Q748/5</f>
        <v>#DIV/0!</v>
      </c>
      <c r="R749" s="23" t="e">
        <f>R748/5</f>
        <v>#DIV/0!</v>
      </c>
      <c r="S749" s="23" t="e">
        <f>S748/5</f>
        <v>#DIV/0!</v>
      </c>
      <c r="T749" s="23" t="e">
        <f>T748/5</f>
        <v>#DIV/0!</v>
      </c>
      <c r="U749" s="23" t="e">
        <f>U748/5</f>
        <v>#DIV/0!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1</v>
      </c>
      <c r="AU749" s="90">
        <f>AU748/5</f>
        <v>0.96</v>
      </c>
      <c r="AV749" s="90">
        <f>AV748/5</f>
        <v>1</v>
      </c>
      <c r="AW749" s="90">
        <f>AW748/5</f>
        <v>0.91999999999999993</v>
      </c>
      <c r="AX749" s="90">
        <f>AX748/5</f>
        <v>1</v>
      </c>
    </row>
    <row r="750" spans="3:57" x14ac:dyDescent="0.3">
      <c r="F750">
        <f>SUMIF($F$5:$F$744,5)</f>
        <v>35</v>
      </c>
      <c r="G750">
        <f>SUMIF($G$5:$G$744,5)</f>
        <v>35</v>
      </c>
      <c r="H750">
        <f>SUMIF($H$5:$H$744,5)</f>
        <v>35</v>
      </c>
      <c r="I750">
        <f>SUMIF($I$5:$I$744,5)</f>
        <v>30</v>
      </c>
      <c r="J750">
        <f>SUMIF($J$5:$J$744,5)</f>
        <v>30</v>
      </c>
      <c r="N750" s="3"/>
      <c r="O750" s="3"/>
      <c r="P750" s="3"/>
      <c r="Q750">
        <f>SUMIF($Q$5:$Q$740,5)</f>
        <v>0</v>
      </c>
      <c r="R750">
        <f>SUMIF($R$5:$R$740,5)</f>
        <v>0</v>
      </c>
      <c r="S750">
        <f>SUMIF($S$5:$S$740,5)</f>
        <v>0</v>
      </c>
      <c r="T750">
        <f>SUMIF($T$5:$T$740,5)</f>
        <v>0</v>
      </c>
      <c r="U750">
        <f>SUMIF($U$5:$U$740,5)</f>
        <v>0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25</v>
      </c>
      <c r="AU750">
        <f>SUMIF($AU$5:$AU$740,5)</f>
        <v>20</v>
      </c>
      <c r="AV750">
        <f>SUMIF($AV$5:$AV$740,5)</f>
        <v>25</v>
      </c>
      <c r="AW750">
        <f>SUMIF($AW$5:$AW$740,5)</f>
        <v>20</v>
      </c>
      <c r="AX750">
        <f>SUMIF($AX$5:$AX$740,5)</f>
        <v>25</v>
      </c>
      <c r="BA750">
        <f t="shared" ref="BA750:BE754" si="0">F750+Q750+Z750+AI750+AT750</f>
        <v>60</v>
      </c>
      <c r="BB750">
        <f t="shared" si="0"/>
        <v>55</v>
      </c>
      <c r="BC750">
        <f t="shared" si="0"/>
        <v>60</v>
      </c>
      <c r="BD750">
        <f t="shared" si="0"/>
        <v>50</v>
      </c>
      <c r="BE750">
        <f t="shared" si="0"/>
        <v>55</v>
      </c>
    </row>
    <row r="751" spans="3:57" x14ac:dyDescent="0.3">
      <c r="F751">
        <f>SUMIF($F$5:$F$744,4)</f>
        <v>0</v>
      </c>
      <c r="G751">
        <f>SUMIF($G$5:$G$744,4)</f>
        <v>0</v>
      </c>
      <c r="H751">
        <f>SUMIF($H$5:$H$744,4)</f>
        <v>0</v>
      </c>
      <c r="I751">
        <f>SUMIF($I$5:$I$744,4)</f>
        <v>4</v>
      </c>
      <c r="J751">
        <f>SUMIF($J$5:$J$744,4)</f>
        <v>4</v>
      </c>
      <c r="N751" s="3"/>
      <c r="O751" s="3"/>
      <c r="P751" s="3"/>
      <c r="Q751">
        <f>SUMIF($Q$5:$Q$740,4)</f>
        <v>0</v>
      </c>
      <c r="R751">
        <f>SUMIF($R$5:$R$740,4)</f>
        <v>0</v>
      </c>
      <c r="S751">
        <f>SUMIF($S$5:$S$740,4)</f>
        <v>0</v>
      </c>
      <c r="T751">
        <f>SUMIF($T$5:$T$740,4)</f>
        <v>0</v>
      </c>
      <c r="U751">
        <f>SUMIF($U$5:$U$740,4)</f>
        <v>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0</v>
      </c>
      <c r="AU751">
        <f>SUMIF($AU$5:$AU$740,4)</f>
        <v>4</v>
      </c>
      <c r="AV751">
        <f>SUMIF($AV$5:$AV$740,4)</f>
        <v>0</v>
      </c>
      <c r="AW751">
        <f>SUMIF($AW$5:$AW$740,4)</f>
        <v>0</v>
      </c>
      <c r="AX751">
        <f>SUMIF($AX$5:$AX$740,4)</f>
        <v>0</v>
      </c>
      <c r="BA751">
        <f t="shared" si="0"/>
        <v>0</v>
      </c>
      <c r="BB751">
        <f t="shared" si="0"/>
        <v>4</v>
      </c>
      <c r="BC751">
        <f t="shared" si="0"/>
        <v>0</v>
      </c>
      <c r="BD751">
        <f t="shared" si="0"/>
        <v>4</v>
      </c>
      <c r="BE751">
        <f t="shared" si="0"/>
        <v>4</v>
      </c>
    </row>
    <row r="752" spans="3:57" x14ac:dyDescent="0.3">
      <c r="F752">
        <f>SUMIF($F$5:$F$744,3)</f>
        <v>0</v>
      </c>
      <c r="G752">
        <f>SUMIF($G$5:$G$744,3)</f>
        <v>0</v>
      </c>
      <c r="H752">
        <f>SUMIF($H$5:$H$744,3)</f>
        <v>0</v>
      </c>
      <c r="I752">
        <f>SUMIF($I$5:$I$744,3)</f>
        <v>0</v>
      </c>
      <c r="J752">
        <f>SUMIF($J$5:$J$744,3)</f>
        <v>0</v>
      </c>
      <c r="N752" s="3"/>
      <c r="O752" s="3"/>
      <c r="P752" s="3"/>
      <c r="Q752">
        <f>SUMIF($Q$5:$Q$740,3)</f>
        <v>0</v>
      </c>
      <c r="R752">
        <f>SUMIF($R$5:$R$740,3)</f>
        <v>0</v>
      </c>
      <c r="S752">
        <f>SUMIF($S$5:$S$740,3)</f>
        <v>0</v>
      </c>
      <c r="T752">
        <f>SUMIF($T$5:$T$740,3)</f>
        <v>0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0</v>
      </c>
      <c r="AU752">
        <f>SUMIF($AU$5:$AU$740,3)</f>
        <v>0</v>
      </c>
      <c r="AV752">
        <f>SUMIF($AV$5:$AV$740,3)</f>
        <v>0</v>
      </c>
      <c r="AW752">
        <f>SUMIF($AW$5:$AW$740,3)</f>
        <v>3</v>
      </c>
      <c r="AX752">
        <f>SUMIF($AX$5:$AX$740,3)</f>
        <v>0</v>
      </c>
      <c r="BA752">
        <f t="shared" si="0"/>
        <v>0</v>
      </c>
      <c r="BB752">
        <f t="shared" si="0"/>
        <v>0</v>
      </c>
      <c r="BC752">
        <f t="shared" si="0"/>
        <v>0</v>
      </c>
      <c r="BD752">
        <f t="shared" si="0"/>
        <v>3</v>
      </c>
      <c r="BE752">
        <f t="shared" si="0"/>
        <v>0</v>
      </c>
    </row>
    <row r="753" spans="6:57" x14ac:dyDescent="0.3">
      <c r="F753">
        <f>SUMIF($F$5:$F$744,2)</f>
        <v>0</v>
      </c>
      <c r="G753">
        <f>SUMIF($G$5:$G$744,2)</f>
        <v>0</v>
      </c>
      <c r="H753">
        <f>SUMIF($H$5:$H$744,2)</f>
        <v>0</v>
      </c>
      <c r="I753">
        <f>SUMIF($I$5:$I$744,2)</f>
        <v>0</v>
      </c>
      <c r="J753">
        <f>SUMIF($J$5:$J$744,2)</f>
        <v>0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0</v>
      </c>
      <c r="AW753">
        <f>SUMIF($AW$5:$AW$740,2)</f>
        <v>0</v>
      </c>
      <c r="AX753">
        <f>SUMIF($AX$5:$AX$740,2)</f>
        <v>0</v>
      </c>
      <c r="BA753">
        <f t="shared" si="0"/>
        <v>0</v>
      </c>
      <c r="BB753">
        <f t="shared" si="0"/>
        <v>0</v>
      </c>
      <c r="BC753">
        <f t="shared" si="0"/>
        <v>0</v>
      </c>
      <c r="BD753">
        <f t="shared" si="0"/>
        <v>0</v>
      </c>
      <c r="BE753">
        <f t="shared" si="0"/>
        <v>0</v>
      </c>
    </row>
    <row r="754" spans="6:57" x14ac:dyDescent="0.3">
      <c r="F754">
        <f>SUMIF($F$5:$F$744,1)</f>
        <v>0</v>
      </c>
      <c r="G754">
        <f>SUMIF($G$5:$G$744,1)</f>
        <v>0</v>
      </c>
      <c r="H754">
        <f>SUMIF($H$5:$H$744,1)</f>
        <v>0</v>
      </c>
      <c r="I754">
        <f>SUMIF($I$5:$I$744,1)</f>
        <v>0</v>
      </c>
      <c r="J754">
        <f>SUMIF($J$5:$J$744,1)</f>
        <v>0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0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0</v>
      </c>
      <c r="AW754">
        <f>SUMIF($AW$5:$AW$740,1)</f>
        <v>0</v>
      </c>
      <c r="AX754">
        <f>SUMIF($AX$5:$AX$740,1)</f>
        <v>0</v>
      </c>
      <c r="BA754">
        <f t="shared" si="0"/>
        <v>0</v>
      </c>
      <c r="BB754">
        <f t="shared" si="0"/>
        <v>0</v>
      </c>
      <c r="BC754">
        <f t="shared" si="0"/>
        <v>0</v>
      </c>
      <c r="BD754">
        <f t="shared" si="0"/>
        <v>0</v>
      </c>
      <c r="BE754">
        <f t="shared" si="0"/>
        <v>0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7</v>
      </c>
      <c r="G756">
        <f>G750/5</f>
        <v>7</v>
      </c>
      <c r="H756">
        <f>H750/5</f>
        <v>7</v>
      </c>
      <c r="I756">
        <f>I750/5</f>
        <v>6</v>
      </c>
      <c r="J756">
        <f>J750/5</f>
        <v>6</v>
      </c>
      <c r="N756" s="3"/>
      <c r="O756" s="3"/>
      <c r="P756" s="3"/>
      <c r="Q756">
        <f>Q750/5</f>
        <v>0</v>
      </c>
      <c r="R756">
        <f>R750/5</f>
        <v>0</v>
      </c>
      <c r="S756">
        <f>S750/5</f>
        <v>0</v>
      </c>
      <c r="T756">
        <f>T750/5</f>
        <v>0</v>
      </c>
      <c r="U756">
        <f>U750/5</f>
        <v>0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5</v>
      </c>
      <c r="AU756">
        <f>AU750/5</f>
        <v>4</v>
      </c>
      <c r="AV756">
        <f>AV750/5</f>
        <v>5</v>
      </c>
      <c r="AW756">
        <f>AW750/5</f>
        <v>4</v>
      </c>
      <c r="AX756">
        <f>AX750/5</f>
        <v>5</v>
      </c>
      <c r="AZ756" t="s">
        <v>16</v>
      </c>
      <c r="BA756">
        <f>BA750/5</f>
        <v>12</v>
      </c>
      <c r="BB756">
        <f>BB750/5</f>
        <v>11</v>
      </c>
      <c r="BC756">
        <f>BC750/5</f>
        <v>12</v>
      </c>
      <c r="BD756">
        <f>BD750/5</f>
        <v>10</v>
      </c>
      <c r="BE756">
        <f>BE750/5</f>
        <v>11</v>
      </c>
    </row>
    <row r="757" spans="6:57" x14ac:dyDescent="0.3">
      <c r="F757">
        <f>F751/4</f>
        <v>0</v>
      </c>
      <c r="G757">
        <f>G751/4</f>
        <v>0</v>
      </c>
      <c r="H757">
        <f>H751/4</f>
        <v>0</v>
      </c>
      <c r="I757">
        <f>I751/4</f>
        <v>1</v>
      </c>
      <c r="J757">
        <f>J751/4</f>
        <v>1</v>
      </c>
      <c r="N757" s="3"/>
      <c r="O757" s="3"/>
      <c r="P757" s="3"/>
      <c r="Q757">
        <f>Q751/4</f>
        <v>0</v>
      </c>
      <c r="R757">
        <f>R751/4</f>
        <v>0</v>
      </c>
      <c r="S757">
        <f>S751/4</f>
        <v>0</v>
      </c>
      <c r="T757">
        <f>T751/4</f>
        <v>0</v>
      </c>
      <c r="U757">
        <f>U751/4</f>
        <v>0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0</v>
      </c>
      <c r="AU757">
        <f>AU751/4</f>
        <v>1</v>
      </c>
      <c r="AV757">
        <f>AV751/4</f>
        <v>0</v>
      </c>
      <c r="AW757">
        <f>AW751/4</f>
        <v>0</v>
      </c>
      <c r="AX757">
        <f>AX751/4</f>
        <v>0</v>
      </c>
      <c r="AZ757" t="s">
        <v>17</v>
      </c>
      <c r="BA757">
        <f>BA751/4</f>
        <v>0</v>
      </c>
      <c r="BB757">
        <f>BB751/4</f>
        <v>1</v>
      </c>
      <c r="BC757">
        <f>BC751/4</f>
        <v>0</v>
      </c>
      <c r="BD757">
        <f>BD751/4</f>
        <v>1</v>
      </c>
      <c r="BE757">
        <f>BE751/4</f>
        <v>1</v>
      </c>
    </row>
    <row r="758" spans="6:57" x14ac:dyDescent="0.3">
      <c r="F758">
        <f>F752/3</f>
        <v>0</v>
      </c>
      <c r="G758">
        <f>G752/3</f>
        <v>0</v>
      </c>
      <c r="H758">
        <f>H752/3</f>
        <v>0</v>
      </c>
      <c r="I758">
        <f>I752/3</f>
        <v>0</v>
      </c>
      <c r="J758">
        <f>J752/3</f>
        <v>0</v>
      </c>
      <c r="N758" s="3"/>
      <c r="O758" s="3"/>
      <c r="P758" s="3"/>
      <c r="Q758">
        <f>Q752/3</f>
        <v>0</v>
      </c>
      <c r="R758">
        <f>R752/3</f>
        <v>0</v>
      </c>
      <c r="S758">
        <f>S752/3</f>
        <v>0</v>
      </c>
      <c r="T758">
        <f>T752/3</f>
        <v>0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0</v>
      </c>
      <c r="AU758">
        <f>AU752/3</f>
        <v>0</v>
      </c>
      <c r="AV758">
        <f>AV752/3</f>
        <v>0</v>
      </c>
      <c r="AW758">
        <f>AW752/3</f>
        <v>1</v>
      </c>
      <c r="AX758">
        <f>AX752/3</f>
        <v>0</v>
      </c>
      <c r="AZ758" t="s">
        <v>18</v>
      </c>
      <c r="BA758">
        <f>BA752/3</f>
        <v>0</v>
      </c>
      <c r="BB758">
        <f>BB752/3</f>
        <v>0</v>
      </c>
      <c r="BC758">
        <f>BC752/3</f>
        <v>0</v>
      </c>
      <c r="BD758">
        <f>BD752/3</f>
        <v>1</v>
      </c>
      <c r="BE758">
        <f>BE752/3</f>
        <v>0</v>
      </c>
    </row>
    <row r="759" spans="6:57" x14ac:dyDescent="0.3">
      <c r="F759">
        <f>F753/2</f>
        <v>0</v>
      </c>
      <c r="G759">
        <f>G753/2</f>
        <v>0</v>
      </c>
      <c r="H759">
        <f>H753/2</f>
        <v>0</v>
      </c>
      <c r="I759">
        <f>I753/2</f>
        <v>0</v>
      </c>
      <c r="J759">
        <f>J753/2</f>
        <v>0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0</v>
      </c>
      <c r="AW759">
        <f>AW753/2</f>
        <v>0</v>
      </c>
      <c r="AX759">
        <f>AX753/2</f>
        <v>0</v>
      </c>
      <c r="AZ759" t="s">
        <v>19</v>
      </c>
      <c r="BA759">
        <f>BA753/2</f>
        <v>0</v>
      </c>
      <c r="BB759">
        <f>BB753/2</f>
        <v>0</v>
      </c>
      <c r="BC759">
        <f>BC753/2</f>
        <v>0</v>
      </c>
      <c r="BD759">
        <f>BD753/2</f>
        <v>0</v>
      </c>
      <c r="BE759">
        <f>BE753/2</f>
        <v>0</v>
      </c>
    </row>
    <row r="760" spans="6:57" x14ac:dyDescent="0.3">
      <c r="F760">
        <f>F754/1</f>
        <v>0</v>
      </c>
      <c r="G760">
        <f>G754/1</f>
        <v>0</v>
      </c>
      <c r="H760">
        <f>H754/1</f>
        <v>0</v>
      </c>
      <c r="I760">
        <f>I754/1</f>
        <v>0</v>
      </c>
      <c r="J760">
        <f>J754/1</f>
        <v>0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0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Z760" t="s">
        <v>20</v>
      </c>
      <c r="BA760">
        <f>BA754/1</f>
        <v>0</v>
      </c>
      <c r="BB760">
        <f>BB754/1</f>
        <v>0</v>
      </c>
      <c r="BC760">
        <f>BC754/1</f>
        <v>0</v>
      </c>
      <c r="BD760">
        <f>BD754/1</f>
        <v>0</v>
      </c>
      <c r="BE760">
        <f>BE754/1</f>
        <v>0</v>
      </c>
    </row>
    <row r="761" spans="6:57" x14ac:dyDescent="0.3">
      <c r="F761">
        <f>SUM(F756:F760)</f>
        <v>7</v>
      </c>
      <c r="G761">
        <f>SUM(G756:G760)</f>
        <v>7</v>
      </c>
      <c r="H761">
        <f>SUM(H756:H760)</f>
        <v>7</v>
      </c>
      <c r="I761">
        <f>SUM(I756:I760)</f>
        <v>7</v>
      </c>
      <c r="J761">
        <f>SUM(J756:J760)</f>
        <v>7</v>
      </c>
      <c r="N761" s="3"/>
      <c r="O761" s="3"/>
      <c r="P761" s="3"/>
      <c r="Q761">
        <f>SUM(Q756:Q760)</f>
        <v>0</v>
      </c>
      <c r="R761">
        <f>SUM(R756:R760)</f>
        <v>0</v>
      </c>
      <c r="S761">
        <f>SUM(S756:S760)</f>
        <v>0</v>
      </c>
      <c r="T761">
        <f>SUM(T756:T760)</f>
        <v>0</v>
      </c>
      <c r="U761">
        <f>SUM(U756:U760)</f>
        <v>0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5</v>
      </c>
      <c r="AU761">
        <f>SUM(AU756:AU760)</f>
        <v>5</v>
      </c>
      <c r="AV761">
        <f>SUM(AV756:AV760)</f>
        <v>5</v>
      </c>
      <c r="AW761">
        <f>SUM(AW756:AW760)</f>
        <v>5</v>
      </c>
      <c r="AX761">
        <f>SUM(AX756:AX760)</f>
        <v>5</v>
      </c>
      <c r="BA761">
        <f>SUM(BA756:BA760)</f>
        <v>12</v>
      </c>
      <c r="BB761">
        <f>SUM(BB756:BB760)</f>
        <v>12</v>
      </c>
      <c r="BC761">
        <f>SUM(BC756:BC760)</f>
        <v>12</v>
      </c>
      <c r="BD761">
        <f>SUM(BD756:BD760)</f>
        <v>12</v>
      </c>
      <c r="BE761">
        <f>SUM(BE756:BE760)</f>
        <v>12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1</v>
      </c>
      <c r="BB764" s="23">
        <f>BB756/$BB$761</f>
        <v>0.91666666666666663</v>
      </c>
      <c r="BC764" s="23">
        <f>BC756/$BC$761</f>
        <v>1</v>
      </c>
      <c r="BD764" s="23">
        <f>BD756/$BD$761</f>
        <v>0.83333333333333337</v>
      </c>
      <c r="BE764" s="23">
        <f>BE756/$BE$761</f>
        <v>0.91666666666666663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0</v>
      </c>
      <c r="BB765" s="23">
        <f>BB757/$BB$761</f>
        <v>8.3333333333333329E-2</v>
      </c>
      <c r="BC765" s="23">
        <f>BC757/$BC$761</f>
        <v>0</v>
      </c>
      <c r="BD765" s="23">
        <f>BD757/$BD$761</f>
        <v>8.3333333333333329E-2</v>
      </c>
      <c r="BE765" s="23">
        <f>BE757/$BE$761</f>
        <v>8.3333333333333329E-2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0</v>
      </c>
      <c r="BB766" s="23">
        <f>BB758/$BB$761</f>
        <v>0</v>
      </c>
      <c r="BC766" s="23">
        <f>BC758/$BC$761</f>
        <v>0</v>
      </c>
      <c r="BD766" s="23">
        <f>BD758/$BD$761</f>
        <v>8.3333333333333329E-2</v>
      </c>
      <c r="BE766" s="23">
        <f>BE758/$BE$761</f>
        <v>0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0</v>
      </c>
      <c r="BB767" s="23">
        <f>BB759/$BB$761</f>
        <v>0</v>
      </c>
      <c r="BC767" s="23">
        <f>BC759/$BC$761</f>
        <v>0</v>
      </c>
      <c r="BD767" s="23">
        <f>BD759/$BD$761</f>
        <v>0</v>
      </c>
      <c r="BE767" s="23">
        <f>BE759/$BE$761</f>
        <v>0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0</v>
      </c>
      <c r="BB768" s="23">
        <f>BB760/$BB$761</f>
        <v>0</v>
      </c>
      <c r="BC768" s="23">
        <f>BC760/$BC$761</f>
        <v>0</v>
      </c>
      <c r="BD768" s="23">
        <f>BD760/$BD$761</f>
        <v>0</v>
      </c>
      <c r="BE768" s="23">
        <f>BE760/$BE$761</f>
        <v>0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1</v>
      </c>
      <c r="BD769" s="24">
        <f>SUM(BD764:BD768)</f>
        <v>1</v>
      </c>
      <c r="BE769" s="24">
        <f>SUM(BE764:BE768)</f>
        <v>1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zoomScale="90" zoomScaleNormal="90" workbookViewId="0">
      <selection activeCell="H43" sqref="H43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31" t="s">
        <v>8</v>
      </c>
      <c r="C1" s="131"/>
      <c r="D1" s="131"/>
      <c r="E1" s="131"/>
      <c r="F1" s="131"/>
    </row>
    <row r="2" spans="1:7" ht="22.8" x14ac:dyDescent="0.4">
      <c r="A2" s="62"/>
      <c r="B2" s="62"/>
      <c r="C2" s="62"/>
      <c r="D2" s="62"/>
      <c r="E2" s="62"/>
      <c r="F2" s="62"/>
    </row>
    <row r="3" spans="1:7" ht="26.4" x14ac:dyDescent="0.25">
      <c r="B3" s="20" t="s">
        <v>26</v>
      </c>
      <c r="C3" s="20"/>
      <c r="E3" s="26" t="s">
        <v>9</v>
      </c>
      <c r="F3" s="93" t="s">
        <v>61</v>
      </c>
    </row>
    <row r="4" spans="1:7" x14ac:dyDescent="0.25">
      <c r="B4" s="20" t="s">
        <v>15</v>
      </c>
      <c r="C4" s="20"/>
      <c r="E4" s="26" t="s">
        <v>10</v>
      </c>
      <c r="F4" s="94">
        <v>45567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8" t="s">
        <v>11</v>
      </c>
      <c r="C7" s="138" t="s">
        <v>12</v>
      </c>
      <c r="D7" s="132" t="s">
        <v>27</v>
      </c>
      <c r="E7" s="134" t="s">
        <v>13</v>
      </c>
      <c r="F7" s="136" t="s">
        <v>7</v>
      </c>
    </row>
    <row r="8" spans="1:7" s="17" customFormat="1" ht="18.75" customHeight="1" thickBot="1" x14ac:dyDescent="0.35">
      <c r="B8" s="138"/>
      <c r="C8" s="138"/>
      <c r="D8" s="133"/>
      <c r="E8" s="135"/>
      <c r="F8" s="137"/>
    </row>
    <row r="9" spans="1:7" s="17" customFormat="1" ht="20.25" customHeight="1" x14ac:dyDescent="0.3">
      <c r="B9" s="138"/>
      <c r="C9" s="138"/>
      <c r="D9" s="133"/>
      <c r="E9" s="135"/>
      <c r="F9" s="137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55</v>
      </c>
      <c r="C11" s="32" t="s">
        <v>14</v>
      </c>
      <c r="D11" s="51">
        <v>0.9</v>
      </c>
      <c r="E11" s="52">
        <v>1</v>
      </c>
      <c r="F11" s="99">
        <f>ANEXO!F749</f>
        <v>1</v>
      </c>
    </row>
    <row r="12" spans="1:7" s="11" customFormat="1" ht="13.8" x14ac:dyDescent="0.3">
      <c r="B12" s="33" t="s">
        <v>56</v>
      </c>
      <c r="C12" s="27" t="s">
        <v>14</v>
      </c>
      <c r="D12" s="53">
        <v>0.9</v>
      </c>
      <c r="E12" s="54">
        <v>1</v>
      </c>
      <c r="F12" s="102">
        <f>ANEXO!G749</f>
        <v>1</v>
      </c>
    </row>
    <row r="13" spans="1:7" s="11" customFormat="1" ht="13.8" x14ac:dyDescent="0.3">
      <c r="B13" s="33" t="s">
        <v>57</v>
      </c>
      <c r="C13" s="27" t="s">
        <v>14</v>
      </c>
      <c r="D13" s="53">
        <v>0.9</v>
      </c>
      <c r="E13" s="54">
        <v>1</v>
      </c>
      <c r="F13" s="102">
        <f>ANEXO!H749</f>
        <v>1</v>
      </c>
    </row>
    <row r="14" spans="1:7" s="11" customFormat="1" ht="13.8" x14ac:dyDescent="0.3">
      <c r="B14" s="33" t="s">
        <v>58</v>
      </c>
      <c r="C14" s="27" t="s">
        <v>14</v>
      </c>
      <c r="D14" s="53">
        <v>0.9</v>
      </c>
      <c r="E14" s="54">
        <v>1</v>
      </c>
      <c r="F14" s="102">
        <f>ANEXO!I749</f>
        <v>0.97142857142857131</v>
      </c>
      <c r="G14" s="17"/>
    </row>
    <row r="15" spans="1:7" s="11" customFormat="1" ht="14.4" thickBot="1" x14ac:dyDescent="0.35">
      <c r="B15" s="67" t="s">
        <v>59</v>
      </c>
      <c r="C15" s="68" t="s">
        <v>14</v>
      </c>
      <c r="D15" s="69">
        <v>0.9</v>
      </c>
      <c r="E15" s="70">
        <v>1</v>
      </c>
      <c r="F15" s="100">
        <f>ANEXO!J749</f>
        <v>0.97142857142857131</v>
      </c>
      <c r="G15" s="17"/>
    </row>
    <row r="16" spans="1:7" s="11" customFormat="1" ht="13.8" hidden="1" x14ac:dyDescent="0.3">
      <c r="B16" s="34" t="s">
        <v>45</v>
      </c>
      <c r="C16" s="35" t="s">
        <v>14</v>
      </c>
      <c r="D16" s="71">
        <v>0.9</v>
      </c>
      <c r="E16" s="72">
        <v>1</v>
      </c>
      <c r="F16" s="103" t="e">
        <f>ANEXO!Q$749</f>
        <v>#DIV/0!</v>
      </c>
    </row>
    <row r="17" spans="2:6" s="11" customFormat="1" ht="13.8" hidden="1" x14ac:dyDescent="0.3">
      <c r="B17" s="36" t="s">
        <v>46</v>
      </c>
      <c r="C17" s="28" t="s">
        <v>14</v>
      </c>
      <c r="D17" s="49">
        <v>0.9</v>
      </c>
      <c r="E17" s="50">
        <v>1</v>
      </c>
      <c r="F17" s="104" t="e">
        <f>ANEXO!R749</f>
        <v>#DIV/0!</v>
      </c>
    </row>
    <row r="18" spans="2:6" s="11" customFormat="1" ht="13.8" hidden="1" x14ac:dyDescent="0.3">
      <c r="B18" s="36" t="s">
        <v>47</v>
      </c>
      <c r="C18" s="28" t="s">
        <v>14</v>
      </c>
      <c r="D18" s="49">
        <v>0.9</v>
      </c>
      <c r="E18" s="50">
        <v>1</v>
      </c>
      <c r="F18" s="104" t="e">
        <f>ANEXO!S749</f>
        <v>#DIV/0!</v>
      </c>
    </row>
    <row r="19" spans="2:6" s="11" customFormat="1" ht="13.8" hidden="1" x14ac:dyDescent="0.3">
      <c r="B19" s="36" t="s">
        <v>48</v>
      </c>
      <c r="C19" s="28" t="s">
        <v>14</v>
      </c>
      <c r="D19" s="49">
        <v>0.9</v>
      </c>
      <c r="E19" s="50">
        <v>1</v>
      </c>
      <c r="F19" s="104" t="e">
        <f>ANEXO!T749</f>
        <v>#DIV/0!</v>
      </c>
    </row>
    <row r="20" spans="2:6" s="11" customFormat="1" ht="14.4" hidden="1" thickBot="1" x14ac:dyDescent="0.35">
      <c r="B20" s="37" t="s">
        <v>49</v>
      </c>
      <c r="C20" s="38" t="s">
        <v>14</v>
      </c>
      <c r="D20" s="73">
        <v>0.9</v>
      </c>
      <c r="E20" s="74">
        <v>1</v>
      </c>
      <c r="F20" s="105" t="e">
        <f>ANEXO!U749</f>
        <v>#DIV/0!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3.8" hidden="1" x14ac:dyDescent="0.3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50</v>
      </c>
      <c r="C26" s="45" t="s">
        <v>14</v>
      </c>
      <c r="D26" s="57">
        <v>0.9</v>
      </c>
      <c r="E26" s="58">
        <v>1</v>
      </c>
      <c r="F26" s="108">
        <f>ANEXO!AT749</f>
        <v>1</v>
      </c>
    </row>
    <row r="27" spans="2:6" s="11" customFormat="1" ht="13.8" x14ac:dyDescent="0.3">
      <c r="B27" s="46" t="s">
        <v>51</v>
      </c>
      <c r="C27" s="30" t="s">
        <v>14</v>
      </c>
      <c r="D27" s="57">
        <v>0.9</v>
      </c>
      <c r="E27" s="58">
        <v>1</v>
      </c>
      <c r="F27" s="108">
        <f>ANEXO!AU749</f>
        <v>0.96</v>
      </c>
    </row>
    <row r="28" spans="2:6" s="11" customFormat="1" ht="13.8" x14ac:dyDescent="0.3">
      <c r="B28" s="46" t="s">
        <v>52</v>
      </c>
      <c r="C28" s="30" t="s">
        <v>14</v>
      </c>
      <c r="D28" s="57">
        <v>0.9</v>
      </c>
      <c r="E28" s="58">
        <v>1</v>
      </c>
      <c r="F28" s="108">
        <f>ANEXO!AV749</f>
        <v>1</v>
      </c>
    </row>
    <row r="29" spans="2:6" s="11" customFormat="1" ht="13.8" x14ac:dyDescent="0.3">
      <c r="B29" s="46" t="s">
        <v>53</v>
      </c>
      <c r="C29" s="30" t="s">
        <v>14</v>
      </c>
      <c r="D29" s="57">
        <v>0.9</v>
      </c>
      <c r="E29" s="58">
        <v>1</v>
      </c>
      <c r="F29" s="108">
        <f>ANEXO!AW749</f>
        <v>0.91999999999999993</v>
      </c>
    </row>
    <row r="30" spans="2:6" s="11" customFormat="1" ht="14.4" thickBot="1" x14ac:dyDescent="0.35">
      <c r="B30" s="47" t="s">
        <v>54</v>
      </c>
      <c r="C30" s="48" t="s">
        <v>14</v>
      </c>
      <c r="D30" s="59">
        <v>0.9</v>
      </c>
      <c r="E30" s="60">
        <v>1</v>
      </c>
      <c r="F30" s="109">
        <f>ANEXO!AX749</f>
        <v>1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(F21+F26+F11)/2</f>
        <v>1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(F12+F22+F27)/2</f>
        <v>0.98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(F13+F23+F28)/2</f>
        <v>1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(F14+F24+F29)/2</f>
        <v>0.94571428571428562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(F15+F25+F30)/2</f>
        <v>0.98571428571428565</v>
      </c>
    </row>
    <row r="38" spans="2:6" s="14" customFormat="1" x14ac:dyDescent="0.25">
      <c r="F38" s="79">
        <f>AVERAGE(F33:F37)</f>
        <v>0.98228571428571421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2024-10-02T23:42:22Z</dcterms:modified>
</cp:coreProperties>
</file>