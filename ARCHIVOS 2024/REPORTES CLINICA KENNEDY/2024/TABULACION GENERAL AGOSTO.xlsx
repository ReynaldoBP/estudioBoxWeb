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REPORTES CK\2024\AGOSTO\"/>
    </mc:Choice>
  </mc:AlternateContent>
  <bookViews>
    <workbookView xWindow="0" yWindow="0" windowWidth="17256" windowHeight="5772"/>
  </bookViews>
  <sheets>
    <sheet name="ADMISION" sheetId="2" r:id="rId1"/>
    <sheet name="LABORATORIO" sheetId="3" r:id="rId2"/>
    <sheet name="CMF" sheetId="4" r:id="rId3"/>
    <sheet name="CDI" sheetId="5" r:id="rId4"/>
    <sheet name="SAP" sheetId="6" r:id="rId5"/>
    <sheet name="EMERGENCIA" sheetId="8" r:id="rId6"/>
    <sheet name="CAJA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6" i="6" l="1"/>
  <c r="C45" i="6"/>
  <c r="G39" i="6"/>
  <c r="G35" i="6"/>
  <c r="G31" i="6"/>
  <c r="D46" i="6"/>
  <c r="C10" i="8" l="1"/>
  <c r="D9" i="8" l="1"/>
  <c r="K7" i="8"/>
  <c r="D8" i="8"/>
  <c r="D7" i="8"/>
  <c r="G31" i="8"/>
  <c r="C31" i="8"/>
  <c r="G24" i="8"/>
  <c r="C24" i="8"/>
  <c r="G17" i="8"/>
  <c r="C17" i="8"/>
  <c r="G10" i="8"/>
  <c r="N19" i="8" l="1"/>
  <c r="H30" i="8"/>
  <c r="H29" i="8"/>
  <c r="H28" i="8"/>
  <c r="H22" i="8"/>
  <c r="H21" i="8"/>
  <c r="N15" i="8"/>
  <c r="H23" i="8"/>
  <c r="N10" i="8"/>
  <c r="N11" i="8"/>
  <c r="H16" i="8"/>
  <c r="H15" i="8"/>
  <c r="H14" i="8"/>
  <c r="H17" i="8" s="1"/>
  <c r="H9" i="8"/>
  <c r="N7" i="8"/>
  <c r="H8" i="8"/>
  <c r="H7" i="8"/>
  <c r="D10" i="8"/>
  <c r="D16" i="8"/>
  <c r="K11" i="8"/>
  <c r="D15" i="8"/>
  <c r="D14" i="8"/>
  <c r="K19" i="8"/>
  <c r="D30" i="8"/>
  <c r="D28" i="8"/>
  <c r="D29" i="8"/>
  <c r="D23" i="8"/>
  <c r="D22" i="8"/>
  <c r="D21" i="8"/>
  <c r="D24" i="8" s="1"/>
  <c r="K15" i="8"/>
  <c r="N6" i="8"/>
  <c r="K18" i="8"/>
  <c r="K14" i="8"/>
  <c r="K10" i="8"/>
  <c r="K6" i="8"/>
  <c r="N18" i="8"/>
  <c r="N14" i="8"/>
  <c r="K25" i="8" l="1"/>
  <c r="K24" i="8"/>
  <c r="D17" i="8"/>
  <c r="D31" i="8"/>
  <c r="L25" i="8"/>
  <c r="L24" i="8"/>
  <c r="H24" i="8"/>
  <c r="H31" i="8"/>
  <c r="H10" i="8"/>
  <c r="G10" i="2" l="1"/>
  <c r="C17" i="2"/>
  <c r="H9" i="2" l="1"/>
  <c r="H8" i="2"/>
  <c r="H7" i="2"/>
  <c r="H10" i="2" s="1"/>
  <c r="D15" i="2"/>
  <c r="D14" i="2"/>
  <c r="D16" i="2"/>
  <c r="D23" i="3"/>
  <c r="E22" i="3" l="1"/>
  <c r="E21" i="3"/>
  <c r="D17" i="2"/>
  <c r="E23" i="3"/>
  <c r="D17" i="3" l="1"/>
  <c r="D10" i="3"/>
  <c r="E15" i="3" l="1"/>
  <c r="E14" i="3"/>
  <c r="E16" i="3"/>
  <c r="H8" i="3"/>
  <c r="E9" i="3"/>
  <c r="H7" i="3"/>
  <c r="E8" i="3"/>
  <c r="E7" i="3"/>
  <c r="H12" i="3"/>
  <c r="G17" i="2"/>
  <c r="G22" i="2"/>
  <c r="C10" i="2"/>
  <c r="E17" i="3" l="1"/>
  <c r="H16" i="2"/>
  <c r="H15" i="2"/>
  <c r="H14" i="2"/>
  <c r="H17" i="2" s="1"/>
  <c r="D9" i="2"/>
  <c r="C22" i="2"/>
  <c r="D7" i="2"/>
  <c r="C21" i="2"/>
  <c r="D8" i="2"/>
  <c r="E10" i="3"/>
  <c r="D10" i="2" l="1"/>
  <c r="G12" i="7"/>
  <c r="C12" i="7"/>
  <c r="H8" i="7" l="1"/>
  <c r="H9" i="7"/>
  <c r="H11" i="7"/>
  <c r="H7" i="7"/>
  <c r="H12" i="7" s="1"/>
  <c r="H10" i="7"/>
  <c r="D10" i="7"/>
  <c r="D7" i="7"/>
  <c r="D9" i="7"/>
  <c r="D8" i="7"/>
  <c r="D11" i="7"/>
  <c r="D16" i="4"/>
  <c r="E15" i="4" l="1"/>
  <c r="E14" i="4"/>
  <c r="E13" i="4"/>
  <c r="D12" i="7"/>
  <c r="H12" i="4"/>
  <c r="G16" i="7"/>
  <c r="G15" i="7"/>
  <c r="C16" i="7"/>
  <c r="C15" i="7"/>
  <c r="H11" i="4"/>
  <c r="H11" i="3"/>
  <c r="G21" i="2"/>
  <c r="E16" i="4" l="1"/>
  <c r="G27" i="6"/>
  <c r="G19" i="6"/>
  <c r="G11" i="6"/>
  <c r="C27" i="6"/>
  <c r="D23" i="6" s="1"/>
  <c r="C19" i="6"/>
  <c r="C11" i="6"/>
  <c r="H18" i="6" l="1"/>
  <c r="H17" i="6"/>
  <c r="H16" i="6"/>
  <c r="H15" i="6"/>
  <c r="H26" i="6"/>
  <c r="H25" i="6"/>
  <c r="H24" i="6"/>
  <c r="H23" i="6"/>
  <c r="H10" i="6"/>
  <c r="H9" i="6"/>
  <c r="H8" i="6"/>
  <c r="H7" i="6"/>
  <c r="D26" i="6"/>
  <c r="D25" i="6"/>
  <c r="D24" i="6"/>
  <c r="D18" i="6"/>
  <c r="D17" i="6"/>
  <c r="D15" i="6"/>
  <c r="D16" i="6"/>
  <c r="C31" i="6"/>
  <c r="D8" i="6"/>
  <c r="D9" i="6"/>
  <c r="C32" i="6"/>
  <c r="D7" i="6"/>
  <c r="D10" i="6"/>
  <c r="G40" i="6"/>
  <c r="G36" i="6"/>
  <c r="G32" i="6"/>
  <c r="C40" i="6"/>
  <c r="C39" i="6"/>
  <c r="C35" i="6"/>
  <c r="C36" i="6"/>
  <c r="G17" i="5"/>
  <c r="G10" i="5"/>
  <c r="C17" i="5"/>
  <c r="C10" i="5"/>
  <c r="H8" i="5" l="1"/>
  <c r="H7" i="5"/>
  <c r="H9" i="5"/>
  <c r="D8" i="5"/>
  <c r="D9" i="5"/>
  <c r="D7" i="5"/>
  <c r="D14" i="5"/>
  <c r="D15" i="5"/>
  <c r="D16" i="5"/>
  <c r="H16" i="5"/>
  <c r="H15" i="5"/>
  <c r="H14" i="5"/>
  <c r="H17" i="5" s="1"/>
  <c r="D27" i="6"/>
  <c r="G26" i="5"/>
  <c r="D33" i="5" s="1"/>
  <c r="G22" i="5"/>
  <c r="C26" i="5"/>
  <c r="C22" i="5"/>
  <c r="H27" i="6"/>
  <c r="H19" i="6"/>
  <c r="H11" i="6"/>
  <c r="D19" i="6"/>
  <c r="D11" i="6"/>
  <c r="G25" i="5"/>
  <c r="C33" i="5" s="1"/>
  <c r="G21" i="5"/>
  <c r="C25" i="5"/>
  <c r="C21" i="5"/>
  <c r="D23" i="4"/>
  <c r="D9" i="4"/>
  <c r="E7" i="4" l="1"/>
  <c r="E8" i="4"/>
  <c r="E9" i="4" s="1"/>
  <c r="E22" i="4"/>
  <c r="E23" i="4" s="1"/>
  <c r="E20" i="4"/>
  <c r="E21" i="4"/>
  <c r="H10" i="5"/>
  <c r="D17" i="5"/>
  <c r="D10" i="5"/>
  <c r="H16" i="4"/>
  <c r="H15" i="4"/>
  <c r="H8" i="4"/>
  <c r="H7" i="4"/>
  <c r="C20" i="7"/>
  <c r="D21" i="7"/>
  <c r="D20" i="7"/>
  <c r="C21" i="7"/>
  <c r="I16" i="3"/>
  <c r="H16" i="3"/>
  <c r="D26" i="2"/>
  <c r="D25" i="2"/>
  <c r="C26" i="2"/>
  <c r="C25" i="2"/>
  <c r="H20" i="4" l="1"/>
  <c r="I20" i="4"/>
  <c r="D45" i="6"/>
  <c r="D32" i="5"/>
  <c r="C32" i="5"/>
</calcChain>
</file>

<file path=xl/sharedStrings.xml><?xml version="1.0" encoding="utf-8"?>
<sst xmlns="http://schemas.openxmlformats.org/spreadsheetml/2006/main" count="367" uniqueCount="48">
  <si>
    <t>KENNEDY</t>
  </si>
  <si>
    <t>SAMBORONDON</t>
  </si>
  <si>
    <t>4. La calidad de atención recibida durante la Admisión fue</t>
  </si>
  <si>
    <t>VARIABLES</t>
  </si>
  <si>
    <t>DATOS MASS</t>
  </si>
  <si>
    <t>%</t>
  </si>
  <si>
    <t>Excelente</t>
  </si>
  <si>
    <t>Normal</t>
  </si>
  <si>
    <t>Deficiente</t>
  </si>
  <si>
    <t>N/A</t>
  </si>
  <si>
    <t>TOTAL</t>
  </si>
  <si>
    <t>5. El tiempo (en minutos) que tuvo que esperar para que se le asigne habitación fue:</t>
  </si>
  <si>
    <t>Menos 30 min</t>
  </si>
  <si>
    <t>De 30 a 60 min</t>
  </si>
  <si>
    <t>Más de 60 min</t>
  </si>
  <si>
    <t>P1</t>
  </si>
  <si>
    <t>P2</t>
  </si>
  <si>
    <t>P3</t>
  </si>
  <si>
    <t>SATISFACCION</t>
  </si>
  <si>
    <t>INSATISFACCION</t>
  </si>
  <si>
    <t>4. La calidad de atención recibida por parte del Personal de Servicios al cliente al proporcionar información para la realización de (los) exámen (es) fue:</t>
  </si>
  <si>
    <t>5. El calidad de atención recibida del Personal de Laboratorio al momento de tomar la muestra fue:</t>
  </si>
  <si>
    <t>6. El tiempo de atención por parte del Personal de Laboratorio fue realizado en menos de 20 minutos</t>
  </si>
  <si>
    <t>SI</t>
  </si>
  <si>
    <t>NO</t>
  </si>
  <si>
    <t>3. Califique el tiempo de espera transcurrido desde que llegó a nuestras instalaciones hasta recibir la consulta médica</t>
  </si>
  <si>
    <t xml:space="preserve">Tiempo Adecuado (15 min) </t>
  </si>
  <si>
    <t>Fuera de tiempo ( Más de 20 min)</t>
  </si>
  <si>
    <t>Total</t>
  </si>
  <si>
    <t>P4</t>
  </si>
  <si>
    <t>P5</t>
  </si>
  <si>
    <t>VARIABLE</t>
  </si>
  <si>
    <t>3. Cómo califica la atención del personal clínico que le realizó el examen?</t>
  </si>
  <si>
    <t>4. ¿Cómo califica la atención del personal de Servicio al cliente?</t>
  </si>
  <si>
    <t>5. Califique la calidad de los servicios de imágenes - CDI</t>
  </si>
  <si>
    <t>6. Califique la calidad de los servicios de Laboratorio</t>
  </si>
  <si>
    <t>7. Como calificaría la limpieza de la habitación</t>
  </si>
  <si>
    <t>3. Califique su experiencia en el área de caja, ( del 1 al 5, donde el 1 es malo y 5 excelente)</t>
  </si>
  <si>
    <t>CALIFICACION 1</t>
  </si>
  <si>
    <t>CALIFICACION 2</t>
  </si>
  <si>
    <t>CALIFICACION 3</t>
  </si>
  <si>
    <t>CALIFICACION 4</t>
  </si>
  <si>
    <t>CALIFICACION 5</t>
  </si>
  <si>
    <t>4. Califique la Calidad de atención recibida en el area de Caja en la Consulta Externa.</t>
  </si>
  <si>
    <t>1. Cómo califica la atención recibida del: Médico Tratante</t>
  </si>
  <si>
    <t>2. Cómo califica la atención recibida del: Médico Residente</t>
  </si>
  <si>
    <t>3. Cómo califica la atención recibida del: Personal de Enfermería</t>
  </si>
  <si>
    <t>4. ¿La explicación del médico sobre el diagnóstico, tratamiento y signos de alarma, fue clara, efectiva y oportuna?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</si>
</sst>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9" fontId="6" fillId="0" borderId="1" xfId="1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9" fontId="2" fillId="0" borderId="0" xfId="0" applyNumberFormat="1" applyFont="1" applyBorder="1"/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ADMISION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ADMISION!$C$24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ADMISION!$B$25:$B$26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ADMISION!$C$25:$C$26</c:f>
              <c:numCache>
                <c:formatCode>0%</c:formatCode>
                <c:ptCount val="2"/>
                <c:pt idx="0">
                  <c:v>1</c:v>
                </c:pt>
                <c:pt idx="1">
                  <c:v>0.98630136986301364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ADMISION!$D$24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ADMISION!$B$25:$B$26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ADMISION!$D$25:$D$26</c:f>
              <c:numCache>
                <c:formatCode>0%</c:formatCode>
                <c:ptCount val="2"/>
                <c:pt idx="0">
                  <c:v>0</c:v>
                </c:pt>
                <c:pt idx="1">
                  <c:v>1.3698630136986301E-2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LABORATORIO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LABORATORIO!$H$15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LABORATORIO!$G$16:$G$16</c:f>
              <c:strCache>
                <c:ptCount val="1"/>
                <c:pt idx="0">
                  <c:v>SAMBORONDON</c:v>
                </c:pt>
              </c:strCache>
            </c:strRef>
          </c:cat>
          <c:val>
            <c:numRef>
              <c:f>LABORATORIO!$H$16:$H$16</c:f>
              <c:numCache>
                <c:formatCode>0%</c:formatCode>
                <c:ptCount val="1"/>
                <c:pt idx="0">
                  <c:v>0.99868766404199483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E-4722-ADDE-D39CABDD8CF4}"/>
            </c:ext>
          </c:extLst>
        </c:ser>
        <c:ser>
          <c:idx val="1"/>
          <c:order val="1"/>
          <c:tx>
            <c:strRef>
              <c:f>LABORATORIO!$I$15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LABORATORIO!$G$16:$G$16</c:f>
              <c:strCache>
                <c:ptCount val="1"/>
                <c:pt idx="0">
                  <c:v>SAMBORONDON</c:v>
                </c:pt>
              </c:strCache>
            </c:strRef>
          </c:cat>
          <c:val>
            <c:numRef>
              <c:f>LABORATORIO!$I$16:$I$16</c:f>
              <c:numCache>
                <c:formatCode>0%</c:formatCode>
                <c:ptCount val="1"/>
                <c:pt idx="0">
                  <c:v>1.3123359580052493E-3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E-4722-ADDE-D39CABDD8C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CMF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CMF!$H$19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CMF!$G$20:$G$20</c:f>
              <c:strCache>
                <c:ptCount val="1"/>
                <c:pt idx="0">
                  <c:v>KENNEDY</c:v>
                </c:pt>
              </c:strCache>
            </c:strRef>
          </c:cat>
          <c:val>
            <c:numRef>
              <c:f>CMF!$H$20:$H$20</c:f>
              <c:numCache>
                <c:formatCode>0%</c:formatCode>
                <c:ptCount val="1"/>
                <c:pt idx="0">
                  <c:v>0.96969696969696972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B-4C5A-93EA-2F4DB0EF3BC3}"/>
            </c:ext>
          </c:extLst>
        </c:ser>
        <c:ser>
          <c:idx val="1"/>
          <c:order val="1"/>
          <c:tx>
            <c:strRef>
              <c:f>CMF!$I$19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CMF!$G$20:$G$20</c:f>
              <c:strCache>
                <c:ptCount val="1"/>
                <c:pt idx="0">
                  <c:v>KENNEDY</c:v>
                </c:pt>
              </c:strCache>
            </c:strRef>
          </c:cat>
          <c:val>
            <c:numRef>
              <c:f>CMF!$I$20:$I$20</c:f>
              <c:numCache>
                <c:formatCode>0%</c:formatCode>
                <c:ptCount val="1"/>
                <c:pt idx="0">
                  <c:v>3.0303030303030304E-2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B-4C5A-93EA-2F4DB0EF3B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CDI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CDI!$C$31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CDI!$B$32:$B$33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CDI!$C$32:$C$33</c:f>
              <c:numCache>
                <c:formatCode>0%</c:formatCode>
                <c:ptCount val="2"/>
                <c:pt idx="0">
                  <c:v>0.9894259818731117</c:v>
                </c:pt>
                <c:pt idx="1">
                  <c:v>0.99699398797595196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B-4EEA-9E36-C16544639BA3}"/>
            </c:ext>
          </c:extLst>
        </c:ser>
        <c:ser>
          <c:idx val="1"/>
          <c:order val="1"/>
          <c:tx>
            <c:strRef>
              <c:f>CDI!$D$31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CDI!$B$32:$B$33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CDI!$D$32:$D$33</c:f>
              <c:numCache>
                <c:formatCode>0%</c:formatCode>
                <c:ptCount val="2"/>
                <c:pt idx="0">
                  <c:v>1.0574018126888218E-2</c:v>
                </c:pt>
                <c:pt idx="1">
                  <c:v>3.0060120240480957E-3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1B-4EEA-9E36-C16544639B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33856"/>
        <c:axId val="724235520"/>
      </c:barChart>
      <c:catAx>
        <c:axId val="7242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5520"/>
        <c:crosses val="autoZero"/>
        <c:auto val="1"/>
        <c:lblAlgn val="ctr"/>
        <c:lblOffset val="100"/>
        <c:noMultiLvlLbl val="0"/>
      </c:catAx>
      <c:valAx>
        <c:axId val="7242355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SAP!$C$44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SAP!$B$45:$B$46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SAP!$C$45:$C$46</c:f>
              <c:numCache>
                <c:formatCode>0%</c:formatCode>
                <c:ptCount val="2"/>
                <c:pt idx="0">
                  <c:v>0.80042462845010609</c:v>
                </c:pt>
                <c:pt idx="1">
                  <c:v>0.68077601410934729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F-4A36-BE19-353D5B4B8B26}"/>
            </c:ext>
          </c:extLst>
        </c:ser>
        <c:ser>
          <c:idx val="1"/>
          <c:order val="1"/>
          <c:tx>
            <c:strRef>
              <c:f>SAP!$D$44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SAP!$B$45:$B$46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SAP!$D$45:$D$46</c:f>
              <c:numCache>
                <c:formatCode>0%</c:formatCode>
                <c:ptCount val="2"/>
                <c:pt idx="0">
                  <c:v>0.19957537154989383</c:v>
                </c:pt>
                <c:pt idx="1">
                  <c:v>0.31922398589065254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F-4A36-BE19-353D5B4B8B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EMERGENCIA!$K$23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EMERGENCIA!$J$24:$J$25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EMERGENCIA!$K$24:$K$25</c:f>
              <c:numCache>
                <c:formatCode>0%</c:formatCode>
                <c:ptCount val="2"/>
                <c:pt idx="0">
                  <c:v>0.99517684887459801</c:v>
                </c:pt>
                <c:pt idx="1">
                  <c:v>0.98563218390804597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A-413A-A5DC-0EC4EB13D413}"/>
            </c:ext>
          </c:extLst>
        </c:ser>
        <c:ser>
          <c:idx val="1"/>
          <c:order val="1"/>
          <c:tx>
            <c:strRef>
              <c:f>EMERGENCIA!$L$23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EMERGENCIA!$J$24:$J$25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EMERGENCIA!$L$24:$L$25</c:f>
              <c:numCache>
                <c:formatCode>0%</c:formatCode>
                <c:ptCount val="2"/>
                <c:pt idx="0">
                  <c:v>6.4308681672025714E-3</c:v>
                </c:pt>
                <c:pt idx="1">
                  <c:v>1.0217113665389526E-2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A-413A-A5DC-0EC4EB13D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CAJA!$C$19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CAJA!$B$20:$B$21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CAJA!$C$20:$C$21</c:f>
              <c:numCache>
                <c:formatCode>0%</c:formatCode>
                <c:ptCount val="2"/>
                <c:pt idx="0">
                  <c:v>0.95597484276729561</c:v>
                </c:pt>
                <c:pt idx="1">
                  <c:v>0.98378378378378384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A-4587-8D28-EA7158FE83A0}"/>
            </c:ext>
          </c:extLst>
        </c:ser>
        <c:ser>
          <c:idx val="1"/>
          <c:order val="1"/>
          <c:tx>
            <c:strRef>
              <c:f>CAJA!$D$19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CAJA!$B$20:$B$21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CAJA!$D$20:$D$21</c:f>
              <c:numCache>
                <c:formatCode>0%</c:formatCode>
                <c:ptCount val="2"/>
                <c:pt idx="0">
                  <c:v>4.40251572327044E-2</c:v>
                </c:pt>
                <c:pt idx="1">
                  <c:v>1.6216216216216217E-2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A-4587-8D28-EA7158FE83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73648"/>
        <c:axId val="717474480"/>
      </c:barChart>
      <c:catAx>
        <c:axId val="7174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4480"/>
        <c:crosses val="autoZero"/>
        <c:auto val="1"/>
        <c:lblAlgn val="ctr"/>
        <c:lblOffset val="100"/>
        <c:noMultiLvlLbl val="0"/>
      </c:catAx>
      <c:valAx>
        <c:axId val="7174744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412294</xdr:colOff>
      <xdr:row>1</xdr:row>
      <xdr:rowOff>13607</xdr:rowOff>
    </xdr:from>
    <xdr:to>
      <xdr:col>15</xdr:col>
      <xdr:colOff>729343</xdr:colOff>
      <xdr:row>25</xdr:row>
      <xdr:rowOff>185057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131988</xdr:colOff>
      <xdr:row>0</xdr:row>
      <xdr:rowOff>174172</xdr:rowOff>
    </xdr:from>
    <xdr:to>
      <xdr:col>18</xdr:col>
      <xdr:colOff>195942</xdr:colOff>
      <xdr:row>23</xdr:row>
      <xdr:rowOff>21772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B4DFD2-2805-49F1-A67A-B069CCD05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141514</xdr:colOff>
      <xdr:row>1</xdr:row>
      <xdr:rowOff>21772</xdr:rowOff>
    </xdr:from>
    <xdr:to>
      <xdr:col>15</xdr:col>
      <xdr:colOff>751113</xdr:colOff>
      <xdr:row>23</xdr:row>
      <xdr:rowOff>141514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A991CE-A2DC-46AD-A277-DA14AF8A3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368752</xdr:colOff>
      <xdr:row>1</xdr:row>
      <xdr:rowOff>48983</xdr:rowOff>
    </xdr:from>
    <xdr:to>
      <xdr:col>15</xdr:col>
      <xdr:colOff>111578</xdr:colOff>
      <xdr:row>27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272632-72F1-4831-A736-3FA6D298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314322</xdr:colOff>
      <xdr:row>3</xdr:row>
      <xdr:rowOff>122464</xdr:rowOff>
    </xdr:from>
    <xdr:to>
      <xdr:col>16</xdr:col>
      <xdr:colOff>609599</xdr:colOff>
      <xdr:row>27</xdr:row>
      <xdr:rowOff>54429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140152</xdr:colOff>
      <xdr:row>23</xdr:row>
      <xdr:rowOff>144236</xdr:rowOff>
    </xdr:from>
    <xdr:to>
      <xdr:col>20</xdr:col>
      <xdr:colOff>381000</xdr:colOff>
      <xdr:row>48</xdr:row>
      <xdr:rowOff>8165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210909</xdr:colOff>
      <xdr:row>0</xdr:row>
      <xdr:rowOff>133348</xdr:rowOff>
    </xdr:from>
    <xdr:to>
      <xdr:col>16</xdr:col>
      <xdr:colOff>555172</xdr:colOff>
      <xdr:row>26</xdr:row>
      <xdr:rowOff>108857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901EC0-FF64-43DF-88CD-7DB2829F2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tabSelected="1" zoomScale="70" zoomScaleNormal="70" workbookViewId="0">
      <selection activeCell="F29" sqref="F29"/>
    </sheetView>
  </sheetViews>
  <sheetFormatPr baseColWidth="10" defaultRowHeight="14.4" x14ac:dyDescent="0.3"/>
  <cols>
    <col min="2" max="2" width="20.33203125" customWidth="1"/>
    <col min="3" max="3" width="21.109375" customWidth="1"/>
    <col min="4" max="4" width="17.88671875" customWidth="1"/>
    <col min="5" max="5" width="12.6640625" customWidth="1"/>
    <col min="6" max="6" width="15.33203125" customWidth="1"/>
    <col min="7" max="7" width="19.109375" customWidth="1"/>
    <col min="8" max="8" width="21.109375" customWidth="1"/>
    <col min="9" max="9" width="13.33203125" customWidth="1"/>
    <col min="10" max="10" width="14.5546875" customWidth="1"/>
    <col min="11" max="11" width="22.5546875" customWidth="1"/>
    <col min="12" max="12" width="17.109375" customWidth="1"/>
    <col min="13" max="13" width="16.109375" customWidth="1"/>
  </cols>
  <sheetData>
    <row r="2" spans="2:10" ht="15" customHeight="1" x14ac:dyDescent="0.6">
      <c r="B2" s="23" t="s">
        <v>0</v>
      </c>
      <c r="C2" s="23"/>
      <c r="D2" s="23"/>
      <c r="E2" s="1"/>
      <c r="F2" s="23" t="s">
        <v>1</v>
      </c>
      <c r="G2" s="23"/>
      <c r="H2" s="23"/>
      <c r="I2" s="1"/>
      <c r="J2" s="1"/>
    </row>
    <row r="3" spans="2:10" ht="15" customHeight="1" x14ac:dyDescent="0.6">
      <c r="B3" s="23"/>
      <c r="C3" s="23"/>
      <c r="D3" s="23"/>
      <c r="E3" s="1"/>
      <c r="F3" s="23"/>
      <c r="G3" s="23"/>
      <c r="H3" s="23"/>
      <c r="I3" s="1"/>
      <c r="J3" s="1"/>
    </row>
    <row r="5" spans="2:10" ht="30.75" customHeight="1" x14ac:dyDescent="0.3">
      <c r="B5" s="22" t="s">
        <v>2</v>
      </c>
      <c r="C5" s="22"/>
      <c r="D5" s="22"/>
      <c r="E5" s="2"/>
      <c r="F5" s="22" t="s">
        <v>2</v>
      </c>
      <c r="G5" s="22"/>
      <c r="H5" s="22"/>
      <c r="I5" s="2"/>
      <c r="J5" s="2"/>
    </row>
    <row r="6" spans="2:10" x14ac:dyDescent="0.3">
      <c r="B6" s="3" t="s">
        <v>3</v>
      </c>
      <c r="C6" s="3" t="s">
        <v>4</v>
      </c>
      <c r="D6" s="3" t="s">
        <v>5</v>
      </c>
      <c r="F6" s="3" t="s">
        <v>3</v>
      </c>
      <c r="G6" s="3" t="s">
        <v>4</v>
      </c>
      <c r="H6" s="3" t="s">
        <v>5</v>
      </c>
    </row>
    <row r="7" spans="2:10" x14ac:dyDescent="0.3">
      <c r="B7" s="4" t="s">
        <v>6</v>
      </c>
      <c r="C7" s="4">
        <v>193</v>
      </c>
      <c r="D7" s="5">
        <f>C7/C10</f>
        <v>0.94607843137254899</v>
      </c>
      <c r="F7" s="4" t="s">
        <v>6</v>
      </c>
      <c r="G7" s="4">
        <v>136</v>
      </c>
      <c r="H7" s="5">
        <f>G7/G10</f>
        <v>0.93150684931506844</v>
      </c>
    </row>
    <row r="8" spans="2:10" x14ac:dyDescent="0.3">
      <c r="B8" s="4" t="s">
        <v>7</v>
      </c>
      <c r="C8" s="4">
        <v>11</v>
      </c>
      <c r="D8" s="5">
        <f>C8/C10</f>
        <v>5.3921568627450983E-2</v>
      </c>
      <c r="F8" s="4" t="s">
        <v>7</v>
      </c>
      <c r="G8" s="4">
        <v>8</v>
      </c>
      <c r="H8" s="5">
        <f>G8/G10</f>
        <v>5.4794520547945202E-2</v>
      </c>
    </row>
    <row r="9" spans="2:10" x14ac:dyDescent="0.3">
      <c r="B9" s="4" t="s">
        <v>8</v>
      </c>
      <c r="C9" s="4">
        <v>0</v>
      </c>
      <c r="D9" s="5">
        <f>C9/C10</f>
        <v>0</v>
      </c>
      <c r="F9" s="4" t="s">
        <v>8</v>
      </c>
      <c r="G9" s="4">
        <v>2</v>
      </c>
      <c r="H9" s="5">
        <f>G9/G10</f>
        <v>1.3698630136986301E-2</v>
      </c>
    </row>
    <row r="10" spans="2:10" x14ac:dyDescent="0.3">
      <c r="B10" s="6" t="s">
        <v>10</v>
      </c>
      <c r="C10" s="6">
        <f>SUM(C7:C9)</f>
        <v>204</v>
      </c>
      <c r="D10" s="7">
        <f>SUM(D7:D9)</f>
        <v>1</v>
      </c>
      <c r="F10" s="6" t="s">
        <v>10</v>
      </c>
      <c r="G10" s="6">
        <f>SUM(G7:G9)</f>
        <v>146</v>
      </c>
      <c r="H10" s="7">
        <f>SUM(H7:H9)</f>
        <v>1</v>
      </c>
    </row>
    <row r="12" spans="2:10" ht="14.4" customHeight="1" x14ac:dyDescent="0.3">
      <c r="B12" s="19" t="s">
        <v>11</v>
      </c>
      <c r="C12" s="20"/>
      <c r="D12" s="21"/>
      <c r="F12" s="22" t="s">
        <v>11</v>
      </c>
      <c r="G12" s="22"/>
      <c r="H12" s="22"/>
    </row>
    <row r="13" spans="2:10" ht="33" customHeight="1" x14ac:dyDescent="0.3">
      <c r="B13" s="3" t="s">
        <v>3</v>
      </c>
      <c r="C13" s="3" t="s">
        <v>4</v>
      </c>
      <c r="D13" s="3" t="s">
        <v>5</v>
      </c>
      <c r="E13" s="2"/>
      <c r="F13" s="3" t="s">
        <v>3</v>
      </c>
      <c r="G13" s="3" t="s">
        <v>4</v>
      </c>
      <c r="H13" s="3" t="s">
        <v>5</v>
      </c>
      <c r="I13" s="2"/>
      <c r="J13" s="2"/>
    </row>
    <row r="14" spans="2:10" ht="15" customHeight="1" x14ac:dyDescent="0.3">
      <c r="B14" s="4" t="s">
        <v>12</v>
      </c>
      <c r="C14" s="4">
        <v>170</v>
      </c>
      <c r="D14" s="5">
        <f>C14/C17</f>
        <v>0.85427135678391963</v>
      </c>
      <c r="F14" s="4" t="s">
        <v>12</v>
      </c>
      <c r="G14" s="4">
        <v>122</v>
      </c>
      <c r="H14" s="5">
        <f>G14/G17</f>
        <v>0.88405797101449279</v>
      </c>
    </row>
    <row r="15" spans="2:10" x14ac:dyDescent="0.3">
      <c r="B15" s="4" t="s">
        <v>13</v>
      </c>
      <c r="C15" s="4">
        <v>23</v>
      </c>
      <c r="D15" s="5">
        <f>C15/C17</f>
        <v>0.11557788944723618</v>
      </c>
      <c r="F15" s="4" t="s">
        <v>13</v>
      </c>
      <c r="G15" s="4">
        <v>13</v>
      </c>
      <c r="H15" s="5">
        <f>G15/G17</f>
        <v>9.420289855072464E-2</v>
      </c>
    </row>
    <row r="16" spans="2:10" x14ac:dyDescent="0.3">
      <c r="B16" s="4" t="s">
        <v>14</v>
      </c>
      <c r="C16" s="4">
        <v>6</v>
      </c>
      <c r="D16" s="5">
        <f>C16/C17</f>
        <v>3.015075376884422E-2</v>
      </c>
      <c r="F16" s="4" t="s">
        <v>14</v>
      </c>
      <c r="G16" s="4">
        <v>3</v>
      </c>
      <c r="H16" s="5">
        <f>G16/G17</f>
        <v>2.1739130434782608E-2</v>
      </c>
    </row>
    <row r="17" spans="2:11" x14ac:dyDescent="0.3">
      <c r="B17" s="6" t="s">
        <v>10</v>
      </c>
      <c r="C17" s="6">
        <f>SUM(C14:C16)</f>
        <v>199</v>
      </c>
      <c r="D17" s="7">
        <f>SUM(D14:D16)</f>
        <v>1</v>
      </c>
      <c r="F17" s="6" t="s">
        <v>10</v>
      </c>
      <c r="G17" s="6">
        <f>SUM(G14:G16)</f>
        <v>138</v>
      </c>
      <c r="H17" s="7">
        <f>SUM(H14:H16)</f>
        <v>1</v>
      </c>
    </row>
    <row r="20" spans="2:11" x14ac:dyDescent="0.3">
      <c r="C20" t="s">
        <v>16</v>
      </c>
      <c r="G20" t="s">
        <v>17</v>
      </c>
    </row>
    <row r="21" spans="2:11" x14ac:dyDescent="0.3">
      <c r="B21" t="s">
        <v>18</v>
      </c>
      <c r="C21" s="8">
        <f>(C7+C8)/C10</f>
        <v>1</v>
      </c>
      <c r="F21" t="s">
        <v>18</v>
      </c>
      <c r="G21" s="8">
        <f>(G7+G8)/G10</f>
        <v>0.98630136986301364</v>
      </c>
    </row>
    <row r="22" spans="2:11" x14ac:dyDescent="0.3">
      <c r="B22" t="s">
        <v>19</v>
      </c>
      <c r="C22" s="8">
        <f>(C9)/C10</f>
        <v>0</v>
      </c>
      <c r="F22" t="s">
        <v>19</v>
      </c>
      <c r="G22" s="8">
        <f>(G9)/G10</f>
        <v>1.3698630136986301E-2</v>
      </c>
    </row>
    <row r="24" spans="2:11" ht="15.6" x14ac:dyDescent="0.3">
      <c r="C24" s="9" t="s">
        <v>18</v>
      </c>
      <c r="D24" s="9" t="s">
        <v>19</v>
      </c>
    </row>
    <row r="25" spans="2:11" ht="18" x14ac:dyDescent="0.35">
      <c r="B25" s="10" t="s">
        <v>0</v>
      </c>
      <c r="C25" s="11">
        <f>(C21)</f>
        <v>1</v>
      </c>
      <c r="D25" s="11">
        <f>(C22)</f>
        <v>0</v>
      </c>
      <c r="G25" s="12"/>
      <c r="K25" s="12"/>
    </row>
    <row r="26" spans="2:11" ht="18" x14ac:dyDescent="0.35">
      <c r="B26" s="10" t="s">
        <v>1</v>
      </c>
      <c r="C26" s="11">
        <f>(G21)</f>
        <v>0.98630136986301364</v>
      </c>
      <c r="D26" s="11">
        <f>(G22)</f>
        <v>1.3698630136986301E-2</v>
      </c>
      <c r="F26" s="13"/>
      <c r="J26" s="13"/>
    </row>
    <row r="27" spans="2:11" ht="15.6" x14ac:dyDescent="0.3">
      <c r="F27" s="13"/>
      <c r="J27" s="13"/>
    </row>
  </sheetData>
  <mergeCells count="6">
    <mergeCell ref="B12:D12"/>
    <mergeCell ref="F12:H12"/>
    <mergeCell ref="B2:D3"/>
    <mergeCell ref="F2:H3"/>
    <mergeCell ref="B5:D5"/>
    <mergeCell ref="F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6"/>
  <sheetViews>
    <sheetView zoomScale="70" zoomScaleNormal="70" workbookViewId="0">
      <selection activeCell="F30" sqref="F30"/>
    </sheetView>
  </sheetViews>
  <sheetFormatPr baseColWidth="10" defaultRowHeight="14.4" x14ac:dyDescent="0.3"/>
  <cols>
    <col min="2" max="2" width="20.88671875" customWidth="1"/>
    <col min="3" max="3" width="18.5546875" customWidth="1"/>
    <col min="4" max="4" width="23.44140625" customWidth="1"/>
    <col min="5" max="5" width="13.6640625" customWidth="1"/>
    <col min="6" max="6" width="20.44140625" customWidth="1"/>
    <col min="7" max="7" width="21.77734375" customWidth="1"/>
    <col min="8" max="8" width="16" customWidth="1"/>
    <col min="9" max="9" width="16.44140625" bestFit="1" customWidth="1"/>
  </cols>
  <sheetData>
    <row r="2" spans="2:9" ht="15" customHeight="1" x14ac:dyDescent="0.6">
      <c r="B2" s="1"/>
      <c r="C2" s="23" t="s">
        <v>1</v>
      </c>
      <c r="D2" s="23"/>
      <c r="E2" s="23"/>
      <c r="F2" s="1"/>
      <c r="G2" s="1"/>
    </row>
    <row r="3" spans="2:9" ht="15" customHeight="1" x14ac:dyDescent="0.6">
      <c r="B3" s="1"/>
      <c r="C3" s="23"/>
      <c r="D3" s="23"/>
      <c r="E3" s="23"/>
      <c r="F3" s="1"/>
      <c r="G3" s="1"/>
    </row>
    <row r="5" spans="2:9" ht="45" customHeight="1" x14ac:dyDescent="0.3">
      <c r="B5" s="2"/>
      <c r="C5" s="22" t="s">
        <v>20</v>
      </c>
      <c r="D5" s="22"/>
      <c r="E5" s="22"/>
      <c r="F5" s="2"/>
      <c r="G5" s="2"/>
    </row>
    <row r="6" spans="2:9" x14ac:dyDescent="0.3">
      <c r="C6" s="3" t="s">
        <v>3</v>
      </c>
      <c r="D6" s="3" t="s">
        <v>4</v>
      </c>
      <c r="E6" s="3" t="s">
        <v>5</v>
      </c>
      <c r="H6" t="s">
        <v>15</v>
      </c>
    </row>
    <row r="7" spans="2:9" x14ac:dyDescent="0.3">
      <c r="C7" s="4" t="s">
        <v>6</v>
      </c>
      <c r="D7" s="4">
        <v>427</v>
      </c>
      <c r="E7" s="5">
        <f>D7/D10</f>
        <v>0.99533799533799538</v>
      </c>
      <c r="G7" t="s">
        <v>18</v>
      </c>
      <c r="H7" s="8">
        <f>(D7+D8)/D10</f>
        <v>1</v>
      </c>
    </row>
    <row r="8" spans="2:9" x14ac:dyDescent="0.3">
      <c r="C8" s="4" t="s">
        <v>7</v>
      </c>
      <c r="D8" s="4">
        <v>2</v>
      </c>
      <c r="E8" s="5">
        <f>D8/D10</f>
        <v>4.662004662004662E-3</v>
      </c>
      <c r="G8" t="s">
        <v>19</v>
      </c>
      <c r="H8" s="8">
        <f>(D9)/D10</f>
        <v>0</v>
      </c>
    </row>
    <row r="9" spans="2:9" x14ac:dyDescent="0.3">
      <c r="C9" s="4" t="s">
        <v>8</v>
      </c>
      <c r="D9" s="4">
        <v>0</v>
      </c>
      <c r="E9" s="5">
        <f>D9/D10</f>
        <v>0</v>
      </c>
    </row>
    <row r="10" spans="2:9" x14ac:dyDescent="0.3">
      <c r="C10" s="6" t="s">
        <v>10</v>
      </c>
      <c r="D10" s="6">
        <f>SUM(D7:D9)</f>
        <v>429</v>
      </c>
      <c r="E10" s="7">
        <f>SUM(E7:E9)</f>
        <v>1</v>
      </c>
      <c r="H10" t="s">
        <v>16</v>
      </c>
    </row>
    <row r="11" spans="2:9" x14ac:dyDescent="0.3">
      <c r="G11" t="s">
        <v>18</v>
      </c>
      <c r="H11" s="8">
        <f>(D14+D15)/D17</f>
        <v>0.99737532808398954</v>
      </c>
    </row>
    <row r="12" spans="2:9" ht="14.4" customHeight="1" x14ac:dyDescent="0.3">
      <c r="C12" s="22" t="s">
        <v>21</v>
      </c>
      <c r="D12" s="22"/>
      <c r="E12" s="22"/>
      <c r="G12" t="s">
        <v>19</v>
      </c>
      <c r="H12" s="8">
        <f>(D16)/D17</f>
        <v>2.6246719160104987E-3</v>
      </c>
    </row>
    <row r="13" spans="2:9" ht="31.5" customHeight="1" x14ac:dyDescent="0.3">
      <c r="B13" s="2"/>
      <c r="C13" s="3" t="s">
        <v>3</v>
      </c>
      <c r="D13" s="3" t="s">
        <v>4</v>
      </c>
      <c r="E13" s="3" t="s">
        <v>5</v>
      </c>
      <c r="F13" s="2"/>
    </row>
    <row r="14" spans="2:9" x14ac:dyDescent="0.3">
      <c r="C14" s="4" t="s">
        <v>6</v>
      </c>
      <c r="D14" s="4">
        <v>379</v>
      </c>
      <c r="E14" s="5">
        <f>D14/D17</f>
        <v>0.99475065616797897</v>
      </c>
    </row>
    <row r="15" spans="2:9" ht="15.6" x14ac:dyDescent="0.3">
      <c r="C15" s="4" t="s">
        <v>7</v>
      </c>
      <c r="D15" s="4">
        <v>1</v>
      </c>
      <c r="E15" s="5">
        <f>D15/D17</f>
        <v>2.6246719160104987E-3</v>
      </c>
      <c r="H15" s="9" t="s">
        <v>18</v>
      </c>
      <c r="I15" s="9" t="s">
        <v>19</v>
      </c>
    </row>
    <row r="16" spans="2:9" ht="18" x14ac:dyDescent="0.35">
      <c r="C16" s="4" t="s">
        <v>8</v>
      </c>
      <c r="D16" s="4">
        <v>1</v>
      </c>
      <c r="E16" s="5">
        <f>D16/D17</f>
        <v>2.6246719160104987E-3</v>
      </c>
      <c r="G16" s="10" t="s">
        <v>1</v>
      </c>
      <c r="H16" s="11">
        <f>(H7+H11)/2</f>
        <v>0.99868766404199483</v>
      </c>
      <c r="I16" s="11">
        <f>(H8+H12)/2</f>
        <v>1.3123359580052493E-3</v>
      </c>
    </row>
    <row r="17" spans="2:7" x14ac:dyDescent="0.3">
      <c r="C17" s="6" t="s">
        <v>10</v>
      </c>
      <c r="D17" s="6">
        <f>SUM(D14:D16)</f>
        <v>381</v>
      </c>
      <c r="E17" s="7">
        <f>SUM(E14:E16)</f>
        <v>0.99999999999999989</v>
      </c>
    </row>
    <row r="19" spans="2:7" ht="14.4" customHeight="1" x14ac:dyDescent="0.3">
      <c r="C19" s="22" t="s">
        <v>22</v>
      </c>
      <c r="D19" s="22"/>
      <c r="E19" s="22"/>
    </row>
    <row r="20" spans="2:7" x14ac:dyDescent="0.3">
      <c r="C20" s="3" t="s">
        <v>3</v>
      </c>
      <c r="D20" s="3" t="s">
        <v>4</v>
      </c>
      <c r="E20" s="3" t="s">
        <v>5</v>
      </c>
    </row>
    <row r="21" spans="2:7" ht="30.75" customHeight="1" x14ac:dyDescent="0.3">
      <c r="B21" s="2"/>
      <c r="C21" s="4" t="s">
        <v>23</v>
      </c>
      <c r="D21" s="4">
        <v>429</v>
      </c>
      <c r="E21" s="5">
        <f>D21/D23</f>
        <v>1</v>
      </c>
      <c r="F21" s="2"/>
      <c r="G21" s="2"/>
    </row>
    <row r="22" spans="2:7" x14ac:dyDescent="0.3">
      <c r="C22" s="4" t="s">
        <v>24</v>
      </c>
      <c r="D22" s="4">
        <v>0</v>
      </c>
      <c r="E22" s="5">
        <f>D22/D23</f>
        <v>0</v>
      </c>
    </row>
    <row r="23" spans="2:7" x14ac:dyDescent="0.3">
      <c r="C23" s="6" t="s">
        <v>10</v>
      </c>
      <c r="D23" s="6">
        <f>SUM(D21:D22)</f>
        <v>429</v>
      </c>
      <c r="E23" s="7">
        <f>SUM(E21:E22)</f>
        <v>1</v>
      </c>
    </row>
    <row r="35" spans="6:7" ht="18" x14ac:dyDescent="0.35">
      <c r="G35" s="12"/>
    </row>
    <row r="36" spans="6:7" ht="15.6" x14ac:dyDescent="0.3">
      <c r="F36" s="13"/>
    </row>
  </sheetData>
  <mergeCells count="4">
    <mergeCell ref="C19:E19"/>
    <mergeCell ref="C2:E3"/>
    <mergeCell ref="C5:E5"/>
    <mergeCell ref="C12:E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6"/>
  <sheetViews>
    <sheetView zoomScale="70" zoomScaleNormal="70" workbookViewId="0">
      <selection activeCell="F27" sqref="F27"/>
    </sheetView>
  </sheetViews>
  <sheetFormatPr baseColWidth="10" defaultRowHeight="14.4" x14ac:dyDescent="0.3"/>
  <cols>
    <col min="2" max="2" width="14.44140625" customWidth="1"/>
    <col min="3" max="3" width="18" customWidth="1"/>
    <col min="4" max="4" width="23.6640625" customWidth="1"/>
    <col min="5" max="5" width="13.6640625" customWidth="1"/>
    <col min="6" max="6" width="14.44140625" customWidth="1"/>
    <col min="7" max="7" width="17.6640625" customWidth="1"/>
    <col min="8" max="8" width="20.44140625" customWidth="1"/>
    <col min="9" max="9" width="16.44140625" bestFit="1" customWidth="1"/>
    <col min="10" max="10" width="20.44140625" customWidth="1"/>
    <col min="11" max="11" width="15.33203125" customWidth="1"/>
    <col min="12" max="12" width="18.5546875" customWidth="1"/>
    <col min="14" max="14" width="19.44140625" customWidth="1"/>
  </cols>
  <sheetData>
    <row r="2" spans="2:8" ht="15" customHeight="1" x14ac:dyDescent="0.6">
      <c r="B2" s="1"/>
      <c r="C2" s="23" t="s">
        <v>0</v>
      </c>
      <c r="D2" s="23"/>
      <c r="E2" s="23"/>
    </row>
    <row r="3" spans="2:8" ht="15" customHeight="1" x14ac:dyDescent="0.6">
      <c r="B3" s="1"/>
      <c r="C3" s="23"/>
      <c r="D3" s="23"/>
      <c r="E3" s="23"/>
    </row>
    <row r="4" spans="2:8" ht="15" customHeight="1" x14ac:dyDescent="0.6">
      <c r="B4" s="1"/>
      <c r="C4" s="14"/>
      <c r="D4" s="14"/>
      <c r="E4" s="14"/>
    </row>
    <row r="5" spans="2:8" ht="30.75" customHeight="1" x14ac:dyDescent="0.3">
      <c r="B5" s="2"/>
      <c r="C5" s="19" t="s">
        <v>25</v>
      </c>
      <c r="D5" s="20"/>
      <c r="E5" s="21"/>
    </row>
    <row r="6" spans="2:8" ht="15" customHeight="1" x14ac:dyDescent="0.3">
      <c r="C6" s="15" t="s">
        <v>3</v>
      </c>
      <c r="D6" s="15" t="s">
        <v>4</v>
      </c>
      <c r="E6" s="15" t="s">
        <v>5</v>
      </c>
      <c r="H6" t="s">
        <v>15</v>
      </c>
    </row>
    <row r="7" spans="2:8" ht="15" customHeight="1" x14ac:dyDescent="0.3">
      <c r="C7" s="4" t="s">
        <v>26</v>
      </c>
      <c r="D7" s="4">
        <v>90</v>
      </c>
      <c r="E7" s="5">
        <f>D7/D9</f>
        <v>0.90909090909090906</v>
      </c>
      <c r="G7" t="s">
        <v>18</v>
      </c>
      <c r="H7" s="8">
        <f>(D7)/D9</f>
        <v>0.90909090909090906</v>
      </c>
    </row>
    <row r="8" spans="2:8" ht="15" customHeight="1" x14ac:dyDescent="0.3">
      <c r="C8" s="4" t="s">
        <v>27</v>
      </c>
      <c r="D8" s="4">
        <v>9</v>
      </c>
      <c r="E8" s="5">
        <f>D8/D9</f>
        <v>9.0909090909090912E-2</v>
      </c>
      <c r="G8" t="s">
        <v>19</v>
      </c>
      <c r="H8" s="8">
        <f>(D8)/D9</f>
        <v>9.0909090909090912E-2</v>
      </c>
    </row>
    <row r="9" spans="2:8" ht="15" customHeight="1" x14ac:dyDescent="0.3">
      <c r="C9" s="6" t="s">
        <v>28</v>
      </c>
      <c r="D9" s="6">
        <f>SUM(D7:D8)</f>
        <v>99</v>
      </c>
      <c r="E9" s="7">
        <f>SUM(E7:E8)</f>
        <v>1</v>
      </c>
    </row>
    <row r="10" spans="2:8" ht="18" customHeight="1" x14ac:dyDescent="0.6">
      <c r="B10" s="1"/>
      <c r="C10" s="14"/>
      <c r="D10" s="14"/>
      <c r="E10" s="14"/>
      <c r="H10" t="s">
        <v>16</v>
      </c>
    </row>
    <row r="11" spans="2:8" ht="31.5" customHeight="1" x14ac:dyDescent="0.3">
      <c r="B11" s="2"/>
      <c r="C11" s="22" t="s">
        <v>43</v>
      </c>
      <c r="D11" s="22"/>
      <c r="E11" s="22"/>
      <c r="G11" t="s">
        <v>18</v>
      </c>
      <c r="H11" s="8">
        <f>(D13+D14)/D16</f>
        <v>1</v>
      </c>
    </row>
    <row r="12" spans="2:8" x14ac:dyDescent="0.3">
      <c r="C12" s="15" t="s">
        <v>3</v>
      </c>
      <c r="D12" s="15" t="s">
        <v>4</v>
      </c>
      <c r="E12" s="15" t="s">
        <v>5</v>
      </c>
      <c r="G12" t="s">
        <v>19</v>
      </c>
      <c r="H12" s="8">
        <f>(D15)/D16</f>
        <v>0</v>
      </c>
    </row>
    <row r="13" spans="2:8" x14ac:dyDescent="0.3">
      <c r="C13" s="4" t="s">
        <v>6</v>
      </c>
      <c r="D13" s="4">
        <v>95</v>
      </c>
      <c r="E13" s="5">
        <f>D13/D16</f>
        <v>0.95959595959595956</v>
      </c>
    </row>
    <row r="14" spans="2:8" x14ac:dyDescent="0.3">
      <c r="C14" s="4" t="s">
        <v>7</v>
      </c>
      <c r="D14" s="4">
        <v>4</v>
      </c>
      <c r="E14" s="5">
        <f>D14/D16</f>
        <v>4.0404040404040407E-2</v>
      </c>
      <c r="H14" t="s">
        <v>29</v>
      </c>
    </row>
    <row r="15" spans="2:8" x14ac:dyDescent="0.3">
      <c r="C15" s="4" t="s">
        <v>8</v>
      </c>
      <c r="D15" s="4">
        <v>0</v>
      </c>
      <c r="E15" s="5">
        <f>D15/D16</f>
        <v>0</v>
      </c>
      <c r="G15" t="s">
        <v>18</v>
      </c>
      <c r="H15" s="8">
        <f>(D20+D21)/D23</f>
        <v>1</v>
      </c>
    </row>
    <row r="16" spans="2:8" x14ac:dyDescent="0.3">
      <c r="C16" s="6" t="s">
        <v>28</v>
      </c>
      <c r="D16" s="6">
        <f>SUM(D13:D15)</f>
        <v>99</v>
      </c>
      <c r="E16" s="7">
        <f>SUM(E13:E15)</f>
        <v>1</v>
      </c>
      <c r="G16" t="s">
        <v>19</v>
      </c>
      <c r="H16" s="8">
        <f>(D22)/D23</f>
        <v>0</v>
      </c>
    </row>
    <row r="18" spans="2:12" ht="14.4" customHeight="1" x14ac:dyDescent="0.3">
      <c r="C18" s="19" t="s">
        <v>22</v>
      </c>
      <c r="D18" s="20"/>
      <c r="E18" s="21"/>
    </row>
    <row r="19" spans="2:12" ht="15.6" x14ac:dyDescent="0.3">
      <c r="B19" s="2"/>
      <c r="C19" s="15" t="s">
        <v>31</v>
      </c>
      <c r="D19" s="15" t="s">
        <v>4</v>
      </c>
      <c r="E19" s="15" t="s">
        <v>5</v>
      </c>
      <c r="H19" s="9" t="s">
        <v>18</v>
      </c>
      <c r="I19" s="9" t="s">
        <v>19</v>
      </c>
      <c r="L19" s="8"/>
    </row>
    <row r="20" spans="2:12" ht="18" x14ac:dyDescent="0.35">
      <c r="C20" s="4" t="s">
        <v>6</v>
      </c>
      <c r="D20" s="4">
        <v>98</v>
      </c>
      <c r="E20" s="5">
        <f>D20/D23</f>
        <v>0.98989898989898994</v>
      </c>
      <c r="G20" s="10" t="s">
        <v>0</v>
      </c>
      <c r="H20" s="11">
        <f>(H7+H11+H15)/3</f>
        <v>0.96969696969696972</v>
      </c>
      <c r="I20" s="11">
        <f>(H8+H12+H16)/3</f>
        <v>3.0303030303030304E-2</v>
      </c>
      <c r="L20" s="8"/>
    </row>
    <row r="21" spans="2:12" x14ac:dyDescent="0.3">
      <c r="C21" s="4" t="s">
        <v>7</v>
      </c>
      <c r="D21" s="4">
        <v>1</v>
      </c>
      <c r="E21" s="5">
        <f>D21/D23</f>
        <v>1.0101010101010102E-2</v>
      </c>
    </row>
    <row r="22" spans="2:12" x14ac:dyDescent="0.3">
      <c r="C22" s="4" t="s">
        <v>8</v>
      </c>
      <c r="D22" s="4">
        <v>0</v>
      </c>
      <c r="E22" s="5">
        <f>D22/D23</f>
        <v>0</v>
      </c>
    </row>
    <row r="23" spans="2:12" x14ac:dyDescent="0.3">
      <c r="C23" s="6" t="s">
        <v>10</v>
      </c>
      <c r="D23" s="6">
        <f>SUM(D20:D22)</f>
        <v>99</v>
      </c>
      <c r="E23" s="7">
        <f>SUM(E20:E22)</f>
        <v>1</v>
      </c>
    </row>
    <row r="27" spans="2:12" ht="33" customHeight="1" x14ac:dyDescent="0.3"/>
    <row r="30" spans="2:12" ht="15" customHeight="1" x14ac:dyDescent="0.3"/>
    <row r="35" ht="32.25" customHeight="1" x14ac:dyDescent="0.3"/>
    <row r="46" ht="15" customHeight="1" x14ac:dyDescent="0.3"/>
  </sheetData>
  <mergeCells count="4">
    <mergeCell ref="C18:E18"/>
    <mergeCell ref="C2:E3"/>
    <mergeCell ref="C5:E5"/>
    <mergeCell ref="C11:E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3"/>
  <sheetViews>
    <sheetView zoomScale="70" zoomScaleNormal="70" workbookViewId="0">
      <selection activeCell="H19" sqref="H19"/>
    </sheetView>
  </sheetViews>
  <sheetFormatPr baseColWidth="10" defaultRowHeight="14.4" x14ac:dyDescent="0.3"/>
  <cols>
    <col min="2" max="2" width="21.44140625" customWidth="1"/>
    <col min="3" max="3" width="19" customWidth="1"/>
    <col min="4" max="4" width="20.44140625" customWidth="1"/>
    <col min="6" max="6" width="19.109375" customWidth="1"/>
    <col min="7" max="7" width="22.33203125" customWidth="1"/>
    <col min="8" max="8" width="11.5546875" customWidth="1"/>
    <col min="10" max="10" width="20.109375" customWidth="1"/>
    <col min="11" max="11" width="19.44140625" customWidth="1"/>
    <col min="12" max="12" width="19.5546875" customWidth="1"/>
  </cols>
  <sheetData>
    <row r="2" spans="2:9" ht="14.4" customHeight="1" x14ac:dyDescent="0.6">
      <c r="B2" s="23" t="s">
        <v>0</v>
      </c>
      <c r="C2" s="23"/>
      <c r="D2" s="23"/>
      <c r="E2" s="18"/>
      <c r="F2" s="23" t="s">
        <v>1</v>
      </c>
      <c r="G2" s="23"/>
      <c r="H2" s="23"/>
      <c r="I2" s="18"/>
    </row>
    <row r="3" spans="2:9" ht="14.4" customHeight="1" x14ac:dyDescent="0.3">
      <c r="B3" s="23"/>
      <c r="C3" s="23"/>
      <c r="D3" s="23"/>
      <c r="F3" s="23"/>
      <c r="G3" s="23"/>
      <c r="H3" s="23"/>
    </row>
    <row r="5" spans="2:9" ht="30" customHeight="1" x14ac:dyDescent="0.3">
      <c r="B5" s="19" t="s">
        <v>32</v>
      </c>
      <c r="C5" s="20"/>
      <c r="D5" s="21"/>
      <c r="F5" s="19" t="s">
        <v>32</v>
      </c>
      <c r="G5" s="20"/>
      <c r="H5" s="21"/>
    </row>
    <row r="6" spans="2:9" x14ac:dyDescent="0.3">
      <c r="B6" s="15" t="s">
        <v>3</v>
      </c>
      <c r="C6" s="15" t="s">
        <v>4</v>
      </c>
      <c r="D6" s="15" t="s">
        <v>5</v>
      </c>
      <c r="F6" s="15" t="s">
        <v>3</v>
      </c>
      <c r="G6" s="15" t="s">
        <v>4</v>
      </c>
      <c r="H6" s="15" t="s">
        <v>5</v>
      </c>
    </row>
    <row r="7" spans="2:9" x14ac:dyDescent="0.3">
      <c r="B7" s="4" t="s">
        <v>6</v>
      </c>
      <c r="C7" s="4">
        <v>307</v>
      </c>
      <c r="D7" s="5">
        <f>C7/C10</f>
        <v>0.92749244712990941</v>
      </c>
      <c r="F7" s="4" t="s">
        <v>6</v>
      </c>
      <c r="G7" s="4">
        <v>491</v>
      </c>
      <c r="H7" s="5">
        <f>G7/G10</f>
        <v>0.98396793587174347</v>
      </c>
    </row>
    <row r="8" spans="2:9" x14ac:dyDescent="0.3">
      <c r="B8" s="4" t="s">
        <v>7</v>
      </c>
      <c r="C8" s="4">
        <v>20</v>
      </c>
      <c r="D8" s="5">
        <f>C8/C10</f>
        <v>6.0422960725075532E-2</v>
      </c>
      <c r="F8" s="4" t="s">
        <v>7</v>
      </c>
      <c r="G8" s="4">
        <v>7</v>
      </c>
      <c r="H8" s="5">
        <f>G8/G10</f>
        <v>1.4028056112224449E-2</v>
      </c>
    </row>
    <row r="9" spans="2:9" x14ac:dyDescent="0.3">
      <c r="B9" s="4" t="s">
        <v>8</v>
      </c>
      <c r="C9" s="4">
        <v>4</v>
      </c>
      <c r="D9" s="5">
        <f>C9/C10</f>
        <v>1.2084592145015106E-2</v>
      </c>
      <c r="F9" s="4" t="s">
        <v>8</v>
      </c>
      <c r="G9" s="4">
        <v>1</v>
      </c>
      <c r="H9" s="5">
        <f>G9/G10</f>
        <v>2.004008016032064E-3</v>
      </c>
    </row>
    <row r="10" spans="2:9" x14ac:dyDescent="0.3">
      <c r="B10" s="6" t="s">
        <v>28</v>
      </c>
      <c r="C10" s="6">
        <f>SUM(C7:C9)</f>
        <v>331</v>
      </c>
      <c r="D10" s="7">
        <f>SUM(D7:D9)</f>
        <v>1</v>
      </c>
      <c r="F10" s="6" t="s">
        <v>28</v>
      </c>
      <c r="G10" s="6">
        <f>SUM(G7:G9)</f>
        <v>499</v>
      </c>
      <c r="H10" s="7">
        <f>SUM(H7:H9)</f>
        <v>1</v>
      </c>
    </row>
    <row r="12" spans="2:9" ht="14.4" customHeight="1" x14ac:dyDescent="0.3">
      <c r="B12" s="19" t="s">
        <v>33</v>
      </c>
      <c r="C12" s="20"/>
      <c r="D12" s="21"/>
      <c r="F12" s="19" t="s">
        <v>33</v>
      </c>
      <c r="G12" s="20"/>
      <c r="H12" s="21"/>
    </row>
    <row r="13" spans="2:9" ht="30.75" customHeight="1" x14ac:dyDescent="0.3">
      <c r="B13" s="15" t="s">
        <v>3</v>
      </c>
      <c r="C13" s="15" t="s">
        <v>4</v>
      </c>
      <c r="D13" s="15" t="s">
        <v>5</v>
      </c>
      <c r="F13" s="15" t="s">
        <v>3</v>
      </c>
      <c r="G13" s="15" t="s">
        <v>4</v>
      </c>
      <c r="H13" s="15" t="s">
        <v>5</v>
      </c>
    </row>
    <row r="14" spans="2:9" ht="15" customHeight="1" x14ac:dyDescent="0.3">
      <c r="B14" s="4" t="s">
        <v>6</v>
      </c>
      <c r="C14" s="4">
        <v>299</v>
      </c>
      <c r="D14" s="5">
        <f>C14/C17</f>
        <v>0.90332326283987918</v>
      </c>
      <c r="F14" s="4" t="s">
        <v>6</v>
      </c>
      <c r="G14" s="4">
        <v>483</v>
      </c>
      <c r="H14" s="5">
        <f>G14/G17</f>
        <v>0.96793587174348694</v>
      </c>
    </row>
    <row r="15" spans="2:9" x14ac:dyDescent="0.3">
      <c r="B15" s="4" t="s">
        <v>7</v>
      </c>
      <c r="C15" s="4">
        <v>29</v>
      </c>
      <c r="D15" s="5">
        <f>C15/C17</f>
        <v>8.7613293051359523E-2</v>
      </c>
      <c r="F15" s="4" t="s">
        <v>7</v>
      </c>
      <c r="G15" s="4">
        <v>14</v>
      </c>
      <c r="H15" s="5">
        <f>G15/G17</f>
        <v>2.8056112224448898E-2</v>
      </c>
    </row>
    <row r="16" spans="2:9" x14ac:dyDescent="0.3">
      <c r="B16" s="4" t="s">
        <v>8</v>
      </c>
      <c r="C16" s="4">
        <v>3</v>
      </c>
      <c r="D16" s="5">
        <f>C16/C17</f>
        <v>9.0634441087613302E-3</v>
      </c>
      <c r="F16" s="4" t="s">
        <v>8</v>
      </c>
      <c r="G16" s="4">
        <v>2</v>
      </c>
      <c r="H16" s="5">
        <f>G16/G17</f>
        <v>4.0080160320641279E-3</v>
      </c>
    </row>
    <row r="17" spans="2:8" x14ac:dyDescent="0.3">
      <c r="B17" s="6" t="s">
        <v>28</v>
      </c>
      <c r="C17" s="6">
        <f>SUM(C14:C16)</f>
        <v>331</v>
      </c>
      <c r="D17" s="7">
        <f>SUM(D14:D16)</f>
        <v>1</v>
      </c>
      <c r="F17" s="6" t="s">
        <v>28</v>
      </c>
      <c r="G17" s="6">
        <f>SUM(G14:G16)</f>
        <v>499</v>
      </c>
      <c r="H17" s="7">
        <f>SUM(H14:H16)</f>
        <v>1</v>
      </c>
    </row>
    <row r="20" spans="2:8" x14ac:dyDescent="0.3">
      <c r="C20" t="s">
        <v>15</v>
      </c>
      <c r="G20" t="s">
        <v>29</v>
      </c>
    </row>
    <row r="21" spans="2:8" x14ac:dyDescent="0.3">
      <c r="B21" t="s">
        <v>18</v>
      </c>
      <c r="C21" s="8">
        <f>(C7+C8)/C10</f>
        <v>0.98791540785498488</v>
      </c>
      <c r="F21" t="s">
        <v>18</v>
      </c>
      <c r="G21" s="8">
        <f>(G7+G8)/G10</f>
        <v>0.99799599198396793</v>
      </c>
    </row>
    <row r="22" spans="2:8" x14ac:dyDescent="0.3">
      <c r="B22" t="s">
        <v>19</v>
      </c>
      <c r="C22" s="8">
        <f>(C9)/C10</f>
        <v>1.2084592145015106E-2</v>
      </c>
      <c r="F22" t="s">
        <v>19</v>
      </c>
      <c r="G22" s="8">
        <f>(G9)/G10</f>
        <v>2.004008016032064E-3</v>
      </c>
    </row>
    <row r="24" spans="2:8" x14ac:dyDescent="0.3">
      <c r="C24" t="s">
        <v>16</v>
      </c>
      <c r="G24" t="s">
        <v>30</v>
      </c>
    </row>
    <row r="25" spans="2:8" x14ac:dyDescent="0.3">
      <c r="B25" t="s">
        <v>18</v>
      </c>
      <c r="C25" s="8">
        <f>(C14+C15)/C17</f>
        <v>0.99093655589123864</v>
      </c>
      <c r="F25" t="s">
        <v>18</v>
      </c>
      <c r="G25" s="8">
        <f>(G14+G15)/G17</f>
        <v>0.99599198396793587</v>
      </c>
    </row>
    <row r="26" spans="2:8" x14ac:dyDescent="0.3">
      <c r="B26" t="s">
        <v>19</v>
      </c>
      <c r="C26" s="8">
        <f>(C16)/C17</f>
        <v>9.0634441087613302E-3</v>
      </c>
      <c r="F26" t="s">
        <v>19</v>
      </c>
      <c r="G26" s="8">
        <f>(G16)/G17</f>
        <v>4.0080160320641279E-3</v>
      </c>
    </row>
    <row r="31" spans="2:8" ht="15.6" x14ac:dyDescent="0.3">
      <c r="C31" s="9" t="s">
        <v>18</v>
      </c>
      <c r="D31" s="9" t="s">
        <v>19</v>
      </c>
    </row>
    <row r="32" spans="2:8" ht="18" x14ac:dyDescent="0.35">
      <c r="B32" s="10" t="s">
        <v>0</v>
      </c>
      <c r="C32" s="11">
        <f>(C21+C25)/2</f>
        <v>0.9894259818731117</v>
      </c>
      <c r="D32" s="11">
        <f>(C22+C26)/2</f>
        <v>1.0574018126888218E-2</v>
      </c>
    </row>
    <row r="33" spans="2:4" ht="18" x14ac:dyDescent="0.35">
      <c r="B33" s="10" t="s">
        <v>1</v>
      </c>
      <c r="C33" s="11">
        <f>(G21+G25)/2</f>
        <v>0.99699398797595196</v>
      </c>
      <c r="D33" s="11">
        <f>(G22+G26)/2</f>
        <v>3.0060120240480957E-3</v>
      </c>
    </row>
  </sheetData>
  <mergeCells count="6">
    <mergeCell ref="B12:D12"/>
    <mergeCell ref="F12:H12"/>
    <mergeCell ref="B2:D3"/>
    <mergeCell ref="B5:D5"/>
    <mergeCell ref="F5:H5"/>
    <mergeCell ref="F2:H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6"/>
  <sheetViews>
    <sheetView zoomScale="70" zoomScaleNormal="70" workbookViewId="0">
      <selection activeCell="S15" sqref="S15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6" width="15.21875" bestFit="1" customWidth="1"/>
    <col min="7" max="7" width="12.33203125" bestFit="1" customWidth="1"/>
    <col min="8" max="8" width="15.109375" customWidth="1"/>
    <col min="9" max="9" width="8.109375" customWidth="1"/>
    <col min="10" max="10" width="18.88671875" customWidth="1"/>
    <col min="11" max="11" width="21.88671875" customWidth="1"/>
    <col min="12" max="12" width="14.5546875" customWidth="1"/>
  </cols>
  <sheetData>
    <row r="2" spans="2:8" ht="14.4" customHeight="1" x14ac:dyDescent="0.3">
      <c r="B2" s="23" t="s">
        <v>0</v>
      </c>
      <c r="C2" s="23"/>
      <c r="D2" s="23"/>
      <c r="F2" s="23" t="s">
        <v>1</v>
      </c>
      <c r="G2" s="23"/>
      <c r="H2" s="23"/>
    </row>
    <row r="3" spans="2:8" ht="14.4" customHeight="1" x14ac:dyDescent="0.3">
      <c r="B3" s="23"/>
      <c r="C3" s="23"/>
      <c r="D3" s="23"/>
      <c r="F3" s="23"/>
      <c r="G3" s="23"/>
      <c r="H3" s="23"/>
    </row>
    <row r="5" spans="2:8" ht="30" customHeight="1" x14ac:dyDescent="0.3">
      <c r="B5" s="19" t="s">
        <v>34</v>
      </c>
      <c r="C5" s="20"/>
      <c r="D5" s="21"/>
      <c r="F5" s="19" t="s">
        <v>34</v>
      </c>
      <c r="G5" s="20"/>
      <c r="H5" s="21"/>
    </row>
    <row r="6" spans="2:8" x14ac:dyDescent="0.3">
      <c r="B6" s="15" t="s">
        <v>3</v>
      </c>
      <c r="C6" s="15" t="s">
        <v>4</v>
      </c>
      <c r="D6" s="15" t="s">
        <v>5</v>
      </c>
      <c r="F6" s="15" t="s">
        <v>3</v>
      </c>
      <c r="G6" s="15" t="s">
        <v>4</v>
      </c>
      <c r="H6" s="15" t="s">
        <v>5</v>
      </c>
    </row>
    <row r="7" spans="2:8" x14ac:dyDescent="0.3">
      <c r="B7" s="4" t="s">
        <v>6</v>
      </c>
      <c r="C7" s="4">
        <v>114</v>
      </c>
      <c r="D7" s="5">
        <f>C7/C11</f>
        <v>0.72611464968152861</v>
      </c>
      <c r="F7" s="4" t="s">
        <v>6</v>
      </c>
      <c r="G7" s="4">
        <v>76</v>
      </c>
      <c r="H7" s="5">
        <f>G7/G11</f>
        <v>0.40211640211640209</v>
      </c>
    </row>
    <row r="8" spans="2:8" x14ac:dyDescent="0.3">
      <c r="B8" s="4" t="s">
        <v>7</v>
      </c>
      <c r="C8" s="4">
        <v>0</v>
      </c>
      <c r="D8" s="5">
        <f>C8/C11</f>
        <v>0</v>
      </c>
      <c r="F8" s="4" t="s">
        <v>7</v>
      </c>
      <c r="G8" s="4">
        <v>20</v>
      </c>
      <c r="H8" s="5">
        <f>G8/G11</f>
        <v>0.10582010582010581</v>
      </c>
    </row>
    <row r="9" spans="2:8" x14ac:dyDescent="0.3">
      <c r="B9" s="4" t="s">
        <v>8</v>
      </c>
      <c r="C9" s="4">
        <v>0</v>
      </c>
      <c r="D9" s="5">
        <f>C9/C11</f>
        <v>0</v>
      </c>
      <c r="F9" s="4" t="s">
        <v>8</v>
      </c>
      <c r="G9" s="4">
        <v>0</v>
      </c>
      <c r="H9" s="5">
        <f>G9/G11</f>
        <v>0</v>
      </c>
    </row>
    <row r="10" spans="2:8" x14ac:dyDescent="0.3">
      <c r="B10" s="4" t="s">
        <v>9</v>
      </c>
      <c r="C10" s="4">
        <v>43</v>
      </c>
      <c r="D10" s="5">
        <f>C10/C11</f>
        <v>0.27388535031847133</v>
      </c>
      <c r="F10" s="4" t="s">
        <v>9</v>
      </c>
      <c r="G10" s="4">
        <v>93</v>
      </c>
      <c r="H10" s="5">
        <f>G10/G11</f>
        <v>0.49206349206349204</v>
      </c>
    </row>
    <row r="11" spans="2:8" x14ac:dyDescent="0.3">
      <c r="B11" s="6" t="s">
        <v>28</v>
      </c>
      <c r="C11" s="6">
        <f>SUM(C7:C10)</f>
        <v>157</v>
      </c>
      <c r="D11" s="7">
        <f>SUM(D7:D10)</f>
        <v>1</v>
      </c>
      <c r="F11" s="6" t="s">
        <v>28</v>
      </c>
      <c r="G11" s="6">
        <f>SUM(G7:G10)</f>
        <v>189</v>
      </c>
      <c r="H11" s="7">
        <f>SUM(H7:H10)</f>
        <v>1</v>
      </c>
    </row>
    <row r="13" spans="2:8" ht="34.5" customHeight="1" x14ac:dyDescent="0.3">
      <c r="B13" s="19" t="s">
        <v>35</v>
      </c>
      <c r="C13" s="20"/>
      <c r="D13" s="21"/>
      <c r="F13" s="19" t="s">
        <v>35</v>
      </c>
      <c r="G13" s="20"/>
      <c r="H13" s="21"/>
    </row>
    <row r="14" spans="2:8" x14ac:dyDescent="0.3">
      <c r="B14" s="15" t="s">
        <v>3</v>
      </c>
      <c r="C14" s="15" t="s">
        <v>4</v>
      </c>
      <c r="D14" s="15" t="s">
        <v>5</v>
      </c>
      <c r="F14" s="15" t="s">
        <v>3</v>
      </c>
      <c r="G14" s="15" t="s">
        <v>4</v>
      </c>
      <c r="H14" s="15" t="s">
        <v>5</v>
      </c>
    </row>
    <row r="15" spans="2:8" x14ac:dyDescent="0.3">
      <c r="B15" s="4" t="s">
        <v>6</v>
      </c>
      <c r="C15" s="4">
        <v>113</v>
      </c>
      <c r="D15" s="5">
        <f>C15/C19</f>
        <v>0.71974522292993626</v>
      </c>
      <c r="F15" s="4" t="s">
        <v>6</v>
      </c>
      <c r="G15" s="4">
        <v>89</v>
      </c>
      <c r="H15" s="5">
        <f>G15/G19</f>
        <v>0.47089947089947087</v>
      </c>
    </row>
    <row r="16" spans="2:8" x14ac:dyDescent="0.3">
      <c r="B16" s="4" t="s">
        <v>7</v>
      </c>
      <c r="C16" s="4">
        <v>0</v>
      </c>
      <c r="D16" s="5">
        <f>C16/C19</f>
        <v>0</v>
      </c>
      <c r="F16" s="4" t="s">
        <v>7</v>
      </c>
      <c r="G16" s="4">
        <v>29</v>
      </c>
      <c r="H16" s="5">
        <f>G16/G19</f>
        <v>0.15343915343915343</v>
      </c>
    </row>
    <row r="17" spans="2:8" x14ac:dyDescent="0.3">
      <c r="B17" s="4" t="s">
        <v>8</v>
      </c>
      <c r="C17" s="4">
        <v>1</v>
      </c>
      <c r="D17" s="5">
        <f>C17/C19</f>
        <v>6.369426751592357E-3</v>
      </c>
      <c r="F17" s="4" t="s">
        <v>8</v>
      </c>
      <c r="G17" s="4">
        <v>1</v>
      </c>
      <c r="H17" s="5">
        <f>G17/G19</f>
        <v>5.2910052910052907E-3</v>
      </c>
    </row>
    <row r="18" spans="2:8" x14ac:dyDescent="0.3">
      <c r="B18" s="4" t="s">
        <v>9</v>
      </c>
      <c r="C18" s="4">
        <v>43</v>
      </c>
      <c r="D18" s="5">
        <f>C18/C19</f>
        <v>0.27388535031847133</v>
      </c>
      <c r="F18" s="4" t="s">
        <v>9</v>
      </c>
      <c r="G18" s="4">
        <v>70</v>
      </c>
      <c r="H18" s="5">
        <f>G18/G19</f>
        <v>0.37037037037037035</v>
      </c>
    </row>
    <row r="19" spans="2:8" x14ac:dyDescent="0.3">
      <c r="B19" s="6" t="s">
        <v>28</v>
      </c>
      <c r="C19" s="6">
        <f>SUM(C15:C18)</f>
        <v>157</v>
      </c>
      <c r="D19" s="7">
        <f>SUM(D15:D18)</f>
        <v>1</v>
      </c>
      <c r="F19" s="6" t="s">
        <v>28</v>
      </c>
      <c r="G19" s="6">
        <f>SUM(G15:G18)</f>
        <v>189</v>
      </c>
      <c r="H19" s="7">
        <f>SUM(H15:H18)</f>
        <v>0.99999999999999989</v>
      </c>
    </row>
    <row r="21" spans="2:8" ht="30" customHeight="1" x14ac:dyDescent="0.3">
      <c r="B21" s="19" t="s">
        <v>36</v>
      </c>
      <c r="C21" s="20"/>
      <c r="D21" s="21"/>
      <c r="F21" s="19" t="s">
        <v>36</v>
      </c>
      <c r="G21" s="20"/>
      <c r="H21" s="21"/>
    </row>
    <row r="22" spans="2:8" x14ac:dyDescent="0.3">
      <c r="B22" s="15" t="s">
        <v>3</v>
      </c>
      <c r="C22" s="15" t="s">
        <v>4</v>
      </c>
      <c r="D22" s="15" t="s">
        <v>5</v>
      </c>
      <c r="F22" s="15" t="s">
        <v>3</v>
      </c>
      <c r="G22" s="15" t="s">
        <v>4</v>
      </c>
      <c r="H22" s="15" t="s">
        <v>5</v>
      </c>
    </row>
    <row r="23" spans="2:8" x14ac:dyDescent="0.3">
      <c r="B23" s="4" t="s">
        <v>6</v>
      </c>
      <c r="C23" s="4">
        <v>150</v>
      </c>
      <c r="D23" s="5">
        <f>C23/C27</f>
        <v>0.95541401273885351</v>
      </c>
      <c r="F23" s="4" t="s">
        <v>6</v>
      </c>
      <c r="G23" s="4">
        <v>160</v>
      </c>
      <c r="H23" s="5">
        <f>G23/G27</f>
        <v>0.84656084656084651</v>
      </c>
    </row>
    <row r="24" spans="2:8" x14ac:dyDescent="0.3">
      <c r="B24" s="4" t="s">
        <v>7</v>
      </c>
      <c r="C24" s="4">
        <v>0</v>
      </c>
      <c r="D24" s="5">
        <f>C24/C27</f>
        <v>0</v>
      </c>
      <c r="F24" s="4" t="s">
        <v>7</v>
      </c>
      <c r="G24" s="4">
        <v>12</v>
      </c>
      <c r="H24" s="5">
        <f>G24/G27</f>
        <v>6.3492063492063489E-2</v>
      </c>
    </row>
    <row r="25" spans="2:8" x14ac:dyDescent="0.3">
      <c r="B25" s="4" t="s">
        <v>8</v>
      </c>
      <c r="C25" s="4">
        <v>0</v>
      </c>
      <c r="D25" s="5">
        <f>C25/C27</f>
        <v>0</v>
      </c>
      <c r="F25" s="4" t="s">
        <v>8</v>
      </c>
      <c r="G25" s="4">
        <v>0</v>
      </c>
      <c r="H25" s="5">
        <f>G25/G27</f>
        <v>0</v>
      </c>
    </row>
    <row r="26" spans="2:8" x14ac:dyDescent="0.3">
      <c r="B26" s="4" t="s">
        <v>9</v>
      </c>
      <c r="C26" s="4">
        <v>7</v>
      </c>
      <c r="D26" s="5">
        <f>C26/C27</f>
        <v>4.4585987261146494E-2</v>
      </c>
      <c r="F26" s="4" t="s">
        <v>9</v>
      </c>
      <c r="G26" s="4">
        <v>17</v>
      </c>
      <c r="H26" s="5">
        <f>G26/G27</f>
        <v>8.9947089947089942E-2</v>
      </c>
    </row>
    <row r="27" spans="2:8" x14ac:dyDescent="0.3">
      <c r="B27" s="6" t="s">
        <v>28</v>
      </c>
      <c r="C27" s="6">
        <f>SUM(C23:C26)</f>
        <v>157</v>
      </c>
      <c r="D27" s="7">
        <f>SUM(D23:D26)</f>
        <v>1</v>
      </c>
      <c r="F27" s="6" t="s">
        <v>28</v>
      </c>
      <c r="G27" s="6">
        <f>SUM(G23:G26)</f>
        <v>189</v>
      </c>
      <c r="H27" s="7">
        <f>SUM(H23:H26)</f>
        <v>1</v>
      </c>
    </row>
    <row r="30" spans="2:8" x14ac:dyDescent="0.3">
      <c r="C30" t="s">
        <v>15</v>
      </c>
      <c r="G30" t="s">
        <v>29</v>
      </c>
    </row>
    <row r="31" spans="2:8" x14ac:dyDescent="0.3">
      <c r="B31" t="s">
        <v>18</v>
      </c>
      <c r="C31" s="8">
        <f>(C7+C8)/C11</f>
        <v>0.72611464968152861</v>
      </c>
      <c r="F31" t="s">
        <v>18</v>
      </c>
      <c r="G31" s="8">
        <f>(G7+G8)/G11</f>
        <v>0.50793650793650791</v>
      </c>
    </row>
    <row r="32" spans="2:8" x14ac:dyDescent="0.3">
      <c r="B32" t="s">
        <v>19</v>
      </c>
      <c r="C32" s="8">
        <f>(C9+C10)/C11</f>
        <v>0.27388535031847133</v>
      </c>
      <c r="F32" t="s">
        <v>19</v>
      </c>
      <c r="G32" s="8">
        <f>(G9+G10)/G11</f>
        <v>0.49206349206349204</v>
      </c>
    </row>
    <row r="34" spans="2:7" x14ac:dyDescent="0.3">
      <c r="C34" t="s">
        <v>16</v>
      </c>
      <c r="G34" t="s">
        <v>30</v>
      </c>
    </row>
    <row r="35" spans="2:7" x14ac:dyDescent="0.3">
      <c r="B35" t="s">
        <v>18</v>
      </c>
      <c r="C35" s="8">
        <f>(C15+C16)/C19</f>
        <v>0.71974522292993626</v>
      </c>
      <c r="F35" t="s">
        <v>18</v>
      </c>
      <c r="G35" s="8">
        <f>(G15+G16)/G19</f>
        <v>0.6243386243386243</v>
      </c>
    </row>
    <row r="36" spans="2:7" x14ac:dyDescent="0.3">
      <c r="B36" t="s">
        <v>19</v>
      </c>
      <c r="C36" s="8">
        <f>(C17+C18)/C19</f>
        <v>0.28025477707006369</v>
      </c>
      <c r="F36" t="s">
        <v>19</v>
      </c>
      <c r="G36" s="8">
        <f>(G17+G18)/G19</f>
        <v>0.37566137566137564</v>
      </c>
    </row>
    <row r="38" spans="2:7" x14ac:dyDescent="0.3">
      <c r="C38" t="s">
        <v>16</v>
      </c>
      <c r="G38" t="s">
        <v>30</v>
      </c>
    </row>
    <row r="39" spans="2:7" x14ac:dyDescent="0.3">
      <c r="B39" t="s">
        <v>18</v>
      </c>
      <c r="C39" s="8">
        <f>(C23+C24)/C27</f>
        <v>0.95541401273885351</v>
      </c>
      <c r="F39" t="s">
        <v>18</v>
      </c>
      <c r="G39" s="8">
        <f>(G23+G24)/G27</f>
        <v>0.91005291005291</v>
      </c>
    </row>
    <row r="40" spans="2:7" x14ac:dyDescent="0.3">
      <c r="B40" t="s">
        <v>19</v>
      </c>
      <c r="C40" s="8">
        <f>(C25+C26)/C27</f>
        <v>4.4585987261146494E-2</v>
      </c>
      <c r="F40" t="s">
        <v>19</v>
      </c>
      <c r="G40" s="8">
        <f>(G25+G26)/G27</f>
        <v>8.9947089947089942E-2</v>
      </c>
    </row>
    <row r="44" spans="2:7" ht="15.6" x14ac:dyDescent="0.3">
      <c r="C44" s="9" t="s">
        <v>18</v>
      </c>
      <c r="D44" s="9" t="s">
        <v>19</v>
      </c>
    </row>
    <row r="45" spans="2:7" ht="18" x14ac:dyDescent="0.35">
      <c r="B45" s="10" t="s">
        <v>0</v>
      </c>
      <c r="C45" s="11">
        <f>(C31+C35+C39)/3</f>
        <v>0.80042462845010609</v>
      </c>
      <c r="D45" s="11">
        <f>(C32+C36+C40)/3</f>
        <v>0.19957537154989383</v>
      </c>
    </row>
    <row r="46" spans="2:7" ht="18" x14ac:dyDescent="0.35">
      <c r="B46" s="10" t="s">
        <v>1</v>
      </c>
      <c r="C46" s="11">
        <f>(G31+G35+G39)/3</f>
        <v>0.68077601410934729</v>
      </c>
      <c r="D46" s="11">
        <f>(G32+G36+G40)/3</f>
        <v>0.31922398589065254</v>
      </c>
    </row>
  </sheetData>
  <mergeCells count="8">
    <mergeCell ref="B21:D21"/>
    <mergeCell ref="F21:H21"/>
    <mergeCell ref="B2:D3"/>
    <mergeCell ref="F2:H3"/>
    <mergeCell ref="B5:D5"/>
    <mergeCell ref="F5:H5"/>
    <mergeCell ref="B13:D13"/>
    <mergeCell ref="F13:H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7"/>
  <sheetViews>
    <sheetView zoomScale="70" zoomScaleNormal="70" workbookViewId="0">
      <selection activeCell="J32" sqref="J32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7" width="19.33203125" customWidth="1"/>
    <col min="8" max="8" width="15.109375" customWidth="1"/>
    <col min="9" max="9" width="8.109375" customWidth="1"/>
    <col min="10" max="10" width="19.44140625" customWidth="1"/>
    <col min="11" max="11" width="14.33203125" bestFit="1" customWidth="1"/>
    <col min="12" max="12" width="17.44140625" customWidth="1"/>
    <col min="13" max="13" width="15.21875" bestFit="1" customWidth="1"/>
  </cols>
  <sheetData>
    <row r="2" spans="2:14" ht="14.4" customHeight="1" x14ac:dyDescent="0.3">
      <c r="B2" s="23" t="s">
        <v>0</v>
      </c>
      <c r="C2" s="23"/>
      <c r="D2" s="23"/>
      <c r="F2" s="23" t="s">
        <v>1</v>
      </c>
      <c r="G2" s="23"/>
      <c r="H2" s="23"/>
    </row>
    <row r="3" spans="2:14" ht="14.4" customHeight="1" x14ac:dyDescent="0.3">
      <c r="B3" s="23"/>
      <c r="C3" s="23"/>
      <c r="D3" s="23"/>
      <c r="F3" s="23"/>
      <c r="G3" s="23"/>
      <c r="H3" s="23"/>
    </row>
    <row r="5" spans="2:14" ht="30" customHeight="1" x14ac:dyDescent="0.3">
      <c r="B5" s="19" t="s">
        <v>44</v>
      </c>
      <c r="C5" s="20"/>
      <c r="D5" s="21"/>
      <c r="F5" s="19" t="s">
        <v>44</v>
      </c>
      <c r="G5" s="20"/>
      <c r="H5" s="21"/>
      <c r="K5" t="s">
        <v>15</v>
      </c>
      <c r="N5" t="s">
        <v>29</v>
      </c>
    </row>
    <row r="6" spans="2:14" x14ac:dyDescent="0.3">
      <c r="B6" s="15" t="s">
        <v>3</v>
      </c>
      <c r="C6" s="15" t="s">
        <v>4</v>
      </c>
      <c r="D6" s="15" t="s">
        <v>5</v>
      </c>
      <c r="F6" s="15" t="s">
        <v>3</v>
      </c>
      <c r="G6" s="15" t="s">
        <v>4</v>
      </c>
      <c r="H6" s="15" t="s">
        <v>5</v>
      </c>
      <c r="J6" t="s">
        <v>18</v>
      </c>
      <c r="K6" s="8">
        <f>(C7+C8)/C10</f>
        <v>0.99035369774919613</v>
      </c>
      <c r="M6" t="s">
        <v>18</v>
      </c>
      <c r="N6" s="8">
        <f>(G7+G8)/G10</f>
        <v>0.98084291187739459</v>
      </c>
    </row>
    <row r="7" spans="2:14" x14ac:dyDescent="0.3">
      <c r="B7" s="4" t="s">
        <v>6</v>
      </c>
      <c r="C7" s="4">
        <v>284</v>
      </c>
      <c r="D7" s="5">
        <f>C7/C10</f>
        <v>0.91318327974276525</v>
      </c>
      <c r="F7" s="4" t="s">
        <v>6</v>
      </c>
      <c r="G7" s="4">
        <v>228</v>
      </c>
      <c r="H7" s="5">
        <f>G7/G10</f>
        <v>0.87356321839080464</v>
      </c>
      <c r="J7" t="s">
        <v>19</v>
      </c>
      <c r="K7" s="8">
        <f>C9/C10</f>
        <v>9.6463022508038593E-3</v>
      </c>
      <c r="M7" t="s">
        <v>19</v>
      </c>
      <c r="N7" s="8">
        <f>G9/G10</f>
        <v>1.9157088122605363E-2</v>
      </c>
    </row>
    <row r="8" spans="2:14" x14ac:dyDescent="0.3">
      <c r="B8" s="4" t="s">
        <v>7</v>
      </c>
      <c r="C8" s="4">
        <v>24</v>
      </c>
      <c r="D8" s="5">
        <f>C8/C10</f>
        <v>7.7170418006430874E-2</v>
      </c>
      <c r="F8" s="4" t="s">
        <v>7</v>
      </c>
      <c r="G8" s="4">
        <v>28</v>
      </c>
      <c r="H8" s="5">
        <f>G8/G10</f>
        <v>0.10727969348659004</v>
      </c>
    </row>
    <row r="9" spans="2:14" x14ac:dyDescent="0.3">
      <c r="B9" s="4" t="s">
        <v>8</v>
      </c>
      <c r="C9" s="4">
        <v>3</v>
      </c>
      <c r="D9" s="5">
        <f>C9/C10</f>
        <v>9.6463022508038593E-3</v>
      </c>
      <c r="F9" s="4" t="s">
        <v>8</v>
      </c>
      <c r="G9" s="4">
        <v>5</v>
      </c>
      <c r="H9" s="5">
        <f>G9/G10</f>
        <v>1.9157088122605363E-2</v>
      </c>
      <c r="K9" t="s">
        <v>16</v>
      </c>
      <c r="N9" t="s">
        <v>30</v>
      </c>
    </row>
    <row r="10" spans="2:14" x14ac:dyDescent="0.3">
      <c r="B10" s="6" t="s">
        <v>28</v>
      </c>
      <c r="C10" s="6">
        <f>SUM(C7:C9)</f>
        <v>311</v>
      </c>
      <c r="D10" s="7">
        <f>SUM(D7:D9)</f>
        <v>1</v>
      </c>
      <c r="F10" s="6" t="s">
        <v>28</v>
      </c>
      <c r="G10" s="6">
        <f>SUM(G7:G9)</f>
        <v>261</v>
      </c>
      <c r="H10" s="7">
        <f>SUM(H7:H9)</f>
        <v>1</v>
      </c>
      <c r="J10" t="s">
        <v>18</v>
      </c>
      <c r="K10" s="8">
        <f>(C14+C15)/C17</f>
        <v>0.99356913183279738</v>
      </c>
      <c r="M10" t="s">
        <v>18</v>
      </c>
      <c r="N10" s="8">
        <f>(G14+G15)/G17</f>
        <v>0.99616858237547889</v>
      </c>
    </row>
    <row r="11" spans="2:14" x14ac:dyDescent="0.3">
      <c r="J11" t="s">
        <v>19</v>
      </c>
      <c r="K11" s="8">
        <f>C16/C17</f>
        <v>6.4308681672025723E-3</v>
      </c>
      <c r="M11" t="s">
        <v>19</v>
      </c>
      <c r="N11" s="8">
        <f>G16/G17</f>
        <v>3.8314176245210726E-3</v>
      </c>
    </row>
    <row r="12" spans="2:14" x14ac:dyDescent="0.3">
      <c r="B12" s="19" t="s">
        <v>45</v>
      </c>
      <c r="C12" s="20"/>
      <c r="D12" s="21"/>
      <c r="F12" s="19" t="s">
        <v>45</v>
      </c>
      <c r="G12" s="20"/>
      <c r="H12" s="21"/>
    </row>
    <row r="13" spans="2:14" ht="34.5" customHeight="1" x14ac:dyDescent="0.3">
      <c r="B13" s="15" t="s">
        <v>3</v>
      </c>
      <c r="C13" s="15" t="s">
        <v>4</v>
      </c>
      <c r="D13" s="15" t="s">
        <v>5</v>
      </c>
      <c r="F13" s="15" t="s">
        <v>3</v>
      </c>
      <c r="G13" s="15" t="s">
        <v>4</v>
      </c>
      <c r="H13" s="15" t="s">
        <v>5</v>
      </c>
      <c r="K13" t="s">
        <v>16</v>
      </c>
      <c r="N13" t="s">
        <v>30</v>
      </c>
    </row>
    <row r="14" spans="2:14" x14ac:dyDescent="0.3">
      <c r="B14" s="4" t="s">
        <v>6</v>
      </c>
      <c r="C14" s="4">
        <v>279</v>
      </c>
      <c r="D14" s="5">
        <f>C14/C17</f>
        <v>0.89710610932475887</v>
      </c>
      <c r="F14" s="4" t="s">
        <v>6</v>
      </c>
      <c r="G14" s="4">
        <v>231</v>
      </c>
      <c r="H14" s="5">
        <f>G14/G17</f>
        <v>0.88505747126436785</v>
      </c>
      <c r="J14" t="s">
        <v>18</v>
      </c>
      <c r="K14" s="8">
        <f>(C21+C22)/C24</f>
        <v>0.99678456591639875</v>
      </c>
      <c r="M14" t="s">
        <v>18</v>
      </c>
      <c r="N14" s="8">
        <f>(G21+G22)/G24</f>
        <v>0.9923371647509579</v>
      </c>
    </row>
    <row r="15" spans="2:14" x14ac:dyDescent="0.3">
      <c r="B15" s="4" t="s">
        <v>7</v>
      </c>
      <c r="C15" s="4">
        <v>30</v>
      </c>
      <c r="D15" s="5">
        <f>C15/C17</f>
        <v>9.6463022508038579E-2</v>
      </c>
      <c r="F15" s="4" t="s">
        <v>7</v>
      </c>
      <c r="G15" s="4">
        <v>29</v>
      </c>
      <c r="H15" s="5">
        <f>G15/G17</f>
        <v>0.1111111111111111</v>
      </c>
      <c r="J15" t="s">
        <v>19</v>
      </c>
      <c r="K15" s="8">
        <f>C23/C24</f>
        <v>3.2154340836012861E-3</v>
      </c>
      <c r="M15" t="s">
        <v>19</v>
      </c>
      <c r="N15" s="8">
        <f>G23/G24</f>
        <v>7.6628352490421452E-3</v>
      </c>
    </row>
    <row r="16" spans="2:14" x14ac:dyDescent="0.3">
      <c r="B16" s="4" t="s">
        <v>8</v>
      </c>
      <c r="C16" s="4">
        <v>2</v>
      </c>
      <c r="D16" s="5">
        <f>C16/C17</f>
        <v>6.4308681672025723E-3</v>
      </c>
      <c r="F16" s="4" t="s">
        <v>8</v>
      </c>
      <c r="G16" s="4">
        <v>1</v>
      </c>
      <c r="H16" s="5">
        <f>G16/G17</f>
        <v>3.8314176245210726E-3</v>
      </c>
      <c r="K16" s="8"/>
      <c r="N16" s="8"/>
    </row>
    <row r="17" spans="2:14" x14ac:dyDescent="0.3">
      <c r="B17" s="6" t="s">
        <v>28</v>
      </c>
      <c r="C17" s="6">
        <f>SUM(C14:C16)</f>
        <v>311</v>
      </c>
      <c r="D17" s="7">
        <f>SUM(D14:D16)</f>
        <v>1</v>
      </c>
      <c r="F17" s="6" t="s">
        <v>28</v>
      </c>
      <c r="G17" s="6">
        <f>SUM(G14:G16)</f>
        <v>261</v>
      </c>
      <c r="H17" s="7">
        <f>SUM(H14:H16)</f>
        <v>1</v>
      </c>
      <c r="K17" t="s">
        <v>16</v>
      </c>
      <c r="N17" t="s">
        <v>30</v>
      </c>
    </row>
    <row r="18" spans="2:14" x14ac:dyDescent="0.3">
      <c r="J18" t="s">
        <v>18</v>
      </c>
      <c r="K18" s="8">
        <f>(C28+C29)/C31</f>
        <v>1</v>
      </c>
      <c r="M18" t="s">
        <v>18</v>
      </c>
      <c r="N18" s="8">
        <f>(G28+G29)/G31</f>
        <v>0.97318007662835249</v>
      </c>
    </row>
    <row r="19" spans="2:14" x14ac:dyDescent="0.3">
      <c r="B19" s="19" t="s">
        <v>46</v>
      </c>
      <c r="C19" s="20"/>
      <c r="D19" s="21"/>
      <c r="F19" s="19" t="s">
        <v>46</v>
      </c>
      <c r="G19" s="20"/>
      <c r="H19" s="21"/>
      <c r="J19" t="s">
        <v>19</v>
      </c>
      <c r="K19" s="8">
        <f>C30/C31</f>
        <v>0</v>
      </c>
      <c r="M19" t="s">
        <v>19</v>
      </c>
      <c r="N19" s="8">
        <f>G30/G31</f>
        <v>2.681992337164751E-2</v>
      </c>
    </row>
    <row r="20" spans="2:14" x14ac:dyDescent="0.3">
      <c r="B20" s="15" t="s">
        <v>3</v>
      </c>
      <c r="C20" s="15" t="s">
        <v>4</v>
      </c>
      <c r="D20" s="15" t="s">
        <v>5</v>
      </c>
      <c r="F20" s="15" t="s">
        <v>3</v>
      </c>
      <c r="G20" s="15" t="s">
        <v>4</v>
      </c>
      <c r="H20" s="15" t="s">
        <v>5</v>
      </c>
      <c r="K20" s="8"/>
      <c r="N20" s="8"/>
    </row>
    <row r="21" spans="2:14" ht="30" customHeight="1" x14ac:dyDescent="0.3">
      <c r="B21" s="4" t="s">
        <v>6</v>
      </c>
      <c r="C21" s="4">
        <v>287</v>
      </c>
      <c r="D21" s="5">
        <f>C21/C24</f>
        <v>0.92282958199356913</v>
      </c>
      <c r="F21" s="4" t="s">
        <v>6</v>
      </c>
      <c r="G21" s="4">
        <v>225</v>
      </c>
      <c r="H21" s="5">
        <f>G21/G24</f>
        <v>0.86206896551724133</v>
      </c>
    </row>
    <row r="22" spans="2:14" x14ac:dyDescent="0.3">
      <c r="B22" s="4" t="s">
        <v>7</v>
      </c>
      <c r="C22" s="4">
        <v>23</v>
      </c>
      <c r="D22" s="5">
        <f>C22/C24</f>
        <v>7.3954983922829579E-2</v>
      </c>
      <c r="F22" s="4" t="s">
        <v>7</v>
      </c>
      <c r="G22" s="4">
        <v>34</v>
      </c>
      <c r="H22" s="5">
        <f>G22/G24</f>
        <v>0.13026819923371646</v>
      </c>
    </row>
    <row r="23" spans="2:14" ht="15.6" x14ac:dyDescent="0.3">
      <c r="B23" s="4" t="s">
        <v>8</v>
      </c>
      <c r="C23" s="4">
        <v>1</v>
      </c>
      <c r="D23" s="5">
        <f>C23/C24</f>
        <v>3.2154340836012861E-3</v>
      </c>
      <c r="F23" s="4" t="s">
        <v>8</v>
      </c>
      <c r="G23" s="4">
        <v>2</v>
      </c>
      <c r="H23" s="5">
        <f>G23/G24</f>
        <v>7.6628352490421452E-3</v>
      </c>
      <c r="K23" s="9" t="s">
        <v>18</v>
      </c>
      <c r="L23" s="9" t="s">
        <v>19</v>
      </c>
    </row>
    <row r="24" spans="2:14" ht="18" x14ac:dyDescent="0.35">
      <c r="B24" s="6" t="s">
        <v>28</v>
      </c>
      <c r="C24" s="6">
        <f>SUM(C21:C23)</f>
        <v>311</v>
      </c>
      <c r="D24" s="7">
        <f>SUM(D21:D23)</f>
        <v>1</v>
      </c>
      <c r="F24" s="6" t="s">
        <v>28</v>
      </c>
      <c r="G24" s="6">
        <f>SUM(G21:G23)</f>
        <v>261</v>
      </c>
      <c r="H24" s="7">
        <f>SUM(H21:H23)</f>
        <v>0.99999999999999989</v>
      </c>
      <c r="J24" s="10" t="s">
        <v>0</v>
      </c>
      <c r="K24" s="11">
        <f>(K6+K10+K14+K18)/4</f>
        <v>0.99517684887459801</v>
      </c>
      <c r="L24" s="11">
        <f>(K7+K11+K15)/3</f>
        <v>6.4308681672025714E-3</v>
      </c>
    </row>
    <row r="25" spans="2:14" ht="18" x14ac:dyDescent="0.35">
      <c r="B25" s="16"/>
      <c r="C25" s="16"/>
      <c r="D25" s="17"/>
      <c r="F25" s="16"/>
      <c r="G25" s="16"/>
      <c r="H25" s="17"/>
      <c r="J25" s="10" t="s">
        <v>1</v>
      </c>
      <c r="K25" s="11">
        <f>(N6+N10+N14+N18)/4</f>
        <v>0.98563218390804597</v>
      </c>
      <c r="L25" s="11">
        <f>(N7+N11+N15)/3</f>
        <v>1.0217113665389526E-2</v>
      </c>
    </row>
    <row r="26" spans="2:14" x14ac:dyDescent="0.3">
      <c r="B26" s="19" t="s">
        <v>47</v>
      </c>
      <c r="C26" s="20"/>
      <c r="D26" s="21"/>
      <c r="F26" s="19" t="s">
        <v>47</v>
      </c>
      <c r="G26" s="20"/>
      <c r="H26" s="21"/>
    </row>
    <row r="27" spans="2:14" x14ac:dyDescent="0.3">
      <c r="B27" s="15" t="s">
        <v>3</v>
      </c>
      <c r="C27" s="15" t="s">
        <v>4</v>
      </c>
      <c r="D27" s="15" t="s">
        <v>5</v>
      </c>
      <c r="F27" s="15" t="s">
        <v>3</v>
      </c>
      <c r="G27" s="15" t="s">
        <v>4</v>
      </c>
      <c r="H27" s="15" t="s">
        <v>5</v>
      </c>
    </row>
    <row r="28" spans="2:14" x14ac:dyDescent="0.3">
      <c r="B28" s="4" t="s">
        <v>6</v>
      </c>
      <c r="C28" s="4">
        <v>277</v>
      </c>
      <c r="D28" s="5">
        <f>C28/C31</f>
        <v>0.89067524115755625</v>
      </c>
      <c r="F28" s="4" t="s">
        <v>6</v>
      </c>
      <c r="G28" s="4">
        <v>211</v>
      </c>
      <c r="H28" s="5">
        <f>G28/G31</f>
        <v>0.80842911877394641</v>
      </c>
    </row>
    <row r="29" spans="2:14" ht="14.4" customHeight="1" x14ac:dyDescent="0.3">
      <c r="B29" s="4" t="s">
        <v>7</v>
      </c>
      <c r="C29" s="4">
        <v>34</v>
      </c>
      <c r="D29" s="5">
        <f>C29/C31</f>
        <v>0.10932475884244373</v>
      </c>
      <c r="F29" s="4" t="s">
        <v>7</v>
      </c>
      <c r="G29" s="4">
        <v>43</v>
      </c>
      <c r="H29" s="5">
        <f>G29/G31</f>
        <v>0.16475095785440613</v>
      </c>
    </row>
    <row r="30" spans="2:14" x14ac:dyDescent="0.3">
      <c r="B30" s="4" t="s">
        <v>8</v>
      </c>
      <c r="C30" s="4">
        <v>0</v>
      </c>
      <c r="D30" s="5">
        <f>C30/C31</f>
        <v>0</v>
      </c>
      <c r="F30" s="4" t="s">
        <v>8</v>
      </c>
      <c r="G30" s="4">
        <v>7</v>
      </c>
      <c r="H30" s="5">
        <f>G30/G31</f>
        <v>2.681992337164751E-2</v>
      </c>
    </row>
    <row r="31" spans="2:14" x14ac:dyDescent="0.3">
      <c r="B31" s="6" t="s">
        <v>28</v>
      </c>
      <c r="C31" s="6">
        <f>SUM(C28:C30)</f>
        <v>311</v>
      </c>
      <c r="D31" s="7">
        <f>SUM(D28:D30)</f>
        <v>1</v>
      </c>
      <c r="F31" s="6" t="s">
        <v>28</v>
      </c>
      <c r="G31" s="6">
        <f>SUM(G28:G30)</f>
        <v>261</v>
      </c>
      <c r="H31" s="7">
        <f>SUM(H28:H30)</f>
        <v>1</v>
      </c>
    </row>
    <row r="32" spans="2:14" x14ac:dyDescent="0.3">
      <c r="B32" s="16"/>
      <c r="C32" s="16"/>
      <c r="D32" s="17"/>
      <c r="F32" s="16"/>
      <c r="G32" s="16"/>
      <c r="H32" s="17"/>
    </row>
    <row r="33" spans="2:8" ht="14.4" customHeight="1" x14ac:dyDescent="0.3">
      <c r="B33" s="16"/>
      <c r="C33" s="16"/>
      <c r="D33" s="17"/>
      <c r="F33" s="16"/>
      <c r="G33" s="16"/>
      <c r="H33" s="17"/>
    </row>
    <row r="37" spans="2:8" ht="14.4" customHeight="1" x14ac:dyDescent="0.3"/>
  </sheetData>
  <mergeCells count="10">
    <mergeCell ref="B19:D19"/>
    <mergeCell ref="F19:H19"/>
    <mergeCell ref="B26:D26"/>
    <mergeCell ref="F26:H26"/>
    <mergeCell ref="B2:D3"/>
    <mergeCell ref="F2:H3"/>
    <mergeCell ref="B5:D5"/>
    <mergeCell ref="F5:H5"/>
    <mergeCell ref="B12:D12"/>
    <mergeCell ref="F12:H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zoomScale="70" zoomScaleNormal="70" workbookViewId="0">
      <selection activeCell="G24" sqref="G24"/>
    </sheetView>
  </sheetViews>
  <sheetFormatPr baseColWidth="10" defaultRowHeight="14.4" x14ac:dyDescent="0.3"/>
  <cols>
    <col min="2" max="2" width="19.88671875" customWidth="1"/>
    <col min="3" max="3" width="20.33203125" customWidth="1"/>
    <col min="4" max="4" width="17.109375" customWidth="1"/>
    <col min="5" max="5" width="7.5546875" customWidth="1"/>
    <col min="6" max="6" width="18.33203125" customWidth="1"/>
    <col min="7" max="7" width="19.33203125" customWidth="1"/>
    <col min="8" max="8" width="15.109375" customWidth="1"/>
    <col min="9" max="9" width="8.109375" customWidth="1"/>
    <col min="10" max="10" width="19.44140625" customWidth="1"/>
    <col min="11" max="11" width="21.88671875" customWidth="1"/>
    <col min="12" max="12" width="14.5546875" customWidth="1"/>
  </cols>
  <sheetData>
    <row r="2" spans="2:8" ht="14.4" customHeight="1" x14ac:dyDescent="0.3">
      <c r="B2" s="23" t="s">
        <v>0</v>
      </c>
      <c r="C2" s="23"/>
      <c r="D2" s="23"/>
      <c r="F2" s="23" t="s">
        <v>1</v>
      </c>
      <c r="G2" s="23"/>
      <c r="H2" s="23"/>
    </row>
    <row r="3" spans="2:8" ht="14.4" customHeight="1" x14ac:dyDescent="0.3">
      <c r="B3" s="23"/>
      <c r="C3" s="23"/>
      <c r="D3" s="23"/>
      <c r="F3" s="23"/>
      <c r="G3" s="23"/>
      <c r="H3" s="23"/>
    </row>
    <row r="5" spans="2:8" ht="29.25" customHeight="1" x14ac:dyDescent="0.3">
      <c r="B5" s="19" t="s">
        <v>37</v>
      </c>
      <c r="C5" s="20"/>
      <c r="D5" s="21"/>
      <c r="F5" s="19" t="s">
        <v>37</v>
      </c>
      <c r="G5" s="20"/>
      <c r="H5" s="21"/>
    </row>
    <row r="6" spans="2:8" x14ac:dyDescent="0.3">
      <c r="B6" s="15" t="s">
        <v>3</v>
      </c>
      <c r="C6" s="15" t="s">
        <v>4</v>
      </c>
      <c r="D6" s="15" t="s">
        <v>5</v>
      </c>
      <c r="F6" s="15" t="s">
        <v>3</v>
      </c>
      <c r="G6" s="15" t="s">
        <v>4</v>
      </c>
      <c r="H6" s="15" t="s">
        <v>5</v>
      </c>
    </row>
    <row r="7" spans="2:8" x14ac:dyDescent="0.3">
      <c r="B7" s="4" t="s">
        <v>38</v>
      </c>
      <c r="C7" s="4">
        <v>1</v>
      </c>
      <c r="D7" s="5">
        <f>C7/C12</f>
        <v>6.2893081761006293E-3</v>
      </c>
      <c r="F7" s="4" t="s">
        <v>38</v>
      </c>
      <c r="G7" s="4">
        <v>2</v>
      </c>
      <c r="H7" s="5">
        <f>G7/G12</f>
        <v>1.0810810810810811E-2</v>
      </c>
    </row>
    <row r="8" spans="2:8" x14ac:dyDescent="0.3">
      <c r="B8" s="4" t="s">
        <v>39</v>
      </c>
      <c r="C8" s="4">
        <v>0</v>
      </c>
      <c r="D8" s="5">
        <f>C8/C12</f>
        <v>0</v>
      </c>
      <c r="F8" s="4" t="s">
        <v>39</v>
      </c>
      <c r="G8" s="4">
        <v>0</v>
      </c>
      <c r="H8" s="5">
        <f>G8/G12</f>
        <v>0</v>
      </c>
    </row>
    <row r="9" spans="2:8" x14ac:dyDescent="0.3">
      <c r="B9" s="4" t="s">
        <v>40</v>
      </c>
      <c r="C9" s="4">
        <v>6</v>
      </c>
      <c r="D9" s="5">
        <f>C9/C12</f>
        <v>3.7735849056603772E-2</v>
      </c>
      <c r="F9" s="4" t="s">
        <v>40</v>
      </c>
      <c r="G9" s="4">
        <v>1</v>
      </c>
      <c r="H9" s="5">
        <f>G9/G12</f>
        <v>5.4054054054054057E-3</v>
      </c>
    </row>
    <row r="10" spans="2:8" x14ac:dyDescent="0.3">
      <c r="B10" s="4" t="s">
        <v>41</v>
      </c>
      <c r="C10" s="4">
        <v>77</v>
      </c>
      <c r="D10" s="5">
        <f>C10/C12</f>
        <v>0.48427672955974843</v>
      </c>
      <c r="F10" s="4" t="s">
        <v>41</v>
      </c>
      <c r="G10" s="4">
        <v>6</v>
      </c>
      <c r="H10" s="5">
        <f>G10/G12</f>
        <v>3.2432432432432434E-2</v>
      </c>
    </row>
    <row r="11" spans="2:8" x14ac:dyDescent="0.3">
      <c r="B11" s="4" t="s">
        <v>42</v>
      </c>
      <c r="C11" s="4">
        <v>75</v>
      </c>
      <c r="D11" s="5">
        <f>C11/C12</f>
        <v>0.47169811320754718</v>
      </c>
      <c r="F11" s="4" t="s">
        <v>42</v>
      </c>
      <c r="G11" s="4">
        <v>176</v>
      </c>
      <c r="H11" s="5">
        <f>G11/G12</f>
        <v>0.9513513513513514</v>
      </c>
    </row>
    <row r="12" spans="2:8" x14ac:dyDescent="0.3">
      <c r="B12" s="6" t="s">
        <v>28</v>
      </c>
      <c r="C12" s="6">
        <f>SUM(C7:C11)</f>
        <v>159</v>
      </c>
      <c r="D12" s="7">
        <f>SUM(D7:D11)</f>
        <v>1</v>
      </c>
      <c r="F12" s="6" t="s">
        <v>28</v>
      </c>
      <c r="G12" s="6">
        <f>SUM(G7:G11)</f>
        <v>185</v>
      </c>
      <c r="H12" s="7">
        <f>SUM(H7:H11)</f>
        <v>1</v>
      </c>
    </row>
    <row r="14" spans="2:8" x14ac:dyDescent="0.3">
      <c r="C14" t="s">
        <v>15</v>
      </c>
      <c r="G14" t="s">
        <v>15</v>
      </c>
    </row>
    <row r="15" spans="2:8" x14ac:dyDescent="0.3">
      <c r="B15" t="s">
        <v>18</v>
      </c>
      <c r="C15" s="8">
        <f>(C10+C11)/C12</f>
        <v>0.95597484276729561</v>
      </c>
      <c r="F15" t="s">
        <v>18</v>
      </c>
      <c r="G15" s="8">
        <f>(G10+G11)/G12</f>
        <v>0.98378378378378384</v>
      </c>
    </row>
    <row r="16" spans="2:8" x14ac:dyDescent="0.3">
      <c r="B16" t="s">
        <v>19</v>
      </c>
      <c r="C16" s="8">
        <f>(C7+C8+C9)/C12</f>
        <v>4.40251572327044E-2</v>
      </c>
      <c r="F16" t="s">
        <v>19</v>
      </c>
      <c r="G16" s="8">
        <f>(G7+G8+G9)/G12</f>
        <v>1.6216216216216217E-2</v>
      </c>
    </row>
    <row r="19" spans="2:4" ht="15.6" x14ac:dyDescent="0.3">
      <c r="C19" s="9" t="s">
        <v>18</v>
      </c>
      <c r="D19" s="9" t="s">
        <v>19</v>
      </c>
    </row>
    <row r="20" spans="2:4" ht="18" x14ac:dyDescent="0.35">
      <c r="B20" s="10" t="s">
        <v>0</v>
      </c>
      <c r="C20" s="11">
        <f>C15</f>
        <v>0.95597484276729561</v>
      </c>
      <c r="D20" s="11">
        <f>C16</f>
        <v>4.40251572327044E-2</v>
      </c>
    </row>
    <row r="21" spans="2:4" ht="18" x14ac:dyDescent="0.35">
      <c r="B21" s="10" t="s">
        <v>1</v>
      </c>
      <c r="C21" s="11">
        <f>G15</f>
        <v>0.98378378378378384</v>
      </c>
      <c r="D21" s="11">
        <f>G16</f>
        <v>1.6216216216216217E-2</v>
      </c>
    </row>
  </sheetData>
  <mergeCells count="4">
    <mergeCell ref="B2:D3"/>
    <mergeCell ref="F2:H3"/>
    <mergeCell ref="B5:D5"/>
    <mergeCell ref="F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ADMISION</vt:lpstr>
      <vt:lpstr>LABORATORIO</vt:lpstr>
      <vt:lpstr>CMF</vt:lpstr>
      <vt:lpstr>CDI</vt:lpstr>
      <vt:lpstr>SAP</vt:lpstr>
      <vt:lpstr>EMERGENCIA</vt:lpstr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2024-09-12T03:19:12Z</dcterms:modified>
</cp:coreProperties>
</file>