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MAYO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8" l="1"/>
  <c r="D17" i="2" l="1"/>
  <c r="D16" i="2"/>
  <c r="D15" i="2"/>
  <c r="D14" i="2"/>
  <c r="D9" i="2"/>
  <c r="D8" i="2"/>
  <c r="D7" i="2"/>
  <c r="K48" i="8" l="1"/>
  <c r="K47" i="8"/>
  <c r="G59" i="8"/>
  <c r="C64" i="8"/>
  <c r="C63" i="8"/>
  <c r="C51" i="8"/>
  <c r="K43" i="8"/>
  <c r="L41" i="8" s="1"/>
  <c r="K35" i="8"/>
  <c r="L34" i="8" s="1"/>
  <c r="G43" i="8"/>
  <c r="H40" i="8" s="1"/>
  <c r="G35" i="8"/>
  <c r="H34" i="8" s="1"/>
  <c r="C43" i="8"/>
  <c r="D40" i="8" s="1"/>
  <c r="D41" i="8"/>
  <c r="C35" i="8"/>
  <c r="D34" i="8" s="1"/>
  <c r="D33" i="8"/>
  <c r="D32" i="8"/>
  <c r="K27" i="8"/>
  <c r="L24" i="8" s="1"/>
  <c r="G27" i="8"/>
  <c r="H23" i="8" s="1"/>
  <c r="C27" i="8"/>
  <c r="C56" i="8" s="1"/>
  <c r="K19" i="8"/>
  <c r="K51" i="8" s="1"/>
  <c r="G19" i="8"/>
  <c r="G52" i="8" s="1"/>
  <c r="C19" i="8"/>
  <c r="D16" i="8" s="1"/>
  <c r="K11" i="8"/>
  <c r="L8" i="8" s="1"/>
  <c r="G11" i="8"/>
  <c r="H7" i="8" s="1"/>
  <c r="C11" i="8"/>
  <c r="C48" i="8" s="1"/>
  <c r="G63" i="8" l="1"/>
  <c r="G64" i="8"/>
  <c r="G60" i="8"/>
  <c r="G55" i="8"/>
  <c r="G56" i="8"/>
  <c r="G51" i="8"/>
  <c r="H16" i="8"/>
  <c r="G48" i="8"/>
  <c r="G47" i="8"/>
  <c r="C68" i="8" s="1"/>
  <c r="L42" i="8"/>
  <c r="L39" i="8"/>
  <c r="L43" i="8" s="1"/>
  <c r="K63" i="8"/>
  <c r="K64" i="8"/>
  <c r="L40" i="8"/>
  <c r="K60" i="8"/>
  <c r="K59" i="8"/>
  <c r="K55" i="8"/>
  <c r="K56" i="8"/>
  <c r="K52" i="8"/>
  <c r="C69" i="8"/>
  <c r="C59" i="8"/>
  <c r="D31" i="8"/>
  <c r="C60" i="8"/>
  <c r="C55" i="8"/>
  <c r="D15" i="8"/>
  <c r="L31" i="8"/>
  <c r="L23" i="8"/>
  <c r="L25" i="8"/>
  <c r="L9" i="8"/>
  <c r="H39" i="8"/>
  <c r="H41" i="8"/>
  <c r="H31" i="8"/>
  <c r="H24" i="8"/>
  <c r="H8" i="8"/>
  <c r="D39" i="8"/>
  <c r="D42" i="8"/>
  <c r="L32" i="8"/>
  <c r="L33" i="8"/>
  <c r="H32" i="8"/>
  <c r="H42" i="8"/>
  <c r="H43" i="8" s="1"/>
  <c r="H33" i="8"/>
  <c r="L17" i="8"/>
  <c r="H10" i="8"/>
  <c r="H18" i="8"/>
  <c r="D23" i="8"/>
  <c r="D25" i="8"/>
  <c r="L15" i="8"/>
  <c r="H26" i="8"/>
  <c r="D35" i="8"/>
  <c r="D9" i="8"/>
  <c r="D7" i="8"/>
  <c r="C47" i="8"/>
  <c r="C67" i="8" s="1"/>
  <c r="D8" i="8"/>
  <c r="H9" i="8"/>
  <c r="L10" i="8"/>
  <c r="H15" i="8"/>
  <c r="L16" i="8"/>
  <c r="D18" i="8"/>
  <c r="D24" i="8"/>
  <c r="H25" i="8"/>
  <c r="L26" i="8"/>
  <c r="C52" i="8"/>
  <c r="D67" i="8" s="1"/>
  <c r="D17" i="8"/>
  <c r="D10" i="8"/>
  <c r="H17" i="8"/>
  <c r="L18" i="8"/>
  <c r="D26" i="8"/>
  <c r="H35" i="8" l="1"/>
  <c r="H27" i="8"/>
  <c r="H11" i="8"/>
  <c r="L27" i="8"/>
  <c r="D43" i="8"/>
  <c r="L35" i="8"/>
  <c r="L19" i="8"/>
  <c r="D68" i="8"/>
  <c r="D19" i="8"/>
  <c r="D27" i="8"/>
  <c r="L11" i="8"/>
  <c r="D11" i="8"/>
  <c r="H19" i="8"/>
  <c r="D69" i="8"/>
  <c r="C10" i="3" l="1"/>
  <c r="D9" i="3" s="1"/>
  <c r="D8" i="3" l="1"/>
  <c r="D7" i="3"/>
  <c r="D10" i="3" s="1"/>
  <c r="K10" i="2"/>
  <c r="L7" i="2" s="1"/>
  <c r="L10" i="2" s="1"/>
  <c r="L9" i="2"/>
  <c r="L8" i="2"/>
  <c r="H16" i="2"/>
  <c r="H15" i="2"/>
  <c r="G17" i="2"/>
  <c r="H14" i="2" s="1"/>
  <c r="H17" i="2" s="1"/>
  <c r="G23" i="3" l="1"/>
  <c r="H22" i="3" l="1"/>
  <c r="H21" i="3"/>
  <c r="H23" i="3" s="1"/>
  <c r="C12" i="7"/>
  <c r="D8" i="7" l="1"/>
  <c r="D11" i="7"/>
  <c r="D7" i="7"/>
  <c r="D10" i="7"/>
  <c r="D9" i="7"/>
  <c r="C10" i="5"/>
  <c r="D12" i="7" l="1"/>
  <c r="C22" i="5"/>
  <c r="D9" i="5"/>
  <c r="D8" i="5"/>
  <c r="D7" i="5"/>
  <c r="G17" i="3"/>
  <c r="G10" i="3"/>
  <c r="C23" i="3"/>
  <c r="C17" i="3"/>
  <c r="C27" i="3"/>
  <c r="D10" i="5" l="1"/>
  <c r="G31" i="3"/>
  <c r="H16" i="3"/>
  <c r="H14" i="3"/>
  <c r="H15" i="3"/>
  <c r="G27" i="3"/>
  <c r="H7" i="3"/>
  <c r="H9" i="3"/>
  <c r="H8" i="3"/>
  <c r="C31" i="3"/>
  <c r="D16" i="3"/>
  <c r="D15" i="3"/>
  <c r="D14" i="3"/>
  <c r="D17" i="3" s="1"/>
  <c r="D21" i="3"/>
  <c r="D22" i="3"/>
  <c r="K17" i="2"/>
  <c r="K22" i="2"/>
  <c r="G10" i="2"/>
  <c r="C17" i="2"/>
  <c r="C10" i="2"/>
  <c r="H17" i="3" l="1"/>
  <c r="H10" i="3"/>
  <c r="L16" i="2"/>
  <c r="L15" i="2"/>
  <c r="L14" i="2"/>
  <c r="L17" i="2" s="1"/>
  <c r="G22" i="2"/>
  <c r="H8" i="2"/>
  <c r="H7" i="2"/>
  <c r="H9" i="2"/>
  <c r="C22" i="2"/>
  <c r="D10" i="2"/>
  <c r="D23" i="3"/>
  <c r="C21" i="2"/>
  <c r="C25" i="2" s="1"/>
  <c r="H10" i="2" l="1"/>
  <c r="K12" i="7"/>
  <c r="G12" i="7"/>
  <c r="L9" i="7" l="1"/>
  <c r="L7" i="7"/>
  <c r="L8" i="7"/>
  <c r="L11" i="7"/>
  <c r="L10" i="7"/>
  <c r="H10" i="7"/>
  <c r="H8" i="7"/>
  <c r="H11" i="7"/>
  <c r="H9" i="7"/>
  <c r="H7" i="7"/>
  <c r="G16" i="4"/>
  <c r="O12" i="4" l="1"/>
  <c r="H13" i="4"/>
  <c r="H15" i="4"/>
  <c r="H14" i="4"/>
  <c r="K16" i="7"/>
  <c r="K15" i="7"/>
  <c r="G16" i="7"/>
  <c r="G15" i="7"/>
  <c r="C16" i="7"/>
  <c r="C15" i="7"/>
  <c r="O11" i="4"/>
  <c r="G30" i="3"/>
  <c r="G26" i="3"/>
  <c r="C30" i="3"/>
  <c r="C26" i="3"/>
  <c r="K21" i="2"/>
  <c r="G21" i="2"/>
  <c r="H16" i="4" l="1"/>
  <c r="K27" i="6"/>
  <c r="K19" i="6"/>
  <c r="K11" i="6"/>
  <c r="G27" i="6"/>
  <c r="G19" i="6"/>
  <c r="G11" i="6"/>
  <c r="C27" i="6"/>
  <c r="C19" i="6"/>
  <c r="C11" i="6"/>
  <c r="D16" i="6" l="1"/>
  <c r="D15" i="6"/>
  <c r="D18" i="6"/>
  <c r="D17" i="6"/>
  <c r="D9" i="6"/>
  <c r="D8" i="6"/>
  <c r="D7" i="6"/>
  <c r="D10" i="6"/>
  <c r="L23" i="6"/>
  <c r="L25" i="6"/>
  <c r="L24" i="6"/>
  <c r="L26" i="6"/>
  <c r="L16" i="6"/>
  <c r="L15" i="6"/>
  <c r="L18" i="6"/>
  <c r="L17" i="6"/>
  <c r="L9" i="6"/>
  <c r="L7" i="6"/>
  <c r="L10" i="6"/>
  <c r="L8" i="6"/>
  <c r="H25" i="6"/>
  <c r="H24" i="6"/>
  <c r="H23" i="6"/>
  <c r="H26" i="6"/>
  <c r="H16" i="6"/>
  <c r="H15" i="6"/>
  <c r="H17" i="6"/>
  <c r="H18" i="6"/>
  <c r="H9" i="6"/>
  <c r="H7" i="6"/>
  <c r="H10" i="6"/>
  <c r="H8" i="6"/>
  <c r="D26" i="6"/>
  <c r="D25" i="6"/>
  <c r="D24" i="6"/>
  <c r="D23" i="6"/>
  <c r="K40" i="6"/>
  <c r="K39" i="6"/>
  <c r="K36" i="6"/>
  <c r="K35" i="6"/>
  <c r="K32" i="6"/>
  <c r="K31" i="6"/>
  <c r="G40" i="6"/>
  <c r="G39" i="6"/>
  <c r="G35" i="6"/>
  <c r="G36" i="6"/>
  <c r="G32" i="6"/>
  <c r="G31" i="6"/>
  <c r="C40" i="6"/>
  <c r="C39" i="6"/>
  <c r="C36" i="6"/>
  <c r="C35" i="6"/>
  <c r="C32" i="6"/>
  <c r="C31" i="6"/>
  <c r="K17" i="5"/>
  <c r="K10" i="5"/>
  <c r="G17" i="5"/>
  <c r="G10" i="5"/>
  <c r="C17" i="5"/>
  <c r="H27" i="6" l="1"/>
  <c r="D27" i="6"/>
  <c r="D19" i="6"/>
  <c r="D11" i="6"/>
  <c r="K26" i="5"/>
  <c r="L16" i="5"/>
  <c r="L14" i="5"/>
  <c r="L17" i="5" s="1"/>
  <c r="L15" i="5"/>
  <c r="K22" i="5"/>
  <c r="L8" i="5"/>
  <c r="L7" i="5"/>
  <c r="L9" i="5"/>
  <c r="G26" i="5"/>
  <c r="H15" i="5"/>
  <c r="H14" i="5"/>
  <c r="H16" i="5"/>
  <c r="G22" i="5"/>
  <c r="H8" i="5"/>
  <c r="H7" i="5"/>
  <c r="H9" i="5"/>
  <c r="C26" i="5"/>
  <c r="D16" i="5"/>
  <c r="D15" i="5"/>
  <c r="D14" i="5"/>
  <c r="D17" i="5" s="1"/>
  <c r="L27" i="6"/>
  <c r="L19" i="6"/>
  <c r="L11" i="6"/>
  <c r="H19" i="6"/>
  <c r="H11" i="6"/>
  <c r="K25" i="5"/>
  <c r="K21" i="5"/>
  <c r="G25" i="5"/>
  <c r="G21" i="5"/>
  <c r="C25" i="5"/>
  <c r="C21" i="5"/>
  <c r="G23" i="4"/>
  <c r="G9" i="4"/>
  <c r="C23" i="4"/>
  <c r="C16" i="4"/>
  <c r="C9" i="4"/>
  <c r="L10" i="5" l="1"/>
  <c r="H17" i="5"/>
  <c r="H10" i="5"/>
  <c r="O16" i="4"/>
  <c r="H22" i="4"/>
  <c r="H21" i="4"/>
  <c r="H20" i="4"/>
  <c r="H23" i="4" s="1"/>
  <c r="D22" i="4"/>
  <c r="K16" i="4"/>
  <c r="D21" i="4"/>
  <c r="K15" i="4"/>
  <c r="D20" i="4"/>
  <c r="D15" i="4"/>
  <c r="K12" i="4"/>
  <c r="D14" i="4"/>
  <c r="K11" i="4"/>
  <c r="D13" i="4"/>
  <c r="D16" i="4" s="1"/>
  <c r="K8" i="4"/>
  <c r="K7" i="4"/>
  <c r="D8" i="4"/>
  <c r="D7" i="4"/>
  <c r="D9" i="4" s="1"/>
  <c r="H8" i="4"/>
  <c r="H7" i="4"/>
  <c r="H9" i="4" s="1"/>
  <c r="O15" i="4"/>
  <c r="O8" i="4"/>
  <c r="O7" i="4"/>
  <c r="C21" i="7"/>
  <c r="D22" i="7"/>
  <c r="D21" i="7"/>
  <c r="D20" i="7"/>
  <c r="C22" i="7"/>
  <c r="C20" i="7"/>
  <c r="D47" i="6"/>
  <c r="D45" i="6"/>
  <c r="C46" i="6"/>
  <c r="D32" i="5"/>
  <c r="C34" i="5"/>
  <c r="C32" i="5"/>
  <c r="D36" i="3"/>
  <c r="D35" i="3"/>
  <c r="C36" i="3"/>
  <c r="C35" i="3"/>
  <c r="D27" i="2"/>
  <c r="D26" i="2"/>
  <c r="D25" i="2"/>
  <c r="C27" i="2"/>
  <c r="C26" i="2"/>
  <c r="K20" i="4" l="1"/>
  <c r="L20" i="4"/>
  <c r="K21" i="4"/>
  <c r="L21" i="4"/>
  <c r="C47" i="6"/>
  <c r="D46" i="6"/>
  <c r="C45" i="6"/>
  <c r="D34" i="5"/>
  <c r="D33" i="5"/>
  <c r="C33" i="5"/>
</calcChain>
</file>

<file path=xl/sharedStrings.xml><?xml version="1.0" encoding="utf-8"?>
<sst xmlns="http://schemas.openxmlformats.org/spreadsheetml/2006/main" count="625" uniqueCount="51">
  <si>
    <t>ALBORADA</t>
  </si>
  <si>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</si>
  <si>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</si>
  <si>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</si>
  <si>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</si>
  <si>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</si>
  <si>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</si>
  <si>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</si>
  <si>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</si>
  <si>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</si>
  <si>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</si>
  <si>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</si>
  <si>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</si>
  <si>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</si>
  <si>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</si>
  <si>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</si>
  <si>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</si>
  <si>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</si>
  <si>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</si>
  <si>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</si>
  <si>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</si>
  <si>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</si>
  <si>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</si>
  <si>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</si>
  <si>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</si>
  <si>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</si>
  <si>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</si>
  <si>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</si>
  <si>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</si>
  <si>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</si>
  <si>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</si>
  <si>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</si>
  <si>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</si>
  <si>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</si>
  <si>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</si>
  <si>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</si>
  <si>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</si>
  <si>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</si>
  <si>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</si>
  <si>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</si>
  <si>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</si>
  <si>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</si>
  <si>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</si>
  <si>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</si>
  <si>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</si>
  <si>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 xml:space="preserve"> 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</si>
  <si>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</si>
  <si>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</si>
  <si>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</si>
  <si>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</si>
  <si>
    <t>5. ¿Cómo calificaría la limpieza del servicio de la emergencia?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</si>
</sst>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2" fillId="0" borderId="0" xfId="0" applyFont="1" applyBorder="1"/>
    <xf numFmtId="9" fontId="2" fillId="0" borderId="0" xfId="0" applyNumberFormat="1" applyFont="1" applyBorder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ADMISION!$C$25:$C$27</c:f>
              <c:numCache>
                <c:formatCode>0%</c:formatCode>
                <c:ptCount val="3"/>
                <c:pt idx="0">
                  <c:v>0.98809523809523814</c:v>
                </c:pt>
                <c:pt idx="1">
                  <c:v>0.99180327868852458</c:v>
                </c:pt>
                <c:pt idx="2">
                  <c:v>0.98701298701298701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ADMISION!$D$25:$D$27</c:f>
              <c:numCache>
                <c:formatCode>0%</c:formatCode>
                <c:ptCount val="3"/>
                <c:pt idx="0">
                  <c:v>1.1904761904761904E-2</c:v>
                </c:pt>
                <c:pt idx="1">
                  <c:v>8.1967213114754103E-3</c:v>
                </c:pt>
                <c:pt idx="2">
                  <c:v>1.2987012987012988E-2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LABORATORIO!$C$34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LABORATORIO!$C$35:$C$36</c:f>
              <c:numCache>
                <c:formatCode>0%</c:formatCode>
                <c:ptCount val="2"/>
                <c:pt idx="0">
                  <c:v>0.99759615384615385</c:v>
                </c:pt>
                <c:pt idx="1">
                  <c:v>0.99851632047477745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LABORATORIO!$D$34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LABORATORIO!$D$35:$D$36</c:f>
              <c:numCache>
                <c:formatCode>0%</c:formatCode>
                <c:ptCount val="2"/>
                <c:pt idx="0">
                  <c:v>2.403846153846154E-3</c:v>
                </c:pt>
                <c:pt idx="1">
                  <c:v>1.483679525222552E-3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CMF!$K$19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CMF!$K$20:$K$21</c:f>
              <c:numCache>
                <c:formatCode>0%</c:formatCode>
                <c:ptCount val="2"/>
                <c:pt idx="0">
                  <c:v>1</c:v>
                </c:pt>
                <c:pt idx="1">
                  <c:v>0.99137931034482751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CMF!$L$19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CMF!$L$20:$L$21</c:f>
              <c:numCache>
                <c:formatCode>0%</c:formatCode>
                <c:ptCount val="2"/>
                <c:pt idx="0">
                  <c:v>0</c:v>
                </c:pt>
                <c:pt idx="1">
                  <c:v>8.6206896551724137E-3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CDI!$C$32:$C$34</c:f>
              <c:numCache>
                <c:formatCode>0%</c:formatCode>
                <c:ptCount val="3"/>
                <c:pt idx="0">
                  <c:v>1</c:v>
                </c:pt>
                <c:pt idx="1">
                  <c:v>0.99624060150375937</c:v>
                </c:pt>
                <c:pt idx="2">
                  <c:v>0.99751243781094523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CDI!$D$32:$D$34</c:f>
              <c:numCache>
                <c:formatCode>0%</c:formatCode>
                <c:ptCount val="3"/>
                <c:pt idx="0">
                  <c:v>0</c:v>
                </c:pt>
                <c:pt idx="1">
                  <c:v>3.7593984962406013E-3</c:v>
                </c:pt>
                <c:pt idx="2">
                  <c:v>2.4875621890547263E-3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SAP!$C$45:$C$47</c:f>
              <c:numCache>
                <c:formatCode>0%</c:formatCode>
                <c:ptCount val="3"/>
                <c:pt idx="0">
                  <c:v>0.88311688311688308</c:v>
                </c:pt>
                <c:pt idx="1">
                  <c:v>0.83462532299741599</c:v>
                </c:pt>
                <c:pt idx="2">
                  <c:v>0.77173913043478259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SAP!$D$45:$D$47</c:f>
              <c:numCache>
                <c:formatCode>0%</c:formatCode>
                <c:ptCount val="3"/>
                <c:pt idx="0">
                  <c:v>0.11688311688311688</c:v>
                </c:pt>
                <c:pt idx="1">
                  <c:v>0.16537467700258399</c:v>
                </c:pt>
                <c:pt idx="2">
                  <c:v>0.22826086956521738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EMERGENCIA!$C$66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EMERGENCIA!$C$67:$C$69</c:f>
              <c:numCache>
                <c:formatCode>0%</c:formatCode>
                <c:ptCount val="3"/>
                <c:pt idx="0">
                  <c:v>0.99674796747967476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EMERGENCIA!$D$66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EMERGENCIA!$D$67:$D$69</c:f>
              <c:numCache>
                <c:formatCode>0%</c:formatCode>
                <c:ptCount val="3"/>
                <c:pt idx="0">
                  <c:v>2.7100271002710031E-3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CAJA!$C$20:$C$22</c:f>
              <c:numCache>
                <c:formatCode>0%</c:formatCode>
                <c:ptCount val="3"/>
                <c:pt idx="0">
                  <c:v>0.98666666666666669</c:v>
                </c:pt>
                <c:pt idx="1">
                  <c:v>0.952755905511811</c:v>
                </c:pt>
                <c:pt idx="2">
                  <c:v>0.98324022346368711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CAJA!$D$20:$D$22</c:f>
              <c:numCache>
                <c:formatCode>0%</c:formatCode>
                <c:ptCount val="3"/>
                <c:pt idx="0">
                  <c:v>1.3333333333333334E-2</c:v>
                </c:pt>
                <c:pt idx="1">
                  <c:v>4.7244094488188976E-2</c:v>
                </c:pt>
                <c:pt idx="2">
                  <c:v>1.6759776536312849E-2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183694</xdr:colOff>
      <xdr:row>25</xdr:row>
      <xdr:rowOff>2721</xdr:rowOff>
    </xdr:from>
    <xdr:to>
      <xdr:col>10</xdr:col>
      <xdr:colOff>476250</xdr:colOff>
      <xdr:row>48</xdr:row>
      <xdr:rowOff>122465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306160</xdr:colOff>
      <xdr:row>34</xdr:row>
      <xdr:rowOff>152399</xdr:rowOff>
    </xdr:from>
    <xdr:to>
      <xdr:col>9</xdr:col>
      <xdr:colOff>734786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14</xdr:col>
      <xdr:colOff>659948</xdr:colOff>
      <xdr:row>43</xdr:row>
      <xdr:rowOff>92530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31</xdr:row>
      <xdr:rowOff>179613</xdr:rowOff>
    </xdr:from>
    <xdr:to>
      <xdr:col>10</xdr:col>
      <xdr:colOff>612321</xdr:colOff>
      <xdr:row>55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43</xdr:row>
      <xdr:rowOff>2721</xdr:rowOff>
    </xdr:from>
    <xdr:to>
      <xdr:col>11</xdr:col>
      <xdr:colOff>54428</xdr:colOff>
      <xdr:row>67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65</xdr:row>
      <xdr:rowOff>2721</xdr:rowOff>
    </xdr:from>
    <xdr:to>
      <xdr:col>11</xdr:col>
      <xdr:colOff>54428</xdr:colOff>
      <xdr:row>89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319766</xdr:colOff>
      <xdr:row>18</xdr:row>
      <xdr:rowOff>2720</xdr:rowOff>
    </xdr:from>
    <xdr:to>
      <xdr:col>10</xdr:col>
      <xdr:colOff>1251856</xdr:colOff>
      <xdr:row>38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zoomScale="70" zoomScaleNormal="70" workbookViewId="0">
      <selection activeCell="K14" sqref="K14:K16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4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  <c r="I2" s="1"/>
      <c r="J2" s="23" t="s">
        <v>2</v>
      </c>
      <c r="K2" s="23"/>
      <c r="L2" s="23"/>
      <c r="M2" s="1"/>
      <c r="N2" s="1"/>
    </row>
    <row r="3" spans="2:14" ht="15" customHeight="1" x14ac:dyDescent="0.6">
      <c r="B3" s="23"/>
      <c r="C3" s="23"/>
      <c r="D3" s="23"/>
      <c r="E3" s="1"/>
      <c r="F3" s="23"/>
      <c r="G3" s="23"/>
      <c r="H3" s="23"/>
      <c r="I3" s="1"/>
      <c r="J3" s="23"/>
      <c r="K3" s="23"/>
      <c r="L3" s="23"/>
      <c r="M3" s="1"/>
      <c r="N3" s="1"/>
    </row>
    <row r="5" spans="2:14" ht="30.75" customHeight="1" x14ac:dyDescent="0.3">
      <c r="B5" s="19" t="s">
        <v>3</v>
      </c>
      <c r="C5" s="19"/>
      <c r="D5" s="19"/>
      <c r="E5" s="2"/>
      <c r="F5" s="19" t="s">
        <v>3</v>
      </c>
      <c r="G5" s="19"/>
      <c r="H5" s="19"/>
      <c r="I5" s="2"/>
      <c r="J5" s="19" t="s">
        <v>3</v>
      </c>
      <c r="K5" s="19"/>
      <c r="L5" s="19"/>
      <c r="M5" s="2"/>
      <c r="N5" s="2"/>
    </row>
    <row r="6" spans="2:14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  <c r="J6" s="3" t="s">
        <v>4</v>
      </c>
      <c r="K6" s="3" t="s">
        <v>5</v>
      </c>
      <c r="L6" s="3" t="s">
        <v>6</v>
      </c>
    </row>
    <row r="7" spans="2:14" x14ac:dyDescent="0.3">
      <c r="B7" s="4" t="s">
        <v>7</v>
      </c>
      <c r="C7" s="4">
        <v>158</v>
      </c>
      <c r="D7" s="5">
        <f>C7/C10</f>
        <v>0.94047619047619047</v>
      </c>
      <c r="F7" s="4" t="s">
        <v>7</v>
      </c>
      <c r="G7" s="4">
        <v>112</v>
      </c>
      <c r="H7" s="5">
        <f>G7/G10</f>
        <v>0.91803278688524592</v>
      </c>
      <c r="J7" s="4" t="s">
        <v>7</v>
      </c>
      <c r="K7" s="4">
        <v>69</v>
      </c>
      <c r="L7" s="5">
        <f>K7/K10</f>
        <v>0.89610389610389607</v>
      </c>
    </row>
    <row r="8" spans="2:14" x14ac:dyDescent="0.3">
      <c r="B8" s="4" t="s">
        <v>8</v>
      </c>
      <c r="C8" s="4">
        <v>8</v>
      </c>
      <c r="D8" s="5">
        <f>C8/C10</f>
        <v>4.7619047619047616E-2</v>
      </c>
      <c r="F8" s="4" t="s">
        <v>8</v>
      </c>
      <c r="G8" s="4">
        <v>9</v>
      </c>
      <c r="H8" s="5">
        <f>G8/G10</f>
        <v>7.3770491803278687E-2</v>
      </c>
      <c r="J8" s="4" t="s">
        <v>8</v>
      </c>
      <c r="K8" s="4">
        <v>7</v>
      </c>
      <c r="L8" s="5">
        <f>K8/K10</f>
        <v>9.0909090909090912E-2</v>
      </c>
    </row>
    <row r="9" spans="2:14" x14ac:dyDescent="0.3">
      <c r="B9" s="4" t="s">
        <v>9</v>
      </c>
      <c r="C9" s="4">
        <v>2</v>
      </c>
      <c r="D9" s="5">
        <f>C9/C10</f>
        <v>1.1904761904761904E-2</v>
      </c>
      <c r="F9" s="4" t="s">
        <v>9</v>
      </c>
      <c r="G9" s="4">
        <v>1</v>
      </c>
      <c r="H9" s="5">
        <f>G9/G10</f>
        <v>8.1967213114754103E-3</v>
      </c>
      <c r="J9" s="4" t="s">
        <v>9</v>
      </c>
      <c r="K9" s="4">
        <v>1</v>
      </c>
      <c r="L9" s="5">
        <f>K9/K10</f>
        <v>1.2987012987012988E-2</v>
      </c>
    </row>
    <row r="10" spans="2:14" x14ac:dyDescent="0.3">
      <c r="B10" s="6" t="s">
        <v>11</v>
      </c>
      <c r="C10" s="6">
        <f>SUM(C7:C9)</f>
        <v>168</v>
      </c>
      <c r="D10" s="7">
        <f>SUM(D7:D9)</f>
        <v>1</v>
      </c>
      <c r="F10" s="6" t="s">
        <v>11</v>
      </c>
      <c r="G10" s="6">
        <f>SUM(G7:G9)</f>
        <v>122</v>
      </c>
      <c r="H10" s="7">
        <f>SUM(H7:H9)</f>
        <v>1</v>
      </c>
      <c r="J10" s="6" t="s">
        <v>11</v>
      </c>
      <c r="K10" s="6">
        <f>SUM(K7:K9)</f>
        <v>77</v>
      </c>
      <c r="L10" s="7">
        <f>SUM(L7:L9)</f>
        <v>1</v>
      </c>
    </row>
    <row r="12" spans="2:14" x14ac:dyDescent="0.3">
      <c r="B12" s="19" t="s">
        <v>12</v>
      </c>
      <c r="C12" s="19"/>
      <c r="D12" s="19"/>
      <c r="F12" s="20" t="s">
        <v>12</v>
      </c>
      <c r="G12" s="21"/>
      <c r="H12" s="22"/>
      <c r="J12" s="19" t="s">
        <v>12</v>
      </c>
      <c r="K12" s="19"/>
      <c r="L12" s="19"/>
    </row>
    <row r="13" spans="2:14" ht="33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3" t="s">
        <v>4</v>
      </c>
      <c r="K13" s="3" t="s">
        <v>5</v>
      </c>
      <c r="L13" s="3" t="s">
        <v>6</v>
      </c>
      <c r="M13" s="2"/>
      <c r="N13" s="2"/>
    </row>
    <row r="14" spans="2:14" ht="15" customHeight="1" x14ac:dyDescent="0.3">
      <c r="B14" s="4" t="s">
        <v>13</v>
      </c>
      <c r="C14" s="4">
        <v>136</v>
      </c>
      <c r="D14" s="5">
        <f>C14/C17</f>
        <v>0.83435582822085885</v>
      </c>
      <c r="F14" s="4" t="s">
        <v>13</v>
      </c>
      <c r="G14" s="4">
        <v>108</v>
      </c>
      <c r="H14" s="5">
        <f>G14/G17</f>
        <v>0.9152542372881356</v>
      </c>
      <c r="J14" s="4" t="s">
        <v>13</v>
      </c>
      <c r="K14" s="4">
        <v>67</v>
      </c>
      <c r="L14" s="5">
        <f>K14/K17</f>
        <v>0.89333333333333331</v>
      </c>
    </row>
    <row r="15" spans="2:14" x14ac:dyDescent="0.3">
      <c r="B15" s="4" t="s">
        <v>14</v>
      </c>
      <c r="C15" s="4">
        <v>15</v>
      </c>
      <c r="D15" s="5">
        <f>C15/C17</f>
        <v>9.202453987730061E-2</v>
      </c>
      <c r="F15" s="4" t="s">
        <v>14</v>
      </c>
      <c r="G15" s="4">
        <v>8</v>
      </c>
      <c r="H15" s="5">
        <f>G15/G17</f>
        <v>6.7796610169491525E-2</v>
      </c>
      <c r="J15" s="4" t="s">
        <v>14</v>
      </c>
      <c r="K15" s="4">
        <v>6</v>
      </c>
      <c r="L15" s="5">
        <f>K15/K17</f>
        <v>0.08</v>
      </c>
    </row>
    <row r="16" spans="2:14" x14ac:dyDescent="0.3">
      <c r="B16" s="4" t="s">
        <v>15</v>
      </c>
      <c r="C16" s="4">
        <v>12</v>
      </c>
      <c r="D16" s="5">
        <f>C16/C17</f>
        <v>7.3619631901840496E-2</v>
      </c>
      <c r="F16" s="4" t="s">
        <v>15</v>
      </c>
      <c r="G16" s="4">
        <v>2</v>
      </c>
      <c r="H16" s="5">
        <f>G16/G17</f>
        <v>1.6949152542372881E-2</v>
      </c>
      <c r="J16" s="4" t="s">
        <v>15</v>
      </c>
      <c r="K16" s="4">
        <v>2</v>
      </c>
      <c r="L16" s="5">
        <f>K16/K17</f>
        <v>2.6666666666666668E-2</v>
      </c>
    </row>
    <row r="17" spans="2:12" x14ac:dyDescent="0.3">
      <c r="B17" s="6" t="s">
        <v>11</v>
      </c>
      <c r="C17" s="6">
        <f>SUM(C14:C16)</f>
        <v>163</v>
      </c>
      <c r="D17" s="7">
        <f>SUM(D14:D16)</f>
        <v>1</v>
      </c>
      <c r="F17" s="6" t="s">
        <v>11</v>
      </c>
      <c r="G17" s="6">
        <f>SUM(G14:G16)</f>
        <v>118</v>
      </c>
      <c r="H17" s="7">
        <f>SUM(H14:H16)</f>
        <v>1</v>
      </c>
      <c r="J17" s="6" t="s">
        <v>11</v>
      </c>
      <c r="K17" s="6">
        <f>SUM(K14:K16)</f>
        <v>75</v>
      </c>
      <c r="L17" s="7">
        <f>SUM(L14:L16)</f>
        <v>0.99999999999999989</v>
      </c>
    </row>
    <row r="18" spans="2:12" x14ac:dyDescent="0.3">
      <c r="D18" t="s">
        <v>45</v>
      </c>
    </row>
    <row r="20" spans="2:12" x14ac:dyDescent="0.3">
      <c r="C20" t="s">
        <v>16</v>
      </c>
      <c r="G20" t="s">
        <v>17</v>
      </c>
      <c r="K20" t="s">
        <v>18</v>
      </c>
    </row>
    <row r="21" spans="2:12" x14ac:dyDescent="0.3">
      <c r="B21" t="s">
        <v>19</v>
      </c>
      <c r="C21" s="8">
        <f>(C7+C8)/C10</f>
        <v>0.98809523809523814</v>
      </c>
      <c r="F21" t="s">
        <v>19</v>
      </c>
      <c r="G21" s="8">
        <f>(G7+G8)/G10</f>
        <v>0.99180327868852458</v>
      </c>
      <c r="J21" t="s">
        <v>19</v>
      </c>
      <c r="K21" s="8">
        <f>(K7+K8)/K10</f>
        <v>0.98701298701298701</v>
      </c>
    </row>
    <row r="22" spans="2:12" x14ac:dyDescent="0.3">
      <c r="B22" t="s">
        <v>20</v>
      </c>
      <c r="C22" s="8">
        <f>(C9)/C10</f>
        <v>1.1904761904761904E-2</v>
      </c>
      <c r="F22" t="s">
        <v>20</v>
      </c>
      <c r="G22" s="8">
        <f>(G9)/G10</f>
        <v>8.1967213114754103E-3</v>
      </c>
      <c r="J22" t="s">
        <v>20</v>
      </c>
      <c r="K22" s="8">
        <f>(K9)/K10</f>
        <v>1.2987012987012988E-2</v>
      </c>
    </row>
    <row r="24" spans="2:12" ht="15.6" x14ac:dyDescent="0.3">
      <c r="C24" s="9" t="s">
        <v>19</v>
      </c>
      <c r="D24" s="9" t="s">
        <v>20</v>
      </c>
    </row>
    <row r="25" spans="2:12" ht="18" x14ac:dyDescent="0.35">
      <c r="B25" s="10" t="s">
        <v>0</v>
      </c>
      <c r="C25" s="11">
        <f>(C21)</f>
        <v>0.98809523809523814</v>
      </c>
      <c r="D25" s="11">
        <f>(C22)</f>
        <v>1.1904761904761904E-2</v>
      </c>
      <c r="G25" s="12"/>
      <c r="K25" s="12"/>
    </row>
    <row r="26" spans="2:12" ht="18" x14ac:dyDescent="0.35">
      <c r="B26" s="10" t="s">
        <v>1</v>
      </c>
      <c r="C26" s="11">
        <f>(G21)</f>
        <v>0.99180327868852458</v>
      </c>
      <c r="D26" s="11">
        <f>(G22)</f>
        <v>8.1967213114754103E-3</v>
      </c>
      <c r="F26" s="13"/>
      <c r="J26" s="13"/>
    </row>
    <row r="27" spans="2:12" ht="18" x14ac:dyDescent="0.35">
      <c r="B27" s="10" t="s">
        <v>2</v>
      </c>
      <c r="C27" s="11">
        <f>(K21)</f>
        <v>0.98701298701298701</v>
      </c>
      <c r="D27" s="11">
        <f>(K22)</f>
        <v>1.2987012987012988E-2</v>
      </c>
      <c r="F27" s="13"/>
      <c r="J27" s="13"/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70" zoomScaleNormal="70" workbookViewId="0">
      <selection activeCell="I28" sqref="I28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18" customWidth="1"/>
    <col min="8" max="8" width="23.88671875" customWidth="1"/>
    <col min="9" max="9" width="12.6640625" customWidth="1"/>
  </cols>
  <sheetData>
    <row r="2" spans="2:10" ht="15" customHeight="1" x14ac:dyDescent="0.6">
      <c r="B2" s="23" t="s">
        <v>0</v>
      </c>
      <c r="C2" s="23"/>
      <c r="D2" s="23"/>
      <c r="E2" s="1"/>
      <c r="F2" s="23" t="s">
        <v>2</v>
      </c>
      <c r="G2" s="23"/>
      <c r="H2" s="23"/>
      <c r="I2" s="1"/>
      <c r="J2" s="1"/>
    </row>
    <row r="3" spans="2:10" ht="15" customHeight="1" x14ac:dyDescent="0.6">
      <c r="B3" s="23"/>
      <c r="C3" s="23"/>
      <c r="D3" s="23"/>
      <c r="E3" s="1"/>
      <c r="F3" s="23"/>
      <c r="G3" s="23"/>
      <c r="H3" s="23"/>
      <c r="I3" s="1"/>
      <c r="J3" s="1"/>
    </row>
    <row r="5" spans="2:10" ht="45" customHeight="1" x14ac:dyDescent="0.3">
      <c r="B5" s="20" t="s">
        <v>21</v>
      </c>
      <c r="C5" s="21"/>
      <c r="D5" s="22"/>
      <c r="E5" s="2"/>
      <c r="F5" s="19" t="s">
        <v>21</v>
      </c>
      <c r="G5" s="19"/>
      <c r="H5" s="19"/>
      <c r="I5" s="2"/>
      <c r="J5" s="2"/>
    </row>
    <row r="6" spans="2:10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</row>
    <row r="7" spans="2:10" x14ac:dyDescent="0.3">
      <c r="B7" s="4" t="s">
        <v>7</v>
      </c>
      <c r="C7" s="4">
        <v>200</v>
      </c>
      <c r="D7" s="5">
        <f>C7/C10</f>
        <v>0.96153846153846156</v>
      </c>
      <c r="F7" s="4" t="s">
        <v>7</v>
      </c>
      <c r="G7" s="4">
        <v>335</v>
      </c>
      <c r="H7" s="5">
        <f>G7/G10</f>
        <v>0.99406528189910981</v>
      </c>
    </row>
    <row r="8" spans="2:10" x14ac:dyDescent="0.3">
      <c r="B8" s="4" t="s">
        <v>8</v>
      </c>
      <c r="C8" s="4">
        <v>7</v>
      </c>
      <c r="D8" s="5">
        <f>C8/C10</f>
        <v>3.3653846153846152E-2</v>
      </c>
      <c r="F8" s="4" t="s">
        <v>8</v>
      </c>
      <c r="G8" s="4">
        <v>1</v>
      </c>
      <c r="H8" s="5">
        <f>G8/G10</f>
        <v>2.967359050445104E-3</v>
      </c>
    </row>
    <row r="9" spans="2:10" x14ac:dyDescent="0.3">
      <c r="B9" s="4" t="s">
        <v>9</v>
      </c>
      <c r="C9" s="4">
        <v>1</v>
      </c>
      <c r="D9" s="5">
        <f>C9/C10</f>
        <v>4.807692307692308E-3</v>
      </c>
      <c r="F9" s="4" t="s">
        <v>9</v>
      </c>
      <c r="G9" s="4">
        <v>1</v>
      </c>
      <c r="H9" s="5">
        <f>G9/G10</f>
        <v>2.967359050445104E-3</v>
      </c>
    </row>
    <row r="10" spans="2:10" x14ac:dyDescent="0.3">
      <c r="B10" s="6" t="s">
        <v>11</v>
      </c>
      <c r="C10" s="6">
        <f>SUM(C7:C9)</f>
        <v>208</v>
      </c>
      <c r="D10" s="7">
        <f>SUM(D7:D9)</f>
        <v>1</v>
      </c>
      <c r="F10" s="6" t="s">
        <v>11</v>
      </c>
      <c r="G10" s="6">
        <f>SUM(G7:G9)</f>
        <v>337</v>
      </c>
      <c r="H10" s="7">
        <f>SUM(H7:H9)</f>
        <v>1</v>
      </c>
    </row>
    <row r="12" spans="2:10" x14ac:dyDescent="0.3">
      <c r="B12" s="19" t="s">
        <v>22</v>
      </c>
      <c r="C12" s="19"/>
      <c r="D12" s="19"/>
      <c r="F12" s="19" t="s">
        <v>22</v>
      </c>
      <c r="G12" s="19"/>
      <c r="H12" s="19"/>
    </row>
    <row r="13" spans="2:10" ht="31.5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2"/>
    </row>
    <row r="14" spans="2:10" x14ac:dyDescent="0.3">
      <c r="B14" s="4" t="s">
        <v>7</v>
      </c>
      <c r="C14" s="4">
        <v>194</v>
      </c>
      <c r="D14" s="5">
        <f>C14/C17</f>
        <v>0.98477157360406087</v>
      </c>
      <c r="F14" s="4" t="s">
        <v>7</v>
      </c>
      <c r="G14" s="4">
        <v>268</v>
      </c>
      <c r="H14" s="5">
        <f>G14/G17</f>
        <v>1</v>
      </c>
    </row>
    <row r="15" spans="2:10" x14ac:dyDescent="0.3">
      <c r="B15" s="4" t="s">
        <v>8</v>
      </c>
      <c r="C15" s="4">
        <v>3</v>
      </c>
      <c r="D15" s="5">
        <f>C15/C17</f>
        <v>1.5228426395939087E-2</v>
      </c>
      <c r="F15" s="4" t="s">
        <v>8</v>
      </c>
      <c r="G15" s="4">
        <v>0</v>
      </c>
      <c r="H15" s="5">
        <f>G15/G17</f>
        <v>0</v>
      </c>
    </row>
    <row r="16" spans="2:10" x14ac:dyDescent="0.3">
      <c r="B16" s="4" t="s">
        <v>9</v>
      </c>
      <c r="C16" s="4">
        <v>0</v>
      </c>
      <c r="D16" s="5">
        <f>C16/C17</f>
        <v>0</v>
      </c>
      <c r="F16" s="4" t="s">
        <v>9</v>
      </c>
      <c r="G16" s="4">
        <v>0</v>
      </c>
      <c r="H16" s="5">
        <f>G16/G17</f>
        <v>0</v>
      </c>
    </row>
    <row r="17" spans="2:10" x14ac:dyDescent="0.3">
      <c r="B17" s="6" t="s">
        <v>11</v>
      </c>
      <c r="C17" s="6">
        <f>SUM(C14:C16)</f>
        <v>197</v>
      </c>
      <c r="D17" s="7">
        <f>SUM(D14:D16)</f>
        <v>1</v>
      </c>
      <c r="F17" s="6" t="s">
        <v>11</v>
      </c>
      <c r="G17" s="6">
        <f>SUM(G14:G16)</f>
        <v>268</v>
      </c>
      <c r="H17" s="7">
        <f>SUM(H14:H16)</f>
        <v>1</v>
      </c>
    </row>
    <row r="19" spans="2:10" x14ac:dyDescent="0.3">
      <c r="B19" s="19" t="s">
        <v>23</v>
      </c>
      <c r="C19" s="19"/>
      <c r="D19" s="19"/>
      <c r="F19" s="19" t="s">
        <v>23</v>
      </c>
      <c r="G19" s="19"/>
      <c r="H19" s="19"/>
    </row>
    <row r="20" spans="2:10" x14ac:dyDescent="0.3">
      <c r="B20" s="3" t="s">
        <v>4</v>
      </c>
      <c r="C20" s="3" t="s">
        <v>5</v>
      </c>
      <c r="D20" s="3" t="s">
        <v>6</v>
      </c>
      <c r="F20" s="3" t="s">
        <v>4</v>
      </c>
      <c r="G20" s="3" t="s">
        <v>5</v>
      </c>
      <c r="H20" s="3" t="s">
        <v>6</v>
      </c>
    </row>
    <row r="21" spans="2:10" ht="30.75" customHeight="1" x14ac:dyDescent="0.3">
      <c r="B21" s="4" t="s">
        <v>24</v>
      </c>
      <c r="C21" s="4">
        <v>207</v>
      </c>
      <c r="D21" s="5">
        <f>C21/C23</f>
        <v>0.99519230769230771</v>
      </c>
      <c r="E21" s="2"/>
      <c r="F21" s="4" t="s">
        <v>24</v>
      </c>
      <c r="G21" s="4">
        <v>337</v>
      </c>
      <c r="H21" s="5">
        <f>G21/G23</f>
        <v>1</v>
      </c>
      <c r="I21" s="2"/>
      <c r="J21" s="2"/>
    </row>
    <row r="22" spans="2:10" x14ac:dyDescent="0.3">
      <c r="B22" s="4" t="s">
        <v>25</v>
      </c>
      <c r="C22" s="4">
        <v>1</v>
      </c>
      <c r="D22" s="5">
        <f>C22/C23</f>
        <v>4.807692307692308E-3</v>
      </c>
      <c r="F22" s="4" t="s">
        <v>25</v>
      </c>
      <c r="G22" s="4">
        <v>0</v>
      </c>
      <c r="H22" s="5">
        <f>G22/G23</f>
        <v>0</v>
      </c>
    </row>
    <row r="23" spans="2:10" x14ac:dyDescent="0.3">
      <c r="B23" s="6" t="s">
        <v>11</v>
      </c>
      <c r="C23" s="6">
        <f>SUM(C21:C22)</f>
        <v>208</v>
      </c>
      <c r="D23" s="7">
        <f>SUM(D21:D22)</f>
        <v>1</v>
      </c>
      <c r="F23" s="6" t="s">
        <v>11</v>
      </c>
      <c r="G23" s="6">
        <f>SUM(G21:G22)</f>
        <v>337</v>
      </c>
      <c r="H23" s="7">
        <f>SUM(H21:H22)</f>
        <v>1</v>
      </c>
    </row>
    <row r="25" spans="2:10" x14ac:dyDescent="0.3">
      <c r="C25" t="s">
        <v>16</v>
      </c>
      <c r="G25" t="s">
        <v>16</v>
      </c>
    </row>
    <row r="26" spans="2:10" x14ac:dyDescent="0.3">
      <c r="B26" t="s">
        <v>19</v>
      </c>
      <c r="C26" s="8">
        <f>(C7+C8)/C10</f>
        <v>0.99519230769230771</v>
      </c>
      <c r="F26" t="s">
        <v>19</v>
      </c>
      <c r="G26" s="8">
        <f>(G7+G8)/G10</f>
        <v>0.9970326409495549</v>
      </c>
    </row>
    <row r="27" spans="2:10" x14ac:dyDescent="0.3">
      <c r="B27" t="s">
        <v>20</v>
      </c>
      <c r="C27" s="8">
        <f>(C9)/C10</f>
        <v>4.807692307692308E-3</v>
      </c>
      <c r="F27" t="s">
        <v>20</v>
      </c>
      <c r="G27" s="8">
        <f>(G9)/G10</f>
        <v>2.967359050445104E-3</v>
      </c>
    </row>
    <row r="29" spans="2:10" x14ac:dyDescent="0.3">
      <c r="C29" t="s">
        <v>17</v>
      </c>
      <c r="G29" t="s">
        <v>17</v>
      </c>
    </row>
    <row r="30" spans="2:10" x14ac:dyDescent="0.3">
      <c r="B30" t="s">
        <v>19</v>
      </c>
      <c r="C30" s="8">
        <f>(C14+C15)/C17</f>
        <v>1</v>
      </c>
      <c r="F30" t="s">
        <v>19</v>
      </c>
      <c r="G30" s="8">
        <f>(G14+G15)/G17</f>
        <v>1</v>
      </c>
    </row>
    <row r="31" spans="2:10" x14ac:dyDescent="0.3">
      <c r="B31" t="s">
        <v>20</v>
      </c>
      <c r="C31" s="8">
        <f>(C16)/C17</f>
        <v>0</v>
      </c>
      <c r="F31" t="s">
        <v>20</v>
      </c>
      <c r="G31" s="8">
        <f>(G16)/G17</f>
        <v>0</v>
      </c>
    </row>
    <row r="34" spans="2:7" ht="15.6" x14ac:dyDescent="0.3">
      <c r="C34" s="9" t="s">
        <v>19</v>
      </c>
      <c r="D34" s="9" t="s">
        <v>20</v>
      </c>
    </row>
    <row r="35" spans="2:7" ht="18" x14ac:dyDescent="0.35">
      <c r="B35" s="10" t="s">
        <v>0</v>
      </c>
      <c r="C35" s="11">
        <f>(C26+C30)/2</f>
        <v>0.99759615384615385</v>
      </c>
      <c r="D35" s="11">
        <f>(C27+C31)/2</f>
        <v>2.403846153846154E-3</v>
      </c>
      <c r="G35" s="12"/>
    </row>
    <row r="36" spans="2:7" ht="18" x14ac:dyDescent="0.35">
      <c r="B36" s="10" t="s">
        <v>2</v>
      </c>
      <c r="C36" s="11">
        <f>(G26+G30)/2</f>
        <v>0.99851632047477745</v>
      </c>
      <c r="D36" s="11">
        <f>(G27+G31)/2</f>
        <v>1.483679525222552E-3</v>
      </c>
      <c r="F36" s="13"/>
    </row>
  </sheetData>
  <mergeCells count="8">
    <mergeCell ref="B19:D19"/>
    <mergeCell ref="F19:H19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zoomScale="70" zoomScaleNormal="70" workbookViewId="0">
      <selection activeCell="G20" sqref="G20:G22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15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</row>
    <row r="3" spans="2:15" ht="15" customHeight="1" x14ac:dyDescent="0.6">
      <c r="B3" s="23"/>
      <c r="C3" s="23"/>
      <c r="D3" s="23"/>
      <c r="E3" s="1"/>
      <c r="F3" s="23"/>
      <c r="G3" s="23"/>
      <c r="H3" s="23"/>
    </row>
    <row r="4" spans="2:15" ht="15" customHeight="1" x14ac:dyDescent="0.6">
      <c r="B4" s="14"/>
      <c r="C4" s="14"/>
      <c r="D4" s="14"/>
      <c r="E4" s="1"/>
      <c r="F4" s="14"/>
      <c r="G4" s="14"/>
      <c r="H4" s="14"/>
    </row>
    <row r="5" spans="2:15" ht="30.75" customHeight="1" x14ac:dyDescent="0.3">
      <c r="B5" s="20" t="s">
        <v>26</v>
      </c>
      <c r="C5" s="21"/>
      <c r="D5" s="22"/>
      <c r="E5" s="2"/>
      <c r="F5" s="20" t="s">
        <v>26</v>
      </c>
      <c r="G5" s="21"/>
      <c r="H5" s="22"/>
    </row>
    <row r="6" spans="2:15" ht="15" customHeight="1" x14ac:dyDescent="0.3">
      <c r="B6" s="3" t="s">
        <v>4</v>
      </c>
      <c r="C6" s="3" t="s">
        <v>5</v>
      </c>
      <c r="D6" s="3" t="s">
        <v>6</v>
      </c>
      <c r="F6" s="15" t="s">
        <v>4</v>
      </c>
      <c r="G6" s="15" t="s">
        <v>5</v>
      </c>
      <c r="H6" s="15" t="s">
        <v>6</v>
      </c>
      <c r="K6" t="s">
        <v>16</v>
      </c>
      <c r="O6" t="s">
        <v>16</v>
      </c>
    </row>
    <row r="7" spans="2:15" ht="15" customHeight="1" x14ac:dyDescent="0.3">
      <c r="B7" s="4" t="s">
        <v>27</v>
      </c>
      <c r="C7" s="4">
        <v>19</v>
      </c>
      <c r="D7" s="5">
        <f>C7/C9</f>
        <v>1</v>
      </c>
      <c r="F7" s="4" t="s">
        <v>27</v>
      </c>
      <c r="G7" s="4">
        <v>114</v>
      </c>
      <c r="H7" s="5">
        <f>G7/G9</f>
        <v>0.98275862068965514</v>
      </c>
      <c r="J7" t="s">
        <v>19</v>
      </c>
      <c r="K7" s="8">
        <f>(C7)/C9</f>
        <v>1</v>
      </c>
      <c r="N7" t="s">
        <v>19</v>
      </c>
      <c r="O7" s="8">
        <f>(G7)/G9</f>
        <v>0.98275862068965514</v>
      </c>
    </row>
    <row r="8" spans="2:15" ht="15" customHeight="1" x14ac:dyDescent="0.3">
      <c r="B8" s="4" t="s">
        <v>28</v>
      </c>
      <c r="C8" s="4">
        <v>0</v>
      </c>
      <c r="D8" s="5">
        <f>C8/C9</f>
        <v>0</v>
      </c>
      <c r="F8" s="4" t="s">
        <v>28</v>
      </c>
      <c r="G8" s="4">
        <v>2</v>
      </c>
      <c r="H8" s="5">
        <f>G8/G9</f>
        <v>1.7241379310344827E-2</v>
      </c>
      <c r="J8" t="s">
        <v>20</v>
      </c>
      <c r="K8" s="8">
        <f>(C8)/C9</f>
        <v>0</v>
      </c>
      <c r="N8" t="s">
        <v>20</v>
      </c>
      <c r="O8" s="8">
        <f>(G8)/G9</f>
        <v>1.7241379310344827E-2</v>
      </c>
    </row>
    <row r="9" spans="2:15" ht="15" customHeight="1" x14ac:dyDescent="0.3">
      <c r="B9" s="6" t="s">
        <v>29</v>
      </c>
      <c r="C9" s="6">
        <f>SUM(C7:C8)</f>
        <v>19</v>
      </c>
      <c r="D9" s="7">
        <f>SUM(D7:D8)</f>
        <v>1</v>
      </c>
      <c r="F9" s="6" t="s">
        <v>29</v>
      </c>
      <c r="G9" s="6">
        <f>SUM(G7:G8)</f>
        <v>116</v>
      </c>
      <c r="H9" s="7">
        <f>SUM(H7:H8)</f>
        <v>1</v>
      </c>
    </row>
    <row r="10" spans="2:15" ht="18" customHeight="1" x14ac:dyDescent="0.6">
      <c r="B10" s="14"/>
      <c r="C10" s="14"/>
      <c r="D10" s="14"/>
      <c r="E10" s="1"/>
      <c r="F10" s="14"/>
      <c r="G10" s="14"/>
      <c r="H10" s="14"/>
      <c r="K10" t="s">
        <v>17</v>
      </c>
      <c r="O10" t="s">
        <v>17</v>
      </c>
    </row>
    <row r="11" spans="2:15" ht="31.5" customHeight="1" x14ac:dyDescent="0.3">
      <c r="B11" s="19" t="s">
        <v>44</v>
      </c>
      <c r="C11" s="19"/>
      <c r="D11" s="19"/>
      <c r="E11" s="2"/>
      <c r="F11" s="19" t="s">
        <v>44</v>
      </c>
      <c r="G11" s="19"/>
      <c r="H11" s="19"/>
      <c r="J11" t="s">
        <v>19</v>
      </c>
      <c r="K11" s="8">
        <f>(C13+C14)/C16</f>
        <v>1</v>
      </c>
      <c r="N11" t="s">
        <v>19</v>
      </c>
      <c r="O11" s="8">
        <f>(G13+G14)/G16</f>
        <v>0.99137931034482762</v>
      </c>
    </row>
    <row r="12" spans="2:15" x14ac:dyDescent="0.3">
      <c r="B12" s="3" t="s">
        <v>4</v>
      </c>
      <c r="C12" s="3" t="s">
        <v>5</v>
      </c>
      <c r="D12" s="3" t="s">
        <v>6</v>
      </c>
      <c r="F12" s="15" t="s">
        <v>4</v>
      </c>
      <c r="G12" s="15" t="s">
        <v>5</v>
      </c>
      <c r="H12" s="15" t="s">
        <v>6</v>
      </c>
      <c r="J12" t="s">
        <v>20</v>
      </c>
      <c r="K12" s="8">
        <f>(C15)/C16</f>
        <v>0</v>
      </c>
      <c r="N12" t="s">
        <v>20</v>
      </c>
      <c r="O12" s="8">
        <f>(G15)/G16</f>
        <v>8.6206896551724137E-3</v>
      </c>
    </row>
    <row r="13" spans="2:15" x14ac:dyDescent="0.3">
      <c r="B13" s="4" t="s">
        <v>7</v>
      </c>
      <c r="C13" s="4">
        <v>18</v>
      </c>
      <c r="D13" s="5">
        <f>C13/C16</f>
        <v>0.94736842105263153</v>
      </c>
      <c r="F13" s="4" t="s">
        <v>7</v>
      </c>
      <c r="G13" s="4">
        <v>108</v>
      </c>
      <c r="H13" s="5">
        <f>G13/G16</f>
        <v>0.93103448275862066</v>
      </c>
    </row>
    <row r="14" spans="2:15" x14ac:dyDescent="0.3">
      <c r="B14" s="4" t="s">
        <v>8</v>
      </c>
      <c r="C14" s="4">
        <v>1</v>
      </c>
      <c r="D14" s="5">
        <f>C14/C16</f>
        <v>5.2631578947368418E-2</v>
      </c>
      <c r="F14" s="4" t="s">
        <v>8</v>
      </c>
      <c r="G14" s="4">
        <v>7</v>
      </c>
      <c r="H14" s="5">
        <f>G14/G16</f>
        <v>6.0344827586206899E-2</v>
      </c>
      <c r="K14" t="s">
        <v>18</v>
      </c>
      <c r="O14" t="s">
        <v>30</v>
      </c>
    </row>
    <row r="15" spans="2:15" x14ac:dyDescent="0.3">
      <c r="B15" s="4" t="s">
        <v>9</v>
      </c>
      <c r="C15" s="4">
        <v>0</v>
      </c>
      <c r="D15" s="5">
        <f>C15/C16</f>
        <v>0</v>
      </c>
      <c r="F15" s="4" t="s">
        <v>9</v>
      </c>
      <c r="G15" s="4">
        <v>1</v>
      </c>
      <c r="H15" s="5">
        <f>G15/G16</f>
        <v>8.6206896551724137E-3</v>
      </c>
      <c r="J15" t="s">
        <v>19</v>
      </c>
      <c r="K15" s="8">
        <f>(C20+C21)/C23</f>
        <v>1</v>
      </c>
      <c r="N15" t="s">
        <v>19</v>
      </c>
      <c r="O15" s="8">
        <f>(G20+G21)/G23</f>
        <v>1</v>
      </c>
    </row>
    <row r="16" spans="2:15" x14ac:dyDescent="0.3">
      <c r="B16" s="6" t="s">
        <v>11</v>
      </c>
      <c r="C16" s="6">
        <f>SUM(C13:C15)</f>
        <v>19</v>
      </c>
      <c r="D16" s="7">
        <f>SUM(D13:D15)</f>
        <v>1</v>
      </c>
      <c r="F16" s="6" t="s">
        <v>29</v>
      </c>
      <c r="G16" s="6">
        <f>SUM(G13:G15)</f>
        <v>116</v>
      </c>
      <c r="H16" s="7">
        <f>SUM(H13:H15)</f>
        <v>0.99999999999999989</v>
      </c>
      <c r="J16" t="s">
        <v>20</v>
      </c>
      <c r="K16" s="8">
        <f>(C22)/C23</f>
        <v>0</v>
      </c>
      <c r="N16" t="s">
        <v>20</v>
      </c>
      <c r="O16" s="8">
        <f>(G22)/G23</f>
        <v>0</v>
      </c>
    </row>
    <row r="18" spans="2:15" x14ac:dyDescent="0.3">
      <c r="B18" s="20" t="s">
        <v>23</v>
      </c>
      <c r="C18" s="21"/>
      <c r="D18" s="22"/>
      <c r="F18" s="20" t="s">
        <v>23</v>
      </c>
      <c r="G18" s="21"/>
      <c r="H18" s="22"/>
    </row>
    <row r="19" spans="2:15" ht="49.5" customHeight="1" x14ac:dyDescent="0.3">
      <c r="B19" s="3" t="s">
        <v>32</v>
      </c>
      <c r="C19" s="3" t="s">
        <v>5</v>
      </c>
      <c r="D19" s="3" t="s">
        <v>6</v>
      </c>
      <c r="E19" s="2"/>
      <c r="F19" s="15" t="s">
        <v>32</v>
      </c>
      <c r="G19" s="15" t="s">
        <v>5</v>
      </c>
      <c r="H19" s="15" t="s">
        <v>6</v>
      </c>
      <c r="K19" s="9" t="s">
        <v>19</v>
      </c>
      <c r="L19" s="9" t="s">
        <v>20</v>
      </c>
      <c r="O19" s="8"/>
    </row>
    <row r="20" spans="2:15" ht="18" x14ac:dyDescent="0.35">
      <c r="B20" s="4" t="s">
        <v>7</v>
      </c>
      <c r="C20" s="4">
        <v>18</v>
      </c>
      <c r="D20" s="5">
        <f>C20/C23</f>
        <v>0.94736842105263153</v>
      </c>
      <c r="F20" s="4" t="s">
        <v>7</v>
      </c>
      <c r="G20" s="4">
        <v>112</v>
      </c>
      <c r="H20" s="5">
        <f>G20/G23</f>
        <v>0.96551724137931039</v>
      </c>
      <c r="J20" s="10" t="s">
        <v>0</v>
      </c>
      <c r="K20" s="11">
        <f>(K7+K11+K15)/3</f>
        <v>1</v>
      </c>
      <c r="L20" s="11">
        <f>(K8+K12+K16)/3</f>
        <v>0</v>
      </c>
      <c r="O20" s="8"/>
    </row>
    <row r="21" spans="2:15" ht="18" x14ac:dyDescent="0.35">
      <c r="B21" s="4" t="s">
        <v>8</v>
      </c>
      <c r="C21" s="4">
        <v>1</v>
      </c>
      <c r="D21" s="5">
        <f>C21/C23</f>
        <v>5.2631578947368418E-2</v>
      </c>
      <c r="F21" s="4" t="s">
        <v>8</v>
      </c>
      <c r="G21" s="4">
        <v>4</v>
      </c>
      <c r="H21" s="5">
        <f>G21/G23</f>
        <v>3.4482758620689655E-2</v>
      </c>
      <c r="J21" s="10" t="s">
        <v>1</v>
      </c>
      <c r="K21" s="11">
        <f>(O7+O11+O15)/3</f>
        <v>0.99137931034482751</v>
      </c>
      <c r="L21" s="11">
        <f>(O8+O12+O16)/3</f>
        <v>8.6206896551724137E-3</v>
      </c>
    </row>
    <row r="22" spans="2:15" x14ac:dyDescent="0.3">
      <c r="B22" s="4" t="s">
        <v>9</v>
      </c>
      <c r="C22" s="4">
        <v>0</v>
      </c>
      <c r="D22" s="5">
        <f>C22/C23</f>
        <v>0</v>
      </c>
      <c r="F22" s="4" t="s">
        <v>9</v>
      </c>
      <c r="G22" s="4">
        <v>0</v>
      </c>
      <c r="H22" s="5">
        <f>G22/G23</f>
        <v>0</v>
      </c>
    </row>
    <row r="23" spans="2:15" x14ac:dyDescent="0.3">
      <c r="B23" s="6" t="s">
        <v>11</v>
      </c>
      <c r="C23" s="6">
        <f>SUM(C20:C22)</f>
        <v>19</v>
      </c>
      <c r="D23" s="7">
        <v>1</v>
      </c>
      <c r="F23" s="6" t="s">
        <v>11</v>
      </c>
      <c r="G23" s="6">
        <f>SUM(G20:G22)</f>
        <v>116</v>
      </c>
      <c r="H23" s="7">
        <f>SUM(H20:H22)</f>
        <v>1</v>
      </c>
    </row>
    <row r="27" spans="2:15" ht="33" customHeight="1" x14ac:dyDescent="0.3"/>
    <row r="30" spans="2:15" ht="15" customHeight="1" x14ac:dyDescent="0.3"/>
    <row r="35" ht="32.25" customHeight="1" x14ac:dyDescent="0.3"/>
    <row r="46" ht="15" customHeight="1" x14ac:dyDescent="0.3"/>
  </sheetData>
  <mergeCells count="8">
    <mergeCell ref="B18:D18"/>
    <mergeCell ref="F18:H18"/>
    <mergeCell ref="B2:D3"/>
    <mergeCell ref="F2:H3"/>
    <mergeCell ref="B5:D5"/>
    <mergeCell ref="F5:H5"/>
    <mergeCell ref="B11:D11"/>
    <mergeCell ref="F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zoomScale="70" zoomScaleNormal="70" workbookViewId="0">
      <selection activeCell="M21" sqref="M21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10" max="10" width="20.109375" customWidth="1"/>
    <col min="11" max="11" width="19.44140625" customWidth="1"/>
    <col min="12" max="12" width="19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33</v>
      </c>
      <c r="C5" s="21"/>
      <c r="D5" s="22"/>
      <c r="F5" s="20" t="s">
        <v>33</v>
      </c>
      <c r="G5" s="21"/>
      <c r="H5" s="22"/>
      <c r="J5" s="20" t="s">
        <v>33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145</v>
      </c>
      <c r="D7" s="5">
        <f>C7/C10</f>
        <v>0.91772151898734178</v>
      </c>
      <c r="F7" s="4" t="s">
        <v>7</v>
      </c>
      <c r="G7" s="4">
        <v>251</v>
      </c>
      <c r="H7" s="5">
        <f>G7/G10</f>
        <v>0.94360902255639101</v>
      </c>
      <c r="J7" s="4" t="s">
        <v>7</v>
      </c>
      <c r="K7" s="4">
        <v>195</v>
      </c>
      <c r="L7" s="5">
        <f>K7/K10</f>
        <v>0.97014925373134331</v>
      </c>
    </row>
    <row r="8" spans="2:12" x14ac:dyDescent="0.3">
      <c r="B8" s="4" t="s">
        <v>8</v>
      </c>
      <c r="C8" s="4">
        <v>13</v>
      </c>
      <c r="D8" s="5">
        <f>C8/C10</f>
        <v>8.2278481012658222E-2</v>
      </c>
      <c r="F8" s="4" t="s">
        <v>8</v>
      </c>
      <c r="G8" s="4">
        <v>15</v>
      </c>
      <c r="H8" s="5">
        <f>G8/G10</f>
        <v>5.6390977443609019E-2</v>
      </c>
      <c r="J8" s="4" t="s">
        <v>8</v>
      </c>
      <c r="K8" s="4">
        <v>6</v>
      </c>
      <c r="L8" s="5">
        <f>K8/K10</f>
        <v>2.9850746268656716E-2</v>
      </c>
    </row>
    <row r="9" spans="2:12" x14ac:dyDescent="0.3">
      <c r="B9" s="4" t="s">
        <v>9</v>
      </c>
      <c r="C9" s="4">
        <v>0</v>
      </c>
      <c r="D9" s="5">
        <f>C9/C10</f>
        <v>0</v>
      </c>
      <c r="F9" s="4" t="s">
        <v>9</v>
      </c>
      <c r="G9" s="4">
        <v>0</v>
      </c>
      <c r="H9" s="5">
        <f>G9/G10</f>
        <v>0</v>
      </c>
      <c r="J9" s="4" t="s">
        <v>9</v>
      </c>
      <c r="K9" s="4">
        <v>0</v>
      </c>
      <c r="L9" s="5">
        <f>K9/K10</f>
        <v>0</v>
      </c>
    </row>
    <row r="10" spans="2:12" x14ac:dyDescent="0.3">
      <c r="B10" s="6" t="s">
        <v>29</v>
      </c>
      <c r="C10" s="6">
        <f>SUM(C7:C9)</f>
        <v>158</v>
      </c>
      <c r="D10" s="7">
        <f>SUM(D7:D9)</f>
        <v>1</v>
      </c>
      <c r="F10" s="6" t="s">
        <v>29</v>
      </c>
      <c r="G10" s="6">
        <f>SUM(G7:G9)</f>
        <v>266</v>
      </c>
      <c r="H10" s="7">
        <f>SUM(H7:H9)</f>
        <v>1</v>
      </c>
      <c r="J10" s="6" t="s">
        <v>29</v>
      </c>
      <c r="K10" s="6">
        <f>SUM(K7:K9)</f>
        <v>201</v>
      </c>
      <c r="L10" s="7">
        <f>SUM(L7:L9)</f>
        <v>1</v>
      </c>
    </row>
    <row r="12" spans="2:12" x14ac:dyDescent="0.3">
      <c r="B12" s="20" t="s">
        <v>34</v>
      </c>
      <c r="C12" s="21"/>
      <c r="D12" s="22"/>
      <c r="F12" s="20" t="s">
        <v>34</v>
      </c>
      <c r="G12" s="21"/>
      <c r="H12" s="22"/>
      <c r="J12" s="20" t="s">
        <v>34</v>
      </c>
      <c r="K12" s="21"/>
      <c r="L12" s="22"/>
    </row>
    <row r="13" spans="2:12" ht="30.75" customHeight="1" x14ac:dyDescent="0.3">
      <c r="B13" s="15" t="s">
        <v>4</v>
      </c>
      <c r="C13" s="15" t="s">
        <v>5</v>
      </c>
      <c r="D13" s="15" t="s">
        <v>6</v>
      </c>
      <c r="F13" s="15" t="s">
        <v>4</v>
      </c>
      <c r="G13" s="15" t="s">
        <v>5</v>
      </c>
      <c r="H13" s="15" t="s">
        <v>6</v>
      </c>
      <c r="J13" s="15" t="s">
        <v>4</v>
      </c>
      <c r="K13" s="15" t="s">
        <v>5</v>
      </c>
      <c r="L13" s="15" t="s">
        <v>6</v>
      </c>
    </row>
    <row r="14" spans="2:12" ht="15" customHeight="1" x14ac:dyDescent="0.3">
      <c r="B14" s="4" t="s">
        <v>7</v>
      </c>
      <c r="C14" s="4">
        <v>149</v>
      </c>
      <c r="D14" s="5">
        <f>C14/C17</f>
        <v>0.94303797468354433</v>
      </c>
      <c r="F14" s="4" t="s">
        <v>7</v>
      </c>
      <c r="G14" s="4">
        <v>250</v>
      </c>
      <c r="H14" s="5">
        <f>G14/G17</f>
        <v>0.93984962406015038</v>
      </c>
      <c r="J14" s="4" t="s">
        <v>7</v>
      </c>
      <c r="K14" s="4">
        <v>186</v>
      </c>
      <c r="L14" s="5">
        <f>K14/K17</f>
        <v>0.92537313432835822</v>
      </c>
    </row>
    <row r="15" spans="2:12" x14ac:dyDescent="0.3">
      <c r="B15" s="4" t="s">
        <v>8</v>
      </c>
      <c r="C15" s="4">
        <v>9</v>
      </c>
      <c r="D15" s="5">
        <f>C15/C17</f>
        <v>5.6962025316455694E-2</v>
      </c>
      <c r="F15" s="4" t="s">
        <v>8</v>
      </c>
      <c r="G15" s="4">
        <v>14</v>
      </c>
      <c r="H15" s="5">
        <f>G15/G17</f>
        <v>5.2631578947368418E-2</v>
      </c>
      <c r="J15" s="4" t="s">
        <v>8</v>
      </c>
      <c r="K15" s="4">
        <v>14</v>
      </c>
      <c r="L15" s="5">
        <f>K15/K17</f>
        <v>6.965174129353234E-2</v>
      </c>
    </row>
    <row r="16" spans="2:12" x14ac:dyDescent="0.3">
      <c r="B16" s="4" t="s">
        <v>9</v>
      </c>
      <c r="C16" s="4">
        <v>0</v>
      </c>
      <c r="D16" s="5">
        <f>C16/C17</f>
        <v>0</v>
      </c>
      <c r="F16" s="4" t="s">
        <v>9</v>
      </c>
      <c r="G16" s="4">
        <v>2</v>
      </c>
      <c r="H16" s="5">
        <f>G16/G17</f>
        <v>7.5187969924812026E-3</v>
      </c>
      <c r="J16" s="4" t="s">
        <v>9</v>
      </c>
      <c r="K16" s="4">
        <v>1</v>
      </c>
      <c r="L16" s="5">
        <f>K16/K17</f>
        <v>4.9751243781094526E-3</v>
      </c>
    </row>
    <row r="17" spans="2:12" x14ac:dyDescent="0.3">
      <c r="B17" s="6" t="s">
        <v>29</v>
      </c>
      <c r="C17" s="6">
        <f>SUM(C14:C16)</f>
        <v>158</v>
      </c>
      <c r="D17" s="7">
        <f>SUM(D14:D16)</f>
        <v>1</v>
      </c>
      <c r="F17" s="6" t="s">
        <v>29</v>
      </c>
      <c r="G17" s="6">
        <f>SUM(G14:G16)</f>
        <v>266</v>
      </c>
      <c r="H17" s="7">
        <f>SUM(H14:H16)</f>
        <v>1</v>
      </c>
      <c r="J17" s="6" t="s">
        <v>29</v>
      </c>
      <c r="K17" s="6">
        <f>SUM(K14:K16)</f>
        <v>201</v>
      </c>
      <c r="L17" s="7">
        <f>SUM(L14:L16)</f>
        <v>1</v>
      </c>
    </row>
    <row r="20" spans="2:12" x14ac:dyDescent="0.3">
      <c r="C20" t="s">
        <v>16</v>
      </c>
      <c r="G20" t="s">
        <v>16</v>
      </c>
      <c r="K20" t="s">
        <v>30</v>
      </c>
    </row>
    <row r="21" spans="2:12" x14ac:dyDescent="0.3">
      <c r="B21" t="s">
        <v>19</v>
      </c>
      <c r="C21" s="8">
        <f>(C7+C8)/C10</f>
        <v>1</v>
      </c>
      <c r="F21" t="s">
        <v>19</v>
      </c>
      <c r="G21" s="8">
        <f>(G7+G8)/G10</f>
        <v>1</v>
      </c>
      <c r="J21" t="s">
        <v>19</v>
      </c>
      <c r="K21" s="8">
        <f>(K7+K8)/K10</f>
        <v>1</v>
      </c>
    </row>
    <row r="22" spans="2:12" x14ac:dyDescent="0.3">
      <c r="B22" t="s">
        <v>20</v>
      </c>
      <c r="C22" s="8">
        <f>(C9)/C10</f>
        <v>0</v>
      </c>
      <c r="F22" t="s">
        <v>20</v>
      </c>
      <c r="G22" s="8">
        <f>(G9)/G10</f>
        <v>0</v>
      </c>
      <c r="J22" t="s">
        <v>20</v>
      </c>
      <c r="K22" s="8">
        <f>(K9)/K10</f>
        <v>0</v>
      </c>
    </row>
    <row r="24" spans="2:12" x14ac:dyDescent="0.3">
      <c r="C24" t="s">
        <v>17</v>
      </c>
      <c r="G24" t="s">
        <v>17</v>
      </c>
      <c r="K24" t="s">
        <v>31</v>
      </c>
    </row>
    <row r="25" spans="2:12" x14ac:dyDescent="0.3">
      <c r="B25" t="s">
        <v>19</v>
      </c>
      <c r="C25" s="8">
        <f>(C14+C15)/C17</f>
        <v>1</v>
      </c>
      <c r="F25" t="s">
        <v>19</v>
      </c>
      <c r="G25" s="8">
        <f>(G14+G15)/G17</f>
        <v>0.99248120300751874</v>
      </c>
      <c r="J25" t="s">
        <v>19</v>
      </c>
      <c r="K25" s="8">
        <f>(K14+K15)/K17</f>
        <v>0.99502487562189057</v>
      </c>
    </row>
    <row r="26" spans="2:12" x14ac:dyDescent="0.3">
      <c r="B26" t="s">
        <v>20</v>
      </c>
      <c r="C26" s="8">
        <f>(C16)/C17</f>
        <v>0</v>
      </c>
      <c r="F26" t="s">
        <v>20</v>
      </c>
      <c r="G26" s="8">
        <f>(G16)/G17</f>
        <v>7.5187969924812026E-3</v>
      </c>
      <c r="J26" t="s">
        <v>20</v>
      </c>
      <c r="K26" s="8">
        <f>(K16)/K17</f>
        <v>4.9751243781094526E-3</v>
      </c>
    </row>
    <row r="31" spans="2:12" ht="15.6" x14ac:dyDescent="0.3">
      <c r="C31" s="9" t="s">
        <v>19</v>
      </c>
      <c r="D31" s="9" t="s">
        <v>20</v>
      </c>
    </row>
    <row r="32" spans="2:12" ht="18" x14ac:dyDescent="0.35">
      <c r="B32" s="10" t="s">
        <v>0</v>
      </c>
      <c r="C32" s="11">
        <f>(C21+C25)/2</f>
        <v>1</v>
      </c>
      <c r="D32" s="11">
        <f>(C22+C26)/2</f>
        <v>0</v>
      </c>
    </row>
    <row r="33" spans="2:4" ht="18" x14ac:dyDescent="0.35">
      <c r="B33" s="10" t="s">
        <v>1</v>
      </c>
      <c r="C33" s="11">
        <f>(G21+G25)/2</f>
        <v>0.99624060150375937</v>
      </c>
      <c r="D33" s="11">
        <f>(G22+G26)/2</f>
        <v>3.7593984962406013E-3</v>
      </c>
    </row>
    <row r="34" spans="2:4" ht="18" x14ac:dyDescent="0.35">
      <c r="B34" s="10" t="s">
        <v>2</v>
      </c>
      <c r="C34" s="11">
        <f>(K21+K25)/2</f>
        <v>0.99751243781094523</v>
      </c>
      <c r="D34" s="11">
        <f>(K22+K26)/2</f>
        <v>2.4875621890547263E-3</v>
      </c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7"/>
  <sheetViews>
    <sheetView zoomScale="70" zoomScaleNormal="70" workbookViewId="0">
      <selection activeCell="M6" sqref="M6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35</v>
      </c>
      <c r="C5" s="21"/>
      <c r="D5" s="22"/>
      <c r="F5" s="20" t="s">
        <v>35</v>
      </c>
      <c r="G5" s="21"/>
      <c r="H5" s="22"/>
      <c r="J5" s="20" t="s">
        <v>35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56</v>
      </c>
      <c r="D7" s="5">
        <f>C7/C11</f>
        <v>0.72727272727272729</v>
      </c>
      <c r="F7" s="4" t="s">
        <v>7</v>
      </c>
      <c r="G7" s="4">
        <v>101</v>
      </c>
      <c r="H7" s="5">
        <f>G7/G11</f>
        <v>0.78294573643410847</v>
      </c>
      <c r="J7" s="4" t="s">
        <v>7</v>
      </c>
      <c r="K7" s="4">
        <v>102</v>
      </c>
      <c r="L7" s="5">
        <f>K7/K11</f>
        <v>0.55434782608695654</v>
      </c>
    </row>
    <row r="8" spans="2:12" x14ac:dyDescent="0.3">
      <c r="B8" s="4" t="s">
        <v>8</v>
      </c>
      <c r="C8" s="4">
        <v>6</v>
      </c>
      <c r="D8" s="5">
        <f>C8/C11</f>
        <v>7.792207792207792E-2</v>
      </c>
      <c r="F8" s="4" t="s">
        <v>8</v>
      </c>
      <c r="G8" s="4">
        <v>3</v>
      </c>
      <c r="H8" s="5">
        <f>G8/G11</f>
        <v>2.3255813953488372E-2</v>
      </c>
      <c r="J8" s="4" t="s">
        <v>8</v>
      </c>
      <c r="K8" s="4">
        <v>15</v>
      </c>
      <c r="L8" s="5">
        <f>K8/K11</f>
        <v>8.1521739130434784E-2</v>
      </c>
    </row>
    <row r="9" spans="2:12" x14ac:dyDescent="0.3">
      <c r="B9" s="4" t="s">
        <v>9</v>
      </c>
      <c r="C9" s="4">
        <v>0</v>
      </c>
      <c r="D9" s="5">
        <f>C9/C11</f>
        <v>0</v>
      </c>
      <c r="F9" s="4" t="s">
        <v>9</v>
      </c>
      <c r="G9" s="4">
        <v>0</v>
      </c>
      <c r="H9" s="5">
        <f>G9/G11</f>
        <v>0</v>
      </c>
      <c r="J9" s="4" t="s">
        <v>9</v>
      </c>
      <c r="K9" s="4">
        <v>0</v>
      </c>
      <c r="L9" s="5">
        <f>K9/K11</f>
        <v>0</v>
      </c>
    </row>
    <row r="10" spans="2:12" x14ac:dyDescent="0.3">
      <c r="B10" s="4" t="s">
        <v>10</v>
      </c>
      <c r="C10" s="4">
        <v>15</v>
      </c>
      <c r="D10" s="5">
        <f>C10/C11</f>
        <v>0.19480519480519481</v>
      </c>
      <c r="F10" s="4" t="s">
        <v>10</v>
      </c>
      <c r="G10" s="4">
        <v>25</v>
      </c>
      <c r="H10" s="5">
        <f>G10/G11</f>
        <v>0.19379844961240311</v>
      </c>
      <c r="J10" s="4" t="s">
        <v>10</v>
      </c>
      <c r="K10" s="4">
        <v>67</v>
      </c>
      <c r="L10" s="5">
        <f>K10/K11</f>
        <v>0.3641304347826087</v>
      </c>
    </row>
    <row r="11" spans="2:12" x14ac:dyDescent="0.3">
      <c r="B11" s="6" t="s">
        <v>29</v>
      </c>
      <c r="C11" s="6">
        <f>SUM(C7:C10)</f>
        <v>77</v>
      </c>
      <c r="D11" s="7">
        <f>SUM(D7:D10)</f>
        <v>1</v>
      </c>
      <c r="F11" s="6" t="s">
        <v>29</v>
      </c>
      <c r="G11" s="6">
        <f>SUM(G7:G10)</f>
        <v>129</v>
      </c>
      <c r="H11" s="7">
        <f>SUM(H7:H10)</f>
        <v>1</v>
      </c>
      <c r="J11" s="6" t="s">
        <v>29</v>
      </c>
      <c r="K11" s="6">
        <f>SUM(K7:K10)</f>
        <v>184</v>
      </c>
      <c r="L11" s="7">
        <f>SUM(L7:L10)</f>
        <v>1</v>
      </c>
    </row>
    <row r="13" spans="2:12" ht="34.5" customHeight="1" x14ac:dyDescent="0.3">
      <c r="B13" s="20" t="s">
        <v>36</v>
      </c>
      <c r="C13" s="21"/>
      <c r="D13" s="22"/>
      <c r="F13" s="20" t="s">
        <v>36</v>
      </c>
      <c r="G13" s="21"/>
      <c r="H13" s="22"/>
      <c r="J13" s="20" t="s">
        <v>36</v>
      </c>
      <c r="K13" s="21"/>
      <c r="L13" s="22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61</v>
      </c>
      <c r="D15" s="5">
        <f>C15/C19</f>
        <v>0.79220779220779225</v>
      </c>
      <c r="F15" s="4" t="s">
        <v>7</v>
      </c>
      <c r="G15" s="4">
        <v>100</v>
      </c>
      <c r="H15" s="5">
        <f>G15/G19</f>
        <v>0.77519379844961245</v>
      </c>
      <c r="J15" s="4" t="s">
        <v>7</v>
      </c>
      <c r="K15" s="4">
        <v>122</v>
      </c>
      <c r="L15" s="5">
        <f>K15/K19</f>
        <v>0.66304347826086951</v>
      </c>
    </row>
    <row r="16" spans="2:12" x14ac:dyDescent="0.3">
      <c r="B16" s="4" t="s">
        <v>8</v>
      </c>
      <c r="C16" s="4">
        <v>8</v>
      </c>
      <c r="D16" s="5">
        <f>C16/C19</f>
        <v>0.1038961038961039</v>
      </c>
      <c r="F16" s="4" t="s">
        <v>8</v>
      </c>
      <c r="G16" s="4">
        <v>2</v>
      </c>
      <c r="H16" s="5">
        <f>G16/G19</f>
        <v>1.5503875968992248E-2</v>
      </c>
      <c r="J16" s="4" t="s">
        <v>8</v>
      </c>
      <c r="K16" s="4">
        <v>19</v>
      </c>
      <c r="L16" s="5">
        <f>K16/K19</f>
        <v>0.10326086956521739</v>
      </c>
    </row>
    <row r="17" spans="2:12" x14ac:dyDescent="0.3">
      <c r="B17" s="4" t="s">
        <v>9</v>
      </c>
      <c r="C17" s="4">
        <v>0</v>
      </c>
      <c r="D17" s="5">
        <f>C17/C19</f>
        <v>0</v>
      </c>
      <c r="F17" s="4" t="s">
        <v>9</v>
      </c>
      <c r="G17" s="4">
        <v>1</v>
      </c>
      <c r="H17" s="5">
        <f>G17/G19</f>
        <v>7.7519379844961239E-3</v>
      </c>
      <c r="J17" s="4" t="s">
        <v>9</v>
      </c>
      <c r="K17" s="4">
        <v>1</v>
      </c>
      <c r="L17" s="5">
        <f>K17/K19</f>
        <v>5.434782608695652E-3</v>
      </c>
    </row>
    <row r="18" spans="2:12" x14ac:dyDescent="0.3">
      <c r="B18" s="4" t="s">
        <v>10</v>
      </c>
      <c r="C18" s="4">
        <v>8</v>
      </c>
      <c r="D18" s="5">
        <f>C18/C19</f>
        <v>0.1038961038961039</v>
      </c>
      <c r="F18" s="4" t="s">
        <v>10</v>
      </c>
      <c r="G18" s="4">
        <v>26</v>
      </c>
      <c r="H18" s="5">
        <f>G18/G19</f>
        <v>0.20155038759689922</v>
      </c>
      <c r="J18" s="4" t="s">
        <v>10</v>
      </c>
      <c r="K18" s="4">
        <v>42</v>
      </c>
      <c r="L18" s="5">
        <f>K18/K19</f>
        <v>0.22826086956521738</v>
      </c>
    </row>
    <row r="19" spans="2:12" x14ac:dyDescent="0.3">
      <c r="B19" s="6" t="s">
        <v>29</v>
      </c>
      <c r="C19" s="6">
        <f>SUM(C15:C18)</f>
        <v>77</v>
      </c>
      <c r="D19" s="7">
        <f>SUM(D15:D18)</f>
        <v>1</v>
      </c>
      <c r="F19" s="6" t="s">
        <v>29</v>
      </c>
      <c r="G19" s="6">
        <f>SUM(G15:G18)</f>
        <v>129</v>
      </c>
      <c r="H19" s="7">
        <f>SUM(H15:H18)</f>
        <v>1</v>
      </c>
      <c r="J19" s="6" t="s">
        <v>29</v>
      </c>
      <c r="K19" s="6">
        <f>SUM(K15:K18)</f>
        <v>184</v>
      </c>
      <c r="L19" s="7">
        <f>SUM(L15:L18)</f>
        <v>1</v>
      </c>
    </row>
    <row r="21" spans="2:12" ht="30" customHeight="1" x14ac:dyDescent="0.3">
      <c r="B21" s="20" t="s">
        <v>37</v>
      </c>
      <c r="C21" s="21"/>
      <c r="D21" s="22"/>
      <c r="F21" s="20" t="s">
        <v>37</v>
      </c>
      <c r="G21" s="21"/>
      <c r="H21" s="22"/>
      <c r="J21" s="20" t="s">
        <v>37</v>
      </c>
      <c r="K21" s="21"/>
      <c r="L21" s="22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65</v>
      </c>
      <c r="D23" s="5">
        <f>C23/C27</f>
        <v>0.8441558441558441</v>
      </c>
      <c r="F23" s="4" t="s">
        <v>7</v>
      </c>
      <c r="G23" s="4">
        <v>113</v>
      </c>
      <c r="H23" s="5">
        <f>G23/G27</f>
        <v>0.87596899224806202</v>
      </c>
      <c r="J23" s="4" t="s">
        <v>7</v>
      </c>
      <c r="K23" s="4">
        <v>158</v>
      </c>
      <c r="L23" s="5">
        <f>K23/K27</f>
        <v>0.85869565217391308</v>
      </c>
    </row>
    <row r="24" spans="2:12" x14ac:dyDescent="0.3">
      <c r="B24" s="4" t="s">
        <v>8</v>
      </c>
      <c r="C24" s="4">
        <v>8</v>
      </c>
      <c r="D24" s="5">
        <f>C24/C27</f>
        <v>0.1038961038961039</v>
      </c>
      <c r="F24" s="4" t="s">
        <v>8</v>
      </c>
      <c r="G24" s="4">
        <v>4</v>
      </c>
      <c r="H24" s="5">
        <f>G24/G27</f>
        <v>3.1007751937984496E-2</v>
      </c>
      <c r="J24" s="4" t="s">
        <v>8</v>
      </c>
      <c r="K24" s="4">
        <v>10</v>
      </c>
      <c r="L24" s="5">
        <f>K24/K27</f>
        <v>5.434782608695652E-2</v>
      </c>
    </row>
    <row r="25" spans="2:12" x14ac:dyDescent="0.3">
      <c r="B25" s="4" t="s">
        <v>9</v>
      </c>
      <c r="C25" s="4">
        <v>1</v>
      </c>
      <c r="D25" s="5">
        <f>C25/C27</f>
        <v>1.2987012987012988E-2</v>
      </c>
      <c r="F25" s="4" t="s">
        <v>9</v>
      </c>
      <c r="G25" s="4">
        <v>1</v>
      </c>
      <c r="H25" s="5">
        <f>G25/G27</f>
        <v>7.7519379844961239E-3</v>
      </c>
      <c r="J25" s="4" t="s">
        <v>9</v>
      </c>
      <c r="K25" s="4">
        <v>2</v>
      </c>
      <c r="L25" s="5">
        <f>K25/K27</f>
        <v>1.0869565217391304E-2</v>
      </c>
    </row>
    <row r="26" spans="2:12" x14ac:dyDescent="0.3">
      <c r="B26" s="4" t="s">
        <v>10</v>
      </c>
      <c r="C26" s="4">
        <v>3</v>
      </c>
      <c r="D26" s="5">
        <f>C26/C27</f>
        <v>3.896103896103896E-2</v>
      </c>
      <c r="F26" s="4" t="s">
        <v>10</v>
      </c>
      <c r="G26" s="4">
        <v>11</v>
      </c>
      <c r="H26" s="5">
        <f>G26/G27</f>
        <v>8.5271317829457363E-2</v>
      </c>
      <c r="J26" s="4" t="s">
        <v>10</v>
      </c>
      <c r="K26" s="4">
        <v>14</v>
      </c>
      <c r="L26" s="5">
        <f>K26/K27</f>
        <v>7.6086956521739135E-2</v>
      </c>
    </row>
    <row r="27" spans="2:12" x14ac:dyDescent="0.3">
      <c r="B27" s="6" t="s">
        <v>29</v>
      </c>
      <c r="C27" s="6">
        <f>SUM(C23:C26)</f>
        <v>77</v>
      </c>
      <c r="D27" s="7">
        <f>SUM(D23:D26)</f>
        <v>1</v>
      </c>
      <c r="F27" s="6" t="s">
        <v>29</v>
      </c>
      <c r="G27" s="6">
        <f>SUM(G23:G26)</f>
        <v>129</v>
      </c>
      <c r="H27" s="7">
        <f>SUM(H23:H26)</f>
        <v>1</v>
      </c>
      <c r="J27" s="6" t="s">
        <v>29</v>
      </c>
      <c r="K27" s="6">
        <f>SUM(K23:K26)</f>
        <v>184</v>
      </c>
      <c r="L27" s="7">
        <f>SUM(L23:L26)</f>
        <v>1</v>
      </c>
    </row>
    <row r="30" spans="2:12" x14ac:dyDescent="0.3">
      <c r="C30" t="s">
        <v>16</v>
      </c>
      <c r="G30" t="s">
        <v>16</v>
      </c>
      <c r="K30" t="s">
        <v>30</v>
      </c>
    </row>
    <row r="31" spans="2:12" x14ac:dyDescent="0.3">
      <c r="B31" t="s">
        <v>19</v>
      </c>
      <c r="C31" s="8">
        <f>(C7+C8)/C11</f>
        <v>0.80519480519480524</v>
      </c>
      <c r="F31" t="s">
        <v>19</v>
      </c>
      <c r="G31" s="8">
        <f>(G7+G8)/G11</f>
        <v>0.80620155038759689</v>
      </c>
      <c r="J31" t="s">
        <v>19</v>
      </c>
      <c r="K31" s="8">
        <f>(K7+K8)/K11</f>
        <v>0.63586956521739135</v>
      </c>
    </row>
    <row r="32" spans="2:12" x14ac:dyDescent="0.3">
      <c r="B32" t="s">
        <v>20</v>
      </c>
      <c r="C32" s="8">
        <f>(C9+C10)/C11</f>
        <v>0.19480519480519481</v>
      </c>
      <c r="F32" t="s">
        <v>20</v>
      </c>
      <c r="G32" s="8">
        <f>(G9+G10)/G11</f>
        <v>0.19379844961240311</v>
      </c>
      <c r="J32" t="s">
        <v>20</v>
      </c>
      <c r="K32" s="8">
        <f>(K9+K10)/K11</f>
        <v>0.3641304347826087</v>
      </c>
    </row>
    <row r="34" spans="2:11" x14ac:dyDescent="0.3">
      <c r="C34" t="s">
        <v>17</v>
      </c>
      <c r="G34" t="s">
        <v>17</v>
      </c>
      <c r="K34" t="s">
        <v>31</v>
      </c>
    </row>
    <row r="35" spans="2:11" x14ac:dyDescent="0.3">
      <c r="B35" t="s">
        <v>19</v>
      </c>
      <c r="C35" s="8">
        <f>(C15+C16)/C19</f>
        <v>0.89610389610389607</v>
      </c>
      <c r="F35" t="s">
        <v>19</v>
      </c>
      <c r="G35" s="8">
        <f>(G15+G16)/G19</f>
        <v>0.79069767441860461</v>
      </c>
      <c r="J35" t="s">
        <v>19</v>
      </c>
      <c r="K35" s="8">
        <f>(K15+K16)/K19</f>
        <v>0.76630434782608692</v>
      </c>
    </row>
    <row r="36" spans="2:11" x14ac:dyDescent="0.3">
      <c r="B36" t="s">
        <v>20</v>
      </c>
      <c r="C36" s="8">
        <f>(C17+C18)/C19</f>
        <v>0.1038961038961039</v>
      </c>
      <c r="F36" t="s">
        <v>20</v>
      </c>
      <c r="G36" s="8">
        <f>(G17+G18)/G19</f>
        <v>0.20930232558139536</v>
      </c>
      <c r="J36" t="s">
        <v>20</v>
      </c>
      <c r="K36" s="8">
        <f>(K17+K18)/K19</f>
        <v>0.23369565217391305</v>
      </c>
    </row>
    <row r="38" spans="2:11" x14ac:dyDescent="0.3">
      <c r="C38" t="s">
        <v>17</v>
      </c>
      <c r="G38" t="s">
        <v>17</v>
      </c>
      <c r="K38" t="s">
        <v>31</v>
      </c>
    </row>
    <row r="39" spans="2:11" x14ac:dyDescent="0.3">
      <c r="B39" t="s">
        <v>19</v>
      </c>
      <c r="C39" s="8">
        <f>(C23+C24)/C27</f>
        <v>0.94805194805194803</v>
      </c>
      <c r="F39" t="s">
        <v>19</v>
      </c>
      <c r="G39" s="8">
        <f>(G23+G24)/G27</f>
        <v>0.90697674418604646</v>
      </c>
      <c r="J39" t="s">
        <v>19</v>
      </c>
      <c r="K39" s="8">
        <f>(K23+K24)/K27</f>
        <v>0.91304347826086951</v>
      </c>
    </row>
    <row r="40" spans="2:11" x14ac:dyDescent="0.3">
      <c r="B40" t="s">
        <v>20</v>
      </c>
      <c r="C40" s="8">
        <f>(C25+C26)/C27</f>
        <v>5.1948051948051951E-2</v>
      </c>
      <c r="F40" t="s">
        <v>20</v>
      </c>
      <c r="G40" s="8">
        <f>(G25+G26)/G27</f>
        <v>9.3023255813953487E-2</v>
      </c>
      <c r="J40" t="s">
        <v>20</v>
      </c>
      <c r="K40" s="8">
        <f>(K25+K26)/K27</f>
        <v>8.6956521739130432E-2</v>
      </c>
    </row>
    <row r="44" spans="2:11" ht="15.6" x14ac:dyDescent="0.3">
      <c r="C44" s="9" t="s">
        <v>19</v>
      </c>
      <c r="D44" s="9" t="s">
        <v>20</v>
      </c>
    </row>
    <row r="45" spans="2:11" ht="18" x14ac:dyDescent="0.35">
      <c r="B45" s="10" t="s">
        <v>0</v>
      </c>
      <c r="C45" s="11">
        <f>(C31+C35+C39)/3</f>
        <v>0.88311688311688308</v>
      </c>
      <c r="D45" s="11">
        <f>(C32+C36+C40)/3</f>
        <v>0.11688311688311688</v>
      </c>
    </row>
    <row r="46" spans="2:11" ht="18" x14ac:dyDescent="0.35">
      <c r="B46" s="10" t="s">
        <v>1</v>
      </c>
      <c r="C46" s="11">
        <f>(G31+G35+G39)/3</f>
        <v>0.83462532299741599</v>
      </c>
      <c r="D46" s="11">
        <f>(G32+G36+G40)/3</f>
        <v>0.16537467700258399</v>
      </c>
    </row>
    <row r="47" spans="2:11" ht="18" x14ac:dyDescent="0.35">
      <c r="B47" s="10" t="s">
        <v>2</v>
      </c>
      <c r="C47" s="11">
        <f>(K31+K35+K39)/3</f>
        <v>0.77173913043478259</v>
      </c>
      <c r="D47" s="11">
        <f>(K32+K36+K40)/3</f>
        <v>0.22826086956521738</v>
      </c>
    </row>
  </sheetData>
  <mergeCells count="12">
    <mergeCell ref="B2:D3"/>
    <mergeCell ref="F2:H3"/>
    <mergeCell ref="J2:L3"/>
    <mergeCell ref="B5:D5"/>
    <mergeCell ref="F5:H5"/>
    <mergeCell ref="J5:L5"/>
    <mergeCell ref="B13:D13"/>
    <mergeCell ref="F13:H13"/>
    <mergeCell ref="J13:L13"/>
    <mergeCell ref="B21:D21"/>
    <mergeCell ref="F21:H21"/>
    <mergeCell ref="J21:L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9"/>
  <sheetViews>
    <sheetView zoomScale="70" zoomScaleNormal="70" workbookViewId="0">
      <selection activeCell="P45" sqref="P45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46</v>
      </c>
      <c r="C5" s="21"/>
      <c r="D5" s="22"/>
      <c r="F5" s="20" t="s">
        <v>46</v>
      </c>
      <c r="G5" s="21"/>
      <c r="H5" s="22"/>
      <c r="J5" s="20" t="s">
        <v>46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113</v>
      </c>
      <c r="D7" s="5">
        <f>C7/C11</f>
        <v>0.91869918699186992</v>
      </c>
      <c r="F7" s="4" t="s">
        <v>7</v>
      </c>
      <c r="G7" s="4">
        <v>23</v>
      </c>
      <c r="H7" s="5">
        <f>G7/G11</f>
        <v>0.95833333333333337</v>
      </c>
      <c r="J7" s="4" t="s">
        <v>7</v>
      </c>
      <c r="K7" s="4">
        <v>0</v>
      </c>
      <c r="L7" s="5" t="e">
        <f>K7/K11</f>
        <v>#DIV/0!</v>
      </c>
    </row>
    <row r="8" spans="2:12" x14ac:dyDescent="0.3">
      <c r="B8" s="4" t="s">
        <v>8</v>
      </c>
      <c r="C8" s="4">
        <v>9</v>
      </c>
      <c r="D8" s="5">
        <f>C8/C11</f>
        <v>7.3170731707317069E-2</v>
      </c>
      <c r="F8" s="4" t="s">
        <v>8</v>
      </c>
      <c r="G8" s="4">
        <v>1</v>
      </c>
      <c r="H8" s="5">
        <f>G8/G11</f>
        <v>4.1666666666666664E-2</v>
      </c>
      <c r="J8" s="4" t="s">
        <v>8</v>
      </c>
      <c r="K8" s="4">
        <v>0</v>
      </c>
      <c r="L8" s="5" t="e">
        <f>K8/K11</f>
        <v>#DIV/0!</v>
      </c>
    </row>
    <row r="9" spans="2:12" x14ac:dyDescent="0.3">
      <c r="B9" s="4" t="s">
        <v>9</v>
      </c>
      <c r="C9" s="4">
        <v>1</v>
      </c>
      <c r="D9" s="5">
        <f>C9/C11</f>
        <v>8.130081300813009E-3</v>
      </c>
      <c r="F9" s="4" t="s">
        <v>9</v>
      </c>
      <c r="G9" s="4">
        <v>0</v>
      </c>
      <c r="H9" s="5">
        <f>G9/G11</f>
        <v>0</v>
      </c>
      <c r="J9" s="4" t="s">
        <v>9</v>
      </c>
      <c r="K9" s="4">
        <v>0</v>
      </c>
      <c r="L9" s="5" t="e">
        <f>K9/K11</f>
        <v>#DIV/0!</v>
      </c>
    </row>
    <row r="10" spans="2:12" x14ac:dyDescent="0.3">
      <c r="B10" s="4" t="s">
        <v>10</v>
      </c>
      <c r="C10" s="4">
        <v>0</v>
      </c>
      <c r="D10" s="5">
        <f>C10/C11</f>
        <v>0</v>
      </c>
      <c r="F10" s="4" t="s">
        <v>10</v>
      </c>
      <c r="G10" s="4">
        <v>0</v>
      </c>
      <c r="H10" s="5">
        <f>G10/G11</f>
        <v>0</v>
      </c>
      <c r="J10" s="4" t="s">
        <v>10</v>
      </c>
      <c r="K10" s="4">
        <v>0</v>
      </c>
      <c r="L10" s="5" t="e">
        <f>K10/K11</f>
        <v>#DIV/0!</v>
      </c>
    </row>
    <row r="11" spans="2:12" x14ac:dyDescent="0.3">
      <c r="B11" s="6" t="s">
        <v>29</v>
      </c>
      <c r="C11" s="6">
        <f>SUM(C7:C10)</f>
        <v>123</v>
      </c>
      <c r="D11" s="7">
        <f>SUM(D7:D10)</f>
        <v>1</v>
      </c>
      <c r="F11" s="6" t="s">
        <v>29</v>
      </c>
      <c r="G11" s="6">
        <f>SUM(G7:G10)</f>
        <v>24</v>
      </c>
      <c r="H11" s="7">
        <f>SUM(H7:H10)</f>
        <v>1</v>
      </c>
      <c r="J11" s="6" t="s">
        <v>29</v>
      </c>
      <c r="K11" s="6">
        <f>SUM(K7:K10)</f>
        <v>0</v>
      </c>
      <c r="L11" s="7" t="e">
        <f>SUM(L7:L10)</f>
        <v>#DIV/0!</v>
      </c>
    </row>
    <row r="13" spans="2:12" ht="34.5" customHeight="1" x14ac:dyDescent="0.3">
      <c r="B13" s="20" t="s">
        <v>47</v>
      </c>
      <c r="C13" s="21"/>
      <c r="D13" s="22"/>
      <c r="F13" s="20" t="s">
        <v>47</v>
      </c>
      <c r="G13" s="21"/>
      <c r="H13" s="22"/>
      <c r="J13" s="20" t="s">
        <v>47</v>
      </c>
      <c r="K13" s="21"/>
      <c r="L13" s="22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113</v>
      </c>
      <c r="D15" s="5">
        <f>C15/C19</f>
        <v>0.91869918699186992</v>
      </c>
      <c r="F15" s="4" t="s">
        <v>7</v>
      </c>
      <c r="G15" s="4">
        <v>23</v>
      </c>
      <c r="H15" s="5">
        <f>G15/G19</f>
        <v>0.95833333333333337</v>
      </c>
      <c r="J15" s="4" t="s">
        <v>7</v>
      </c>
      <c r="K15" s="4">
        <v>0</v>
      </c>
      <c r="L15" s="5" t="e">
        <f>K15/K19</f>
        <v>#DIV/0!</v>
      </c>
    </row>
    <row r="16" spans="2:12" x14ac:dyDescent="0.3">
      <c r="B16" s="4" t="s">
        <v>8</v>
      </c>
      <c r="C16" s="4">
        <v>10</v>
      </c>
      <c r="D16" s="5">
        <f>C16/C19</f>
        <v>8.1300813008130079E-2</v>
      </c>
      <c r="F16" s="4" t="s">
        <v>8</v>
      </c>
      <c r="G16" s="4">
        <v>1</v>
      </c>
      <c r="H16" s="5">
        <f>G16/G19</f>
        <v>4.1666666666666664E-2</v>
      </c>
      <c r="J16" s="4" t="s">
        <v>8</v>
      </c>
      <c r="K16" s="4">
        <v>0</v>
      </c>
      <c r="L16" s="5" t="e">
        <f>K16/K19</f>
        <v>#DIV/0!</v>
      </c>
    </row>
    <row r="17" spans="2:12" x14ac:dyDescent="0.3">
      <c r="B17" s="4" t="s">
        <v>9</v>
      </c>
      <c r="C17" s="4">
        <v>0</v>
      </c>
      <c r="D17" s="5">
        <f>C17/C19</f>
        <v>0</v>
      </c>
      <c r="F17" s="4" t="s">
        <v>9</v>
      </c>
      <c r="G17" s="4">
        <v>0</v>
      </c>
      <c r="H17" s="5">
        <f>G17/G19</f>
        <v>0</v>
      </c>
      <c r="J17" s="4" t="s">
        <v>9</v>
      </c>
      <c r="K17" s="4">
        <v>0</v>
      </c>
      <c r="L17" s="5" t="e">
        <f>K17/K19</f>
        <v>#DIV/0!</v>
      </c>
    </row>
    <row r="18" spans="2:12" x14ac:dyDescent="0.3">
      <c r="B18" s="4" t="s">
        <v>10</v>
      </c>
      <c r="C18" s="4">
        <v>0</v>
      </c>
      <c r="D18" s="5">
        <f>C18/C19</f>
        <v>0</v>
      </c>
      <c r="F18" s="4" t="s">
        <v>10</v>
      </c>
      <c r="G18" s="4">
        <v>0</v>
      </c>
      <c r="H18" s="5">
        <f>G18/G19</f>
        <v>0</v>
      </c>
      <c r="J18" s="4" t="s">
        <v>10</v>
      </c>
      <c r="K18" s="4">
        <v>0</v>
      </c>
      <c r="L18" s="5" t="e">
        <f>K18/K19</f>
        <v>#DIV/0!</v>
      </c>
    </row>
    <row r="19" spans="2:12" x14ac:dyDescent="0.3">
      <c r="B19" s="6" t="s">
        <v>29</v>
      </c>
      <c r="C19" s="6">
        <f>SUM(C15:C18)</f>
        <v>123</v>
      </c>
      <c r="D19" s="7">
        <f>SUM(D15:D18)</f>
        <v>1</v>
      </c>
      <c r="F19" s="6" t="s">
        <v>29</v>
      </c>
      <c r="G19" s="6">
        <f>SUM(G15:G18)</f>
        <v>24</v>
      </c>
      <c r="H19" s="7">
        <f>SUM(H15:H18)</f>
        <v>1</v>
      </c>
      <c r="J19" s="6" t="s">
        <v>29</v>
      </c>
      <c r="K19" s="6">
        <f>SUM(K15:K18)</f>
        <v>0</v>
      </c>
      <c r="L19" s="7" t="e">
        <f>SUM(L15:L18)</f>
        <v>#DIV/0!</v>
      </c>
    </row>
    <row r="21" spans="2:12" ht="30" customHeight="1" x14ac:dyDescent="0.3">
      <c r="B21" s="20" t="s">
        <v>48</v>
      </c>
      <c r="C21" s="21"/>
      <c r="D21" s="22"/>
      <c r="F21" s="20" t="s">
        <v>48</v>
      </c>
      <c r="G21" s="21"/>
      <c r="H21" s="22"/>
      <c r="J21" s="20" t="s">
        <v>48</v>
      </c>
      <c r="K21" s="21"/>
      <c r="L21" s="22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104</v>
      </c>
      <c r="D23" s="5">
        <f>C23/C27</f>
        <v>0.84552845528455289</v>
      </c>
      <c r="F23" s="4" t="s">
        <v>7</v>
      </c>
      <c r="G23" s="4">
        <v>22</v>
      </c>
      <c r="H23" s="5">
        <f>G23/G27</f>
        <v>0.91666666666666663</v>
      </c>
      <c r="J23" s="4" t="s">
        <v>7</v>
      </c>
      <c r="K23" s="4">
        <v>0</v>
      </c>
      <c r="L23" s="5" t="e">
        <f>K23/K27</f>
        <v>#DIV/0!</v>
      </c>
    </row>
    <row r="24" spans="2:12" x14ac:dyDescent="0.3">
      <c r="B24" s="4" t="s">
        <v>8</v>
      </c>
      <c r="C24" s="4">
        <v>19</v>
      </c>
      <c r="D24" s="5">
        <f>C24/C27</f>
        <v>0.15447154471544716</v>
      </c>
      <c r="F24" s="4" t="s">
        <v>8</v>
      </c>
      <c r="G24" s="4">
        <v>2</v>
      </c>
      <c r="H24" s="5">
        <f>G24/G27</f>
        <v>8.3333333333333329E-2</v>
      </c>
      <c r="J24" s="4" t="s">
        <v>8</v>
      </c>
      <c r="K24" s="4">
        <v>0</v>
      </c>
      <c r="L24" s="5" t="e">
        <f>K24/K27</f>
        <v>#DIV/0!</v>
      </c>
    </row>
    <row r="25" spans="2:12" x14ac:dyDescent="0.3">
      <c r="B25" s="4" t="s">
        <v>9</v>
      </c>
      <c r="C25" s="4">
        <v>0</v>
      </c>
      <c r="D25" s="5">
        <f>C25/C27</f>
        <v>0</v>
      </c>
      <c r="F25" s="4" t="s">
        <v>9</v>
      </c>
      <c r="G25" s="4">
        <v>0</v>
      </c>
      <c r="H25" s="5">
        <f>G25/G27</f>
        <v>0</v>
      </c>
      <c r="J25" s="4" t="s">
        <v>9</v>
      </c>
      <c r="K25" s="4">
        <v>0</v>
      </c>
      <c r="L25" s="5" t="e">
        <f>K25/K27</f>
        <v>#DIV/0!</v>
      </c>
    </row>
    <row r="26" spans="2:12" x14ac:dyDescent="0.3">
      <c r="B26" s="4" t="s">
        <v>10</v>
      </c>
      <c r="C26" s="4">
        <v>0</v>
      </c>
      <c r="D26" s="5">
        <f>C26/C27</f>
        <v>0</v>
      </c>
      <c r="F26" s="4" t="s">
        <v>10</v>
      </c>
      <c r="G26" s="4">
        <v>0</v>
      </c>
      <c r="H26" s="5">
        <f>G26/G27</f>
        <v>0</v>
      </c>
      <c r="J26" s="4" t="s">
        <v>10</v>
      </c>
      <c r="K26" s="4">
        <v>0</v>
      </c>
      <c r="L26" s="5" t="e">
        <f>K26/K27</f>
        <v>#DIV/0!</v>
      </c>
    </row>
    <row r="27" spans="2:12" x14ac:dyDescent="0.3">
      <c r="B27" s="6" t="s">
        <v>29</v>
      </c>
      <c r="C27" s="6">
        <f>SUM(C23:C26)</f>
        <v>123</v>
      </c>
      <c r="D27" s="7">
        <f>SUM(D23:D26)</f>
        <v>1</v>
      </c>
      <c r="F27" s="6" t="s">
        <v>29</v>
      </c>
      <c r="G27" s="6">
        <f>SUM(G23:G26)</f>
        <v>24</v>
      </c>
      <c r="H27" s="7">
        <f>SUM(H23:H26)</f>
        <v>1</v>
      </c>
      <c r="J27" s="6" t="s">
        <v>29</v>
      </c>
      <c r="K27" s="6">
        <f>SUM(K23:K26)</f>
        <v>0</v>
      </c>
      <c r="L27" s="7" t="e">
        <f>SUM(L23:L26)</f>
        <v>#DIV/0!</v>
      </c>
    </row>
    <row r="28" spans="2:12" x14ac:dyDescent="0.3">
      <c r="B28" s="17"/>
      <c r="C28" s="17"/>
      <c r="D28" s="18"/>
      <c r="F28" s="17"/>
      <c r="G28" s="17"/>
      <c r="H28" s="18"/>
      <c r="J28" s="17"/>
      <c r="K28" s="17"/>
      <c r="L28" s="18"/>
    </row>
    <row r="29" spans="2:12" x14ac:dyDescent="0.3">
      <c r="B29" s="20" t="s">
        <v>49</v>
      </c>
      <c r="C29" s="21"/>
      <c r="D29" s="22"/>
      <c r="F29" s="20" t="s">
        <v>49</v>
      </c>
      <c r="G29" s="21"/>
      <c r="H29" s="22"/>
      <c r="J29" s="20" t="s">
        <v>49</v>
      </c>
      <c r="K29" s="21"/>
      <c r="L29" s="22"/>
    </row>
    <row r="30" spans="2:12" x14ac:dyDescent="0.3">
      <c r="B30" s="15" t="s">
        <v>4</v>
      </c>
      <c r="C30" s="15" t="s">
        <v>5</v>
      </c>
      <c r="D30" s="15" t="s">
        <v>6</v>
      </c>
      <c r="F30" s="15" t="s">
        <v>4</v>
      </c>
      <c r="G30" s="15" t="s">
        <v>5</v>
      </c>
      <c r="H30" s="15" t="s">
        <v>6</v>
      </c>
      <c r="J30" s="15" t="s">
        <v>4</v>
      </c>
      <c r="K30" s="15" t="s">
        <v>5</v>
      </c>
      <c r="L30" s="15" t="s">
        <v>6</v>
      </c>
    </row>
    <row r="31" spans="2:12" x14ac:dyDescent="0.3">
      <c r="B31" s="4" t="s">
        <v>7</v>
      </c>
      <c r="C31" s="4">
        <v>104</v>
      </c>
      <c r="D31" s="5">
        <f>C31/C35</f>
        <v>0.84552845528455289</v>
      </c>
      <c r="F31" s="4" t="s">
        <v>7</v>
      </c>
      <c r="G31" s="4">
        <v>23</v>
      </c>
      <c r="H31" s="5">
        <f>G31/G35</f>
        <v>0.95833333333333337</v>
      </c>
      <c r="J31" s="4" t="s">
        <v>7</v>
      </c>
      <c r="K31" s="4">
        <v>0</v>
      </c>
      <c r="L31" s="5" t="e">
        <f>K31/K35</f>
        <v>#DIV/0!</v>
      </c>
    </row>
    <row r="32" spans="2:12" x14ac:dyDescent="0.3">
      <c r="B32" s="4" t="s">
        <v>8</v>
      </c>
      <c r="C32" s="4">
        <v>19</v>
      </c>
      <c r="D32" s="5">
        <f>C32/C35</f>
        <v>0.15447154471544716</v>
      </c>
      <c r="F32" s="4" t="s">
        <v>8</v>
      </c>
      <c r="G32" s="4">
        <v>1</v>
      </c>
      <c r="H32" s="5">
        <f>G32/G35</f>
        <v>4.1666666666666664E-2</v>
      </c>
      <c r="J32" s="4" t="s">
        <v>8</v>
      </c>
      <c r="K32" s="4">
        <v>0</v>
      </c>
      <c r="L32" s="5" t="e">
        <f>K32/K35</f>
        <v>#DIV/0!</v>
      </c>
    </row>
    <row r="33" spans="2:12" x14ac:dyDescent="0.3">
      <c r="B33" s="4" t="s">
        <v>9</v>
      </c>
      <c r="C33" s="4">
        <v>0</v>
      </c>
      <c r="D33" s="5">
        <f>C33/C35</f>
        <v>0</v>
      </c>
      <c r="F33" s="4" t="s">
        <v>9</v>
      </c>
      <c r="G33" s="4">
        <v>0</v>
      </c>
      <c r="H33" s="5">
        <f>G33/G35</f>
        <v>0</v>
      </c>
      <c r="J33" s="4" t="s">
        <v>9</v>
      </c>
      <c r="K33" s="4">
        <v>0</v>
      </c>
      <c r="L33" s="5" t="e">
        <f>K33/K35</f>
        <v>#DIV/0!</v>
      </c>
    </row>
    <row r="34" spans="2:12" x14ac:dyDescent="0.3">
      <c r="B34" s="4" t="s">
        <v>10</v>
      </c>
      <c r="C34" s="4">
        <v>0</v>
      </c>
      <c r="D34" s="5">
        <f>C34/C35</f>
        <v>0</v>
      </c>
      <c r="F34" s="4" t="s">
        <v>10</v>
      </c>
      <c r="G34" s="4">
        <v>0</v>
      </c>
      <c r="H34" s="5">
        <f>G34/G35</f>
        <v>0</v>
      </c>
      <c r="J34" s="4" t="s">
        <v>10</v>
      </c>
      <c r="K34" s="4">
        <v>0</v>
      </c>
      <c r="L34" s="5" t="e">
        <f>K34/K35</f>
        <v>#DIV/0!</v>
      </c>
    </row>
    <row r="35" spans="2:12" x14ac:dyDescent="0.3">
      <c r="B35" s="6" t="s">
        <v>29</v>
      </c>
      <c r="C35" s="6">
        <f>SUM(C31:C34)</f>
        <v>123</v>
      </c>
      <c r="D35" s="7">
        <f>SUM(D31:D34)</f>
        <v>1</v>
      </c>
      <c r="F35" s="6" t="s">
        <v>29</v>
      </c>
      <c r="G35" s="6">
        <f>SUM(G31:G34)</f>
        <v>24</v>
      </c>
      <c r="H35" s="7">
        <f>SUM(H31:H34)</f>
        <v>1</v>
      </c>
      <c r="J35" s="6" t="s">
        <v>29</v>
      </c>
      <c r="K35" s="6">
        <f>SUM(K31:K34)</f>
        <v>0</v>
      </c>
      <c r="L35" s="7" t="e">
        <f>SUM(L31:L34)</f>
        <v>#DIV/0!</v>
      </c>
    </row>
    <row r="36" spans="2:12" x14ac:dyDescent="0.3">
      <c r="B36" s="17"/>
      <c r="C36" s="17"/>
      <c r="D36" s="18"/>
      <c r="F36" s="17"/>
      <c r="G36" s="17"/>
      <c r="H36" s="18"/>
      <c r="J36" s="17"/>
      <c r="K36" s="17"/>
      <c r="L36" s="18"/>
    </row>
    <row r="37" spans="2:12" x14ac:dyDescent="0.3">
      <c r="B37" s="20" t="s">
        <v>50</v>
      </c>
      <c r="C37" s="21"/>
      <c r="D37" s="22"/>
      <c r="F37" s="20" t="s">
        <v>50</v>
      </c>
      <c r="G37" s="21"/>
      <c r="H37" s="22"/>
      <c r="J37" s="20" t="s">
        <v>50</v>
      </c>
      <c r="K37" s="21"/>
      <c r="L37" s="22"/>
    </row>
    <row r="38" spans="2:12" x14ac:dyDescent="0.3">
      <c r="B38" s="15" t="s">
        <v>4</v>
      </c>
      <c r="C38" s="15" t="s">
        <v>5</v>
      </c>
      <c r="D38" s="15" t="s">
        <v>6</v>
      </c>
      <c r="F38" s="15" t="s">
        <v>4</v>
      </c>
      <c r="G38" s="15" t="s">
        <v>5</v>
      </c>
      <c r="H38" s="15" t="s">
        <v>6</v>
      </c>
      <c r="J38" s="15" t="s">
        <v>4</v>
      </c>
      <c r="K38" s="15" t="s">
        <v>5</v>
      </c>
      <c r="L38" s="15" t="s">
        <v>6</v>
      </c>
    </row>
    <row r="39" spans="2:12" x14ac:dyDescent="0.3">
      <c r="B39" s="4" t="s">
        <v>7</v>
      </c>
      <c r="C39" s="4">
        <v>99</v>
      </c>
      <c r="D39" s="5">
        <f>C39/C43</f>
        <v>0.80487804878048785</v>
      </c>
      <c r="F39" s="4" t="s">
        <v>7</v>
      </c>
      <c r="G39" s="4">
        <v>22</v>
      </c>
      <c r="H39" s="5">
        <f>G39/G43</f>
        <v>0.91666666666666663</v>
      </c>
      <c r="J39" s="4" t="s">
        <v>7</v>
      </c>
      <c r="K39" s="4">
        <v>0</v>
      </c>
      <c r="L39" s="5" t="e">
        <f>K39/K43</f>
        <v>#DIV/0!</v>
      </c>
    </row>
    <row r="40" spans="2:12" x14ac:dyDescent="0.3">
      <c r="B40" s="4" t="s">
        <v>8</v>
      </c>
      <c r="C40" s="4">
        <v>23</v>
      </c>
      <c r="D40" s="5">
        <f>C40/C43</f>
        <v>0.18699186991869918</v>
      </c>
      <c r="F40" s="4" t="s">
        <v>8</v>
      </c>
      <c r="G40" s="4">
        <v>2</v>
      </c>
      <c r="H40" s="5">
        <f>G40/G43</f>
        <v>8.3333333333333329E-2</v>
      </c>
      <c r="J40" s="4" t="s">
        <v>8</v>
      </c>
      <c r="K40" s="4">
        <v>0</v>
      </c>
      <c r="L40" s="5" t="e">
        <f>K40/K43</f>
        <v>#DIV/0!</v>
      </c>
    </row>
    <row r="41" spans="2:12" x14ac:dyDescent="0.3">
      <c r="B41" s="4" t="s">
        <v>9</v>
      </c>
      <c r="C41" s="4">
        <v>1</v>
      </c>
      <c r="D41" s="5">
        <f>C41/C43</f>
        <v>8.130081300813009E-3</v>
      </c>
      <c r="F41" s="4" t="s">
        <v>9</v>
      </c>
      <c r="G41" s="4">
        <v>0</v>
      </c>
      <c r="H41" s="5">
        <f>G41/G43</f>
        <v>0</v>
      </c>
      <c r="J41" s="4" t="s">
        <v>9</v>
      </c>
      <c r="K41" s="4">
        <v>0</v>
      </c>
      <c r="L41" s="5" t="e">
        <f>K41/K43</f>
        <v>#DIV/0!</v>
      </c>
    </row>
    <row r="42" spans="2:12" x14ac:dyDescent="0.3">
      <c r="B42" s="4" t="s">
        <v>10</v>
      </c>
      <c r="C42" s="4">
        <v>0</v>
      </c>
      <c r="D42" s="5">
        <f>C42/C43</f>
        <v>0</v>
      </c>
      <c r="F42" s="4" t="s">
        <v>10</v>
      </c>
      <c r="G42" s="4">
        <v>0</v>
      </c>
      <c r="H42" s="5">
        <f>G42/G43</f>
        <v>0</v>
      </c>
      <c r="J42" s="4" t="s">
        <v>10</v>
      </c>
      <c r="K42" s="4">
        <v>0</v>
      </c>
      <c r="L42" s="5" t="e">
        <f>K42/K43</f>
        <v>#DIV/0!</v>
      </c>
    </row>
    <row r="43" spans="2:12" x14ac:dyDescent="0.3">
      <c r="B43" s="6" t="s">
        <v>29</v>
      </c>
      <c r="C43" s="6">
        <f>SUM(C39:C42)</f>
        <v>123</v>
      </c>
      <c r="D43" s="7">
        <f>SUM(D39:D42)</f>
        <v>1</v>
      </c>
      <c r="F43" s="6" t="s">
        <v>29</v>
      </c>
      <c r="G43" s="6">
        <f>SUM(G39:G42)</f>
        <v>24</v>
      </c>
      <c r="H43" s="7">
        <f>SUM(H39:H42)</f>
        <v>1</v>
      </c>
      <c r="J43" s="6" t="s">
        <v>29</v>
      </c>
      <c r="K43" s="6">
        <f>SUM(K39:K42)</f>
        <v>0</v>
      </c>
      <c r="L43" s="7" t="e">
        <f>SUM(L39:L42)</f>
        <v>#DIV/0!</v>
      </c>
    </row>
    <row r="44" spans="2:12" x14ac:dyDescent="0.3">
      <c r="B44" s="17"/>
      <c r="C44" s="17"/>
      <c r="D44" s="18"/>
      <c r="F44" s="17"/>
      <c r="G44" s="17"/>
      <c r="H44" s="18"/>
      <c r="J44" s="17"/>
      <c r="K44" s="17"/>
      <c r="L44" s="18"/>
    </row>
    <row r="46" spans="2:12" x14ac:dyDescent="0.3">
      <c r="C46" t="s">
        <v>16</v>
      </c>
      <c r="G46" t="s">
        <v>16</v>
      </c>
      <c r="K46" t="s">
        <v>30</v>
      </c>
    </row>
    <row r="47" spans="2:12" x14ac:dyDescent="0.3">
      <c r="B47" t="s">
        <v>19</v>
      </c>
      <c r="C47" s="8">
        <f>(C7+C8)/C11</f>
        <v>0.99186991869918695</v>
      </c>
      <c r="F47" t="s">
        <v>19</v>
      </c>
      <c r="G47" s="8">
        <f>(G7+G8)/G11</f>
        <v>1</v>
      </c>
      <c r="J47" t="s">
        <v>19</v>
      </c>
      <c r="K47" s="8" t="e">
        <f>(K7+K8)/K11</f>
        <v>#DIV/0!</v>
      </c>
    </row>
    <row r="48" spans="2:12" x14ac:dyDescent="0.3">
      <c r="B48" t="s">
        <v>20</v>
      </c>
      <c r="C48" s="8">
        <f>(C9+C10)/C11</f>
        <v>8.130081300813009E-3</v>
      </c>
      <c r="F48" t="s">
        <v>20</v>
      </c>
      <c r="G48" s="8">
        <f>(G9+G10)/G11</f>
        <v>0</v>
      </c>
      <c r="J48" t="s">
        <v>20</v>
      </c>
      <c r="K48" s="8" t="e">
        <f>(K9+K10)/K11</f>
        <v>#DIV/0!</v>
      </c>
    </row>
    <row r="50" spans="2:11" x14ac:dyDescent="0.3">
      <c r="C50" t="s">
        <v>17</v>
      </c>
      <c r="G50" t="s">
        <v>17</v>
      </c>
      <c r="K50" t="s">
        <v>31</v>
      </c>
    </row>
    <row r="51" spans="2:11" x14ac:dyDescent="0.3">
      <c r="B51" t="s">
        <v>19</v>
      </c>
      <c r="C51" s="8">
        <f>(C15+C16)/C19</f>
        <v>1</v>
      </c>
      <c r="F51" t="s">
        <v>19</v>
      </c>
      <c r="G51" s="8">
        <f>(G15+G16)/G19</f>
        <v>1</v>
      </c>
      <c r="J51" t="s">
        <v>19</v>
      </c>
      <c r="K51" s="8" t="e">
        <f>(K15+K16)/K19</f>
        <v>#DIV/0!</v>
      </c>
    </row>
    <row r="52" spans="2:11" x14ac:dyDescent="0.3">
      <c r="B52" t="s">
        <v>20</v>
      </c>
      <c r="C52" s="8">
        <f>(C17+C18)/C19</f>
        <v>0</v>
      </c>
      <c r="F52" t="s">
        <v>20</v>
      </c>
      <c r="G52" s="8">
        <f>(G17+G18)/G19</f>
        <v>0</v>
      </c>
      <c r="J52" t="s">
        <v>20</v>
      </c>
      <c r="K52" s="8" t="e">
        <f>(K17+K18)/K19</f>
        <v>#DIV/0!</v>
      </c>
    </row>
    <row r="54" spans="2:11" x14ac:dyDescent="0.3">
      <c r="C54" t="s">
        <v>18</v>
      </c>
      <c r="G54" t="s">
        <v>17</v>
      </c>
      <c r="K54" t="s">
        <v>31</v>
      </c>
    </row>
    <row r="55" spans="2:11" x14ac:dyDescent="0.3">
      <c r="B55" t="s">
        <v>19</v>
      </c>
      <c r="C55" s="8">
        <f>(C23+C24)/C27</f>
        <v>1</v>
      </c>
      <c r="F55" t="s">
        <v>19</v>
      </c>
      <c r="G55" s="8">
        <f>(G23+G24)/G27</f>
        <v>1</v>
      </c>
      <c r="J55" t="s">
        <v>19</v>
      </c>
      <c r="K55" s="8" t="e">
        <f>(K23+K24)/K27</f>
        <v>#DIV/0!</v>
      </c>
    </row>
    <row r="56" spans="2:11" x14ac:dyDescent="0.3">
      <c r="B56" t="s">
        <v>20</v>
      </c>
      <c r="C56" s="8">
        <f>(C25+C26)/C27</f>
        <v>0</v>
      </c>
      <c r="F56" t="s">
        <v>20</v>
      </c>
      <c r="G56" s="8">
        <f>(G25+G26)/G27</f>
        <v>0</v>
      </c>
      <c r="J56" t="s">
        <v>20</v>
      </c>
      <c r="K56" s="8" t="e">
        <f>(K25+K26)/K27</f>
        <v>#DIV/0!</v>
      </c>
    </row>
    <row r="57" spans="2:11" x14ac:dyDescent="0.3">
      <c r="C57" s="8"/>
      <c r="G57" s="8"/>
      <c r="K57" s="8"/>
    </row>
    <row r="58" spans="2:11" x14ac:dyDescent="0.3">
      <c r="C58" t="s">
        <v>30</v>
      </c>
      <c r="G58" t="s">
        <v>17</v>
      </c>
      <c r="K58" t="s">
        <v>31</v>
      </c>
    </row>
    <row r="59" spans="2:11" x14ac:dyDescent="0.3">
      <c r="B59" t="s">
        <v>19</v>
      </c>
      <c r="C59" s="8">
        <f>(C31+C32)/C35</f>
        <v>1</v>
      </c>
      <c r="F59" t="s">
        <v>19</v>
      </c>
      <c r="G59" s="8">
        <f>(G31+G32)/G35</f>
        <v>1</v>
      </c>
      <c r="J59" t="s">
        <v>19</v>
      </c>
      <c r="K59" s="8" t="e">
        <f>(K31+K32)/K35</f>
        <v>#DIV/0!</v>
      </c>
    </row>
    <row r="60" spans="2:11" x14ac:dyDescent="0.3">
      <c r="B60" t="s">
        <v>20</v>
      </c>
      <c r="C60" s="8">
        <f>(C33+C34)/C35</f>
        <v>0</v>
      </c>
      <c r="F60" t="s">
        <v>20</v>
      </c>
      <c r="G60" s="8">
        <f>(G33+G34)/G35</f>
        <v>0</v>
      </c>
      <c r="J60" t="s">
        <v>20</v>
      </c>
      <c r="K60" s="8" t="e">
        <f>(K33+K34)/K35</f>
        <v>#DIV/0!</v>
      </c>
    </row>
    <row r="61" spans="2:11" x14ac:dyDescent="0.3">
      <c r="C61" s="8"/>
      <c r="G61" s="8"/>
      <c r="K61" s="8"/>
    </row>
    <row r="62" spans="2:11" x14ac:dyDescent="0.3">
      <c r="C62" t="s">
        <v>31</v>
      </c>
      <c r="G62" t="s">
        <v>17</v>
      </c>
      <c r="K62" t="s">
        <v>31</v>
      </c>
    </row>
    <row r="63" spans="2:11" x14ac:dyDescent="0.3">
      <c r="B63" t="s">
        <v>19</v>
      </c>
      <c r="C63" s="8">
        <f>(C39+C40)/C43</f>
        <v>0.99186991869918695</v>
      </c>
      <c r="F63" t="s">
        <v>19</v>
      </c>
      <c r="G63" s="8">
        <f>(G39+G40)/G43</f>
        <v>1</v>
      </c>
      <c r="J63" t="s">
        <v>19</v>
      </c>
      <c r="K63" s="8" t="e">
        <f>(K39+K40)/K43</f>
        <v>#DIV/0!</v>
      </c>
    </row>
    <row r="64" spans="2:11" x14ac:dyDescent="0.3">
      <c r="B64" t="s">
        <v>20</v>
      </c>
      <c r="C64" s="8">
        <f>(C41+C42)/C43</f>
        <v>8.130081300813009E-3</v>
      </c>
      <c r="F64" t="s">
        <v>20</v>
      </c>
      <c r="G64" s="8">
        <f>(G41+G42)/G43</f>
        <v>0</v>
      </c>
      <c r="J64" t="s">
        <v>20</v>
      </c>
      <c r="K64" s="8" t="e">
        <f>(K41+K42)/K43</f>
        <v>#DIV/0!</v>
      </c>
    </row>
    <row r="66" spans="2:4" ht="15.6" x14ac:dyDescent="0.3">
      <c r="C66" s="9" t="s">
        <v>19</v>
      </c>
      <c r="D66" s="9" t="s">
        <v>20</v>
      </c>
    </row>
    <row r="67" spans="2:4" ht="18" x14ac:dyDescent="0.35">
      <c r="B67" s="10" t="s">
        <v>0</v>
      </c>
      <c r="C67" s="11">
        <f>(C47+C51+C55+C59+C63)/5</f>
        <v>0.99674796747967476</v>
      </c>
      <c r="D67" s="11">
        <f>(C48+C52+C56)/3</f>
        <v>2.7100271002710031E-3</v>
      </c>
    </row>
    <row r="68" spans="2:4" ht="18" x14ac:dyDescent="0.35">
      <c r="B68" s="10" t="s">
        <v>1</v>
      </c>
      <c r="C68" s="11">
        <f>(G47+G51+G55+G59+G63)/5</f>
        <v>1</v>
      </c>
      <c r="D68" s="11">
        <f>(G48+G52+G56)/3</f>
        <v>0</v>
      </c>
    </row>
    <row r="69" spans="2:4" ht="18" x14ac:dyDescent="0.35">
      <c r="B69" s="10" t="s">
        <v>2</v>
      </c>
      <c r="C69" s="11" t="e">
        <f>(K47+K51+K55+K59+K63)/5</f>
        <v>#DIV/0!</v>
      </c>
      <c r="D69" s="11" t="e">
        <f>(K48+K52+K56)/3</f>
        <v>#DIV/0!</v>
      </c>
    </row>
  </sheetData>
  <mergeCells count="18">
    <mergeCell ref="B2:D3"/>
    <mergeCell ref="F2:H3"/>
    <mergeCell ref="J2:L3"/>
    <mergeCell ref="B5:D5"/>
    <mergeCell ref="F5:H5"/>
    <mergeCell ref="J5:L5"/>
    <mergeCell ref="B13:D13"/>
    <mergeCell ref="F13:H13"/>
    <mergeCell ref="J13:L13"/>
    <mergeCell ref="B21:D21"/>
    <mergeCell ref="F21:H21"/>
    <mergeCell ref="J21:L21"/>
    <mergeCell ref="B29:D29"/>
    <mergeCell ref="B37:D37"/>
    <mergeCell ref="F29:H29"/>
    <mergeCell ref="F37:H37"/>
    <mergeCell ref="J29:L29"/>
    <mergeCell ref="J37:L3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zoomScale="70" zoomScaleNormal="70" workbookViewId="0">
      <selection activeCell="M19" sqref="M19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29.25" customHeight="1" x14ac:dyDescent="0.3">
      <c r="B5" s="20" t="s">
        <v>38</v>
      </c>
      <c r="C5" s="21"/>
      <c r="D5" s="22"/>
      <c r="F5" s="20" t="s">
        <v>38</v>
      </c>
      <c r="G5" s="21"/>
      <c r="H5" s="22"/>
      <c r="J5" s="20" t="s">
        <v>38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39</v>
      </c>
      <c r="C7" s="4">
        <v>0</v>
      </c>
      <c r="D7" s="5">
        <f>C7/C12</f>
        <v>0</v>
      </c>
      <c r="F7" s="4" t="s">
        <v>39</v>
      </c>
      <c r="G7" s="4">
        <v>1</v>
      </c>
      <c r="H7" s="5">
        <f>G7/G12</f>
        <v>7.874015748031496E-3</v>
      </c>
      <c r="J7" s="4" t="s">
        <v>39</v>
      </c>
      <c r="K7" s="4">
        <v>1</v>
      </c>
      <c r="L7" s="5">
        <f>K7/K12</f>
        <v>5.5865921787709499E-3</v>
      </c>
    </row>
    <row r="8" spans="2:12" x14ac:dyDescent="0.3">
      <c r="B8" s="4" t="s">
        <v>40</v>
      </c>
      <c r="C8" s="4">
        <v>0</v>
      </c>
      <c r="D8" s="5">
        <f>C8/C12</f>
        <v>0</v>
      </c>
      <c r="F8" s="4" t="s">
        <v>40</v>
      </c>
      <c r="G8" s="4">
        <v>1</v>
      </c>
      <c r="H8" s="5">
        <f>G8/G12</f>
        <v>7.874015748031496E-3</v>
      </c>
      <c r="J8" s="4" t="s">
        <v>40</v>
      </c>
      <c r="K8" s="4">
        <v>0</v>
      </c>
      <c r="L8" s="5">
        <f>K8/K12</f>
        <v>0</v>
      </c>
    </row>
    <row r="9" spans="2:12" x14ac:dyDescent="0.3">
      <c r="B9" s="4" t="s">
        <v>41</v>
      </c>
      <c r="C9" s="4">
        <v>1</v>
      </c>
      <c r="D9" s="5">
        <f>C9/C12</f>
        <v>1.3333333333333334E-2</v>
      </c>
      <c r="F9" s="4" t="s">
        <v>41</v>
      </c>
      <c r="G9" s="4">
        <v>4</v>
      </c>
      <c r="H9" s="5">
        <f>G9/G12</f>
        <v>3.1496062992125984E-2</v>
      </c>
      <c r="J9" s="4" t="s">
        <v>41</v>
      </c>
      <c r="K9" s="4">
        <v>2</v>
      </c>
      <c r="L9" s="5">
        <f>K9/K12</f>
        <v>1.11731843575419E-2</v>
      </c>
    </row>
    <row r="10" spans="2:12" x14ac:dyDescent="0.3">
      <c r="B10" s="4" t="s">
        <v>42</v>
      </c>
      <c r="C10" s="4">
        <v>13</v>
      </c>
      <c r="D10" s="5">
        <f>C10/C12</f>
        <v>0.17333333333333334</v>
      </c>
      <c r="F10" s="4" t="s">
        <v>42</v>
      </c>
      <c r="G10" s="4">
        <v>61</v>
      </c>
      <c r="H10" s="5">
        <f>G10/G12</f>
        <v>0.48031496062992124</v>
      </c>
      <c r="J10" s="4" t="s">
        <v>42</v>
      </c>
      <c r="K10" s="4">
        <v>9</v>
      </c>
      <c r="L10" s="5">
        <f>K10/K12</f>
        <v>5.027932960893855E-2</v>
      </c>
    </row>
    <row r="11" spans="2:12" x14ac:dyDescent="0.3">
      <c r="B11" s="4" t="s">
        <v>43</v>
      </c>
      <c r="C11" s="4">
        <v>61</v>
      </c>
      <c r="D11" s="5">
        <f>C11/C12</f>
        <v>0.81333333333333335</v>
      </c>
      <c r="F11" s="4" t="s">
        <v>43</v>
      </c>
      <c r="G11" s="4">
        <v>60</v>
      </c>
      <c r="H11" s="5">
        <f>G11/G12</f>
        <v>0.47244094488188976</v>
      </c>
      <c r="J11" s="4" t="s">
        <v>43</v>
      </c>
      <c r="K11" s="4">
        <v>167</v>
      </c>
      <c r="L11" s="5">
        <f>K11/K12</f>
        <v>0.93296089385474856</v>
      </c>
    </row>
    <row r="12" spans="2:12" x14ac:dyDescent="0.3">
      <c r="B12" s="6" t="s">
        <v>29</v>
      </c>
      <c r="C12" s="6">
        <f>SUM(C7:C11)</f>
        <v>75</v>
      </c>
      <c r="D12" s="7">
        <f>SUM(D7:D11)</f>
        <v>1</v>
      </c>
      <c r="F12" s="6" t="s">
        <v>29</v>
      </c>
      <c r="G12" s="6">
        <f>SUM(G7:G11)</f>
        <v>127</v>
      </c>
      <c r="H12" s="7">
        <v>1</v>
      </c>
      <c r="J12" s="6" t="s">
        <v>29</v>
      </c>
      <c r="K12" s="6">
        <f>SUM(K7:K11)</f>
        <v>179</v>
      </c>
      <c r="L12" s="7">
        <v>1</v>
      </c>
    </row>
    <row r="14" spans="2:12" x14ac:dyDescent="0.3">
      <c r="C14" t="s">
        <v>16</v>
      </c>
      <c r="G14" t="s">
        <v>16</v>
      </c>
      <c r="K14" t="s">
        <v>16</v>
      </c>
    </row>
    <row r="15" spans="2:12" x14ac:dyDescent="0.3">
      <c r="B15" t="s">
        <v>19</v>
      </c>
      <c r="C15" s="8">
        <f>(C10+C11)/C12</f>
        <v>0.98666666666666669</v>
      </c>
      <c r="F15" t="s">
        <v>19</v>
      </c>
      <c r="G15" s="8">
        <f>(G10+G11)/G12</f>
        <v>0.952755905511811</v>
      </c>
      <c r="J15" t="s">
        <v>19</v>
      </c>
      <c r="K15" s="8">
        <f>(K10+K11)/K12</f>
        <v>0.98324022346368711</v>
      </c>
    </row>
    <row r="16" spans="2:12" x14ac:dyDescent="0.3">
      <c r="B16" t="s">
        <v>20</v>
      </c>
      <c r="C16" s="8">
        <f>(C7+C8+C9)/C12</f>
        <v>1.3333333333333334E-2</v>
      </c>
      <c r="F16" t="s">
        <v>20</v>
      </c>
      <c r="G16" s="8">
        <f>(G7+G8+G9)/G12</f>
        <v>4.7244094488188976E-2</v>
      </c>
      <c r="J16" t="s">
        <v>20</v>
      </c>
      <c r="K16" s="8">
        <f>(K7+K8+K9)/K12</f>
        <v>1.6759776536312849E-2</v>
      </c>
    </row>
    <row r="19" spans="2:4" ht="15.6" x14ac:dyDescent="0.3">
      <c r="C19" s="9" t="s">
        <v>19</v>
      </c>
      <c r="D19" s="9" t="s">
        <v>20</v>
      </c>
    </row>
    <row r="20" spans="2:4" ht="18" x14ac:dyDescent="0.35">
      <c r="B20" s="10" t="s">
        <v>0</v>
      </c>
      <c r="C20" s="16">
        <f>C15</f>
        <v>0.98666666666666669</v>
      </c>
      <c r="D20" s="11">
        <f>C16</f>
        <v>1.3333333333333334E-2</v>
      </c>
    </row>
    <row r="21" spans="2:4" ht="18" x14ac:dyDescent="0.35">
      <c r="B21" s="10" t="s">
        <v>1</v>
      </c>
      <c r="C21" s="11">
        <f>G15</f>
        <v>0.952755905511811</v>
      </c>
      <c r="D21" s="11">
        <f>G16</f>
        <v>4.7244094488188976E-2</v>
      </c>
    </row>
    <row r="22" spans="2:4" ht="18" x14ac:dyDescent="0.35">
      <c r="B22" s="10" t="s">
        <v>2</v>
      </c>
      <c r="C22" s="11">
        <f>K15</f>
        <v>0.98324022346368711</v>
      </c>
      <c r="D22" s="11">
        <f>K16</f>
        <v>1.6759776536312849E-2</v>
      </c>
    </row>
  </sheetData>
  <mergeCells count="6"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2024-06-05T01:49:39Z</dcterms:modified>
</cp:coreProperties>
</file>