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REPORTES CK\2024\JUNIO\"/>
    </mc:Choice>
  </mc:AlternateContent>
  <bookViews>
    <workbookView xWindow="0" yWindow="0" windowWidth="17256" windowHeight="5772"/>
  </bookViews>
  <sheets>
    <sheet name="ADMISION" sheetId="2" r:id="rId1"/>
    <sheet name="LABORATORIO" sheetId="3" r:id="rId2"/>
    <sheet name="CMF" sheetId="4" r:id="rId3"/>
    <sheet name="CDI" sheetId="5" r:id="rId4"/>
    <sheet name="SAP" sheetId="6" r:id="rId5"/>
    <sheet name="EMERGENCIA" sheetId="8" r:id="rId6"/>
    <sheet name="CAJA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0" i="8" l="1"/>
  <c r="G11" i="8"/>
  <c r="H11" i="8"/>
  <c r="D23" i="4" l="1"/>
  <c r="D17" i="2" l="1"/>
  <c r="K48" i="8" l="1"/>
  <c r="K47" i="8"/>
  <c r="C51" i="8"/>
  <c r="K43" i="8"/>
  <c r="K35" i="8"/>
  <c r="L34" i="8" s="1"/>
  <c r="G43" i="8"/>
  <c r="G35" i="8"/>
  <c r="H34" i="8" s="1"/>
  <c r="C43" i="8"/>
  <c r="C63" i="8" s="1"/>
  <c r="C35" i="8"/>
  <c r="D34" i="8" s="1"/>
  <c r="K27" i="8"/>
  <c r="G27" i="8"/>
  <c r="C27" i="8"/>
  <c r="C56" i="8" s="1"/>
  <c r="K19" i="8"/>
  <c r="K51" i="8" s="1"/>
  <c r="G19" i="8"/>
  <c r="G52" i="8" s="1"/>
  <c r="C19" i="8"/>
  <c r="K11" i="8"/>
  <c r="C11" i="8"/>
  <c r="C48" i="8" s="1"/>
  <c r="G59" i="8" l="1"/>
  <c r="C64" i="8"/>
  <c r="G63" i="8"/>
  <c r="G64" i="8"/>
  <c r="G60" i="8"/>
  <c r="G55" i="8"/>
  <c r="G56" i="8"/>
  <c r="G51" i="8"/>
  <c r="G48" i="8"/>
  <c r="G47" i="8"/>
  <c r="L42" i="8"/>
  <c r="L43" i="8"/>
  <c r="K63" i="8"/>
  <c r="K64" i="8"/>
  <c r="K60" i="8"/>
  <c r="K59" i="8"/>
  <c r="K55" i="8"/>
  <c r="C69" i="8" s="1"/>
  <c r="K56" i="8"/>
  <c r="K52" i="8"/>
  <c r="C59" i="8"/>
  <c r="C60" i="8"/>
  <c r="C55" i="8"/>
  <c r="D42" i="8"/>
  <c r="H42" i="8"/>
  <c r="H43" i="8" s="1"/>
  <c r="H18" i="8"/>
  <c r="H26" i="8"/>
  <c r="D35" i="8"/>
  <c r="C47" i="8"/>
  <c r="L10" i="8"/>
  <c r="D18" i="8"/>
  <c r="L26" i="8"/>
  <c r="C52" i="8"/>
  <c r="D67" i="8" s="1"/>
  <c r="D10" i="8"/>
  <c r="L18" i="8"/>
  <c r="D26" i="8"/>
  <c r="C68" i="8" l="1"/>
  <c r="C67" i="8"/>
  <c r="H35" i="8"/>
  <c r="H27" i="8"/>
  <c r="L27" i="8"/>
  <c r="D43" i="8"/>
  <c r="L35" i="8"/>
  <c r="L19" i="8"/>
  <c r="D68" i="8"/>
  <c r="D19" i="8"/>
  <c r="D27" i="8"/>
  <c r="L11" i="8"/>
  <c r="D11" i="8"/>
  <c r="H19" i="8"/>
  <c r="D69" i="8"/>
  <c r="C10" i="3" l="1"/>
  <c r="D10" i="3" l="1"/>
  <c r="K10" i="2"/>
  <c r="L10" i="2" s="1"/>
  <c r="G17" i="2"/>
  <c r="H17" i="2" s="1"/>
  <c r="G23" i="3" l="1"/>
  <c r="H23" i="3" l="1"/>
  <c r="C12" i="7"/>
  <c r="C10" i="5" l="1"/>
  <c r="D12" i="7" l="1"/>
  <c r="G17" i="3"/>
  <c r="G10" i="3"/>
  <c r="C23" i="3"/>
  <c r="C17" i="3"/>
  <c r="C27" i="3"/>
  <c r="D10" i="5" l="1"/>
  <c r="G31" i="3"/>
  <c r="G27" i="3"/>
  <c r="C31" i="3"/>
  <c r="D17" i="3"/>
  <c r="K17" i="2"/>
  <c r="K22" i="2"/>
  <c r="G10" i="2"/>
  <c r="C17" i="2"/>
  <c r="C10" i="2"/>
  <c r="H17" i="3" l="1"/>
  <c r="H10" i="3"/>
  <c r="L17" i="2"/>
  <c r="G22" i="2"/>
  <c r="C22" i="2"/>
  <c r="D10" i="2"/>
  <c r="D23" i="3"/>
  <c r="C21" i="2"/>
  <c r="C25" i="2" s="1"/>
  <c r="H10" i="2" l="1"/>
  <c r="K12" i="7"/>
  <c r="G12" i="7"/>
  <c r="G16" i="4" l="1"/>
  <c r="O12" i="4" l="1"/>
  <c r="K16" i="7"/>
  <c r="K15" i="7"/>
  <c r="G16" i="7"/>
  <c r="G15" i="7"/>
  <c r="O11" i="4"/>
  <c r="G30" i="3"/>
  <c r="G26" i="3"/>
  <c r="C30" i="3"/>
  <c r="C26" i="3"/>
  <c r="K21" i="2"/>
  <c r="G21" i="2"/>
  <c r="H16" i="4" l="1"/>
  <c r="K27" i="6"/>
  <c r="K19" i="6"/>
  <c r="K11" i="6"/>
  <c r="G27" i="6"/>
  <c r="G19" i="6"/>
  <c r="G11" i="6"/>
  <c r="C27" i="6"/>
  <c r="C19" i="6"/>
  <c r="C11" i="6"/>
  <c r="K40" i="6" l="1"/>
  <c r="K39" i="6"/>
  <c r="K36" i="6"/>
  <c r="K35" i="6"/>
  <c r="K32" i="6"/>
  <c r="K31" i="6"/>
  <c r="G40" i="6"/>
  <c r="G39" i="6"/>
  <c r="G35" i="6"/>
  <c r="G36" i="6"/>
  <c r="G32" i="6"/>
  <c r="G31" i="6"/>
  <c r="K17" i="5"/>
  <c r="K10" i="5"/>
  <c r="G17" i="5"/>
  <c r="G10" i="5"/>
  <c r="C17" i="5"/>
  <c r="H27" i="6" l="1"/>
  <c r="D27" i="6"/>
  <c r="D19" i="6"/>
  <c r="D11" i="6"/>
  <c r="K26" i="5"/>
  <c r="L17" i="5"/>
  <c r="K22" i="5"/>
  <c r="G26" i="5"/>
  <c r="G22" i="5"/>
  <c r="L27" i="6"/>
  <c r="L19" i="6"/>
  <c r="L11" i="6"/>
  <c r="H19" i="6"/>
  <c r="H11" i="6"/>
  <c r="K25" i="5"/>
  <c r="K21" i="5"/>
  <c r="G25" i="5"/>
  <c r="G21" i="5"/>
  <c r="G23" i="4"/>
  <c r="G9" i="4"/>
  <c r="C23" i="4"/>
  <c r="C16" i="4"/>
  <c r="C9" i="4"/>
  <c r="D17" i="5" l="1"/>
  <c r="L10" i="5"/>
  <c r="H17" i="5"/>
  <c r="H10" i="5"/>
  <c r="O16" i="4"/>
  <c r="H23" i="4"/>
  <c r="D9" i="4"/>
  <c r="H9" i="4"/>
  <c r="O15" i="4"/>
  <c r="O8" i="4"/>
  <c r="O7" i="4"/>
  <c r="C21" i="7"/>
  <c r="D22" i="7"/>
  <c r="D21" i="7"/>
  <c r="D20" i="7"/>
  <c r="C22" i="7"/>
  <c r="C20" i="7"/>
  <c r="D47" i="6"/>
  <c r="D45" i="6"/>
  <c r="C46" i="6"/>
  <c r="C34" i="5"/>
  <c r="D36" i="3"/>
  <c r="D35" i="3"/>
  <c r="C36" i="3"/>
  <c r="C35" i="3"/>
  <c r="D27" i="2"/>
  <c r="D26" i="2"/>
  <c r="D25" i="2"/>
  <c r="C27" i="2"/>
  <c r="C26" i="2"/>
  <c r="D16" i="4" l="1"/>
  <c r="K20" i="4"/>
  <c r="L20" i="4"/>
  <c r="K21" i="4"/>
  <c r="L21" i="4"/>
  <c r="C47" i="6"/>
  <c r="D46" i="6"/>
  <c r="C45" i="6"/>
  <c r="D34" i="5"/>
  <c r="D33" i="5"/>
  <c r="C33" i="5"/>
</calcChain>
</file>

<file path=xl/sharedStrings.xml><?xml version="1.0" encoding="utf-8"?>
<sst xmlns="http://schemas.openxmlformats.org/spreadsheetml/2006/main" count="625" uniqueCount="51">
  <si>
    <t>ALBORADA</t>
  </si>
  <si>
    <t>KENNEDY</t>
  </si>
  <si>
    <t>SAMBORONDON</t>
  </si>
  <si>
    <t>4. La calidad de atención recibida durante la Admisión fue</t>
  </si>
  <si>
    <t>VARIABLES</t>
  </si>
  <si>
    <t>DATOS MASS</t>
  </si>
  <si>
    <t>%</t>
  </si>
  <si>
    <t>Excelente</t>
  </si>
  <si>
    <t>Normal</t>
  </si>
  <si>
    <t>Deficiente</t>
  </si>
  <si>
    <t>N/A</t>
  </si>
  <si>
    <t>TOTAL</t>
  </si>
  <si>
    <t>5. El tiempo (en minutos) que tuvo que esperar para que se le asigne habitación fue:</t>
  </si>
  <si>
    <t>Menos 30 min</t>
  </si>
  <si>
    <t>De 30 a 60 min</t>
  </si>
  <si>
    <t>Más de 60 min</t>
  </si>
  <si>
    <t>P1</t>
  </si>
  <si>
    <t>P2</t>
  </si>
  <si>
    <t>P3</t>
  </si>
  <si>
    <t>SATISFACCION</t>
  </si>
  <si>
    <t>INSATISFACCION</t>
  </si>
  <si>
    <t>4. La calidad de atención recibida por parte del Personal de Servicios al cliente al proporcionar información para la realización de (los) exámen (es) fue:</t>
  </si>
  <si>
    <t>5. El calidad de atención recibida del Personal de Laboratorio al momento de tomar la muestra fue:</t>
  </si>
  <si>
    <t>6. El tiempo de atención por parte del Personal de Laboratorio fue realizado en menos de 20 minutos</t>
  </si>
  <si>
    <t>SI</t>
  </si>
  <si>
    <t>NO</t>
  </si>
  <si>
    <t>3. Califique el tiempo de espera transcurrido desde que llegó a nuestras instalaciones hasta recibir la consulta médica</t>
  </si>
  <si>
    <t xml:space="preserve">Tiempo Adecuado (15 min) </t>
  </si>
  <si>
    <t>Fuera de tiempo ( Más de 20 min)</t>
  </si>
  <si>
    <t>Total</t>
  </si>
  <si>
    <t>P4</t>
  </si>
  <si>
    <t>P5</t>
  </si>
  <si>
    <t>VARIABLE</t>
  </si>
  <si>
    <t>3. Cómo califica la atención del personal clínico que le realizó el examen?</t>
  </si>
  <si>
    <t>4. ¿Cómo califica la atención del personal de Servicio al cliente?</t>
  </si>
  <si>
    <t>5. Califique la calidad de los servicios de imágenes - CDI</t>
  </si>
  <si>
    <t>6. Califique la calidad de los servicios de Laboratorio</t>
  </si>
  <si>
    <t>7. Como calificaría la limpieza de la habitación</t>
  </si>
  <si>
    <t>3. Califique su experiencia en el área de caja, ( del 1 al 5, donde el 1 es malo y 5 excelente)</t>
  </si>
  <si>
    <t>CALIFICACION 1</t>
  </si>
  <si>
    <t>CALIFICACION 2</t>
  </si>
  <si>
    <t>CALIFICACION 3</t>
  </si>
  <si>
    <t>CALIFICACION 4</t>
  </si>
  <si>
    <t>CALIFICACION 5</t>
  </si>
  <si>
    <t>4. Califique la Calidad de atención recibida en el area de Caja en la Consulta Externa.</t>
  </si>
  <si>
    <t xml:space="preserve"> </t>
  </si>
  <si>
    <t>1. Cómo califica la atención recibida del: Médico Tratante</t>
  </si>
  <si>
    <t>2. Cómo califica la atención recibida del: Médico Residente</t>
  </si>
  <si>
    <t>3. Cómo califica la atención recibida del: Personal de Enfermería</t>
  </si>
  <si>
    <t>4. ¿La explicación del médico sobre el diagnóstico, tratamiento y signos de alarma, fue clara, efectiva y oportuna?</t>
  </si>
  <si>
    <t>5. ¿Cómo calificaría la limpieza del servicio de la emergencia?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</si>
</sst>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2" fillId="0" borderId="1" xfId="0" applyFont="1" applyBorder="1"/>
    <xf numFmtId="9" fontId="2" fillId="0" borderId="1" xfId="0" applyNumberFormat="1" applyFont="1" applyBorder="1"/>
    <xf numFmtId="9" fontId="0" fillId="0" borderId="0" xfId="1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9" fontId="6" fillId="0" borderId="1" xfId="1" applyFont="1" applyBorder="1"/>
    <xf numFmtId="0" fontId="5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9" fontId="0" fillId="0" borderId="1" xfId="1" applyFont="1" applyBorder="1"/>
    <xf numFmtId="0" fontId="2" fillId="0" borderId="0" xfId="0" applyFont="1" applyBorder="1"/>
    <xf numFmtId="9" fontId="2" fillId="0" borderId="0" xfId="0" applyNumberFormat="1" applyFont="1" applyBorder="1"/>
    <xf numFmtId="0" fontId="2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ADMISION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ADMISION!$C$24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ADMISION!$B$25:$B$27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ADMISION!$C$25:$C$27</c:f>
              <c:numCache>
                <c:formatCode>0%</c:formatCode>
                <c:ptCount val="3"/>
                <c:pt idx="0">
                  <c:v>1</c:v>
                </c:pt>
                <c:pt idx="1">
                  <c:v>0.98373983739837401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C-425B-A5A3-E9E712698265}"/>
            </c:ext>
          </c:extLst>
        </c:ser>
        <c:ser>
          <c:idx val="1"/>
          <c:order val="1"/>
          <c:tx>
            <c:strRef>
              <c:f>ADMISION!$D$24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ADMISION!$B$25:$B$27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ADMISION!$D$25:$D$27</c:f>
              <c:numCache>
                <c:formatCode>0%</c:formatCode>
                <c:ptCount val="3"/>
                <c:pt idx="0">
                  <c:v>0</c:v>
                </c:pt>
                <c:pt idx="1">
                  <c:v>1.6260162601626018E-2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C-425B-A5A3-E9E7126982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15968"/>
        <c:axId val="724240096"/>
      </c:barChart>
      <c:catAx>
        <c:axId val="7242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40096"/>
        <c:crosses val="autoZero"/>
        <c:auto val="1"/>
        <c:lblAlgn val="ctr"/>
        <c:lblOffset val="100"/>
        <c:noMultiLvlLbl val="0"/>
      </c:catAx>
      <c:valAx>
        <c:axId val="7242400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LABORATORIO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LABORATORIO!$C$34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LABORATORIO!$B$35:$B$36</c:f>
              <c:strCache>
                <c:ptCount val="2"/>
                <c:pt idx="0">
                  <c:v>ALBORADA</c:v>
                </c:pt>
                <c:pt idx="1">
                  <c:v>SAMBORONDON</c:v>
                </c:pt>
              </c:strCache>
            </c:strRef>
          </c:cat>
          <c:val>
            <c:numRef>
              <c:f>LABORATORIO!$C$35:$C$36</c:f>
              <c:numCache>
                <c:formatCode>0%</c:formatCode>
                <c:ptCount val="2"/>
                <c:pt idx="0">
                  <c:v>1</c:v>
                </c:pt>
                <c:pt idx="1">
                  <c:v>0.99752475247524752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E-4722-ADDE-D39CABDD8CF4}"/>
            </c:ext>
          </c:extLst>
        </c:ser>
        <c:ser>
          <c:idx val="1"/>
          <c:order val="1"/>
          <c:tx>
            <c:strRef>
              <c:f>LABORATORIO!$D$34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LABORATORIO!$B$35:$B$36</c:f>
              <c:strCache>
                <c:ptCount val="2"/>
                <c:pt idx="0">
                  <c:v>ALBORADA</c:v>
                </c:pt>
                <c:pt idx="1">
                  <c:v>SAMBORONDON</c:v>
                </c:pt>
              </c:strCache>
            </c:strRef>
          </c:cat>
          <c:val>
            <c:numRef>
              <c:f>LABORATORIO!$D$35:$D$36</c:f>
              <c:numCache>
                <c:formatCode>0%</c:formatCode>
                <c:ptCount val="2"/>
                <c:pt idx="0">
                  <c:v>0</c:v>
                </c:pt>
                <c:pt idx="1">
                  <c:v>2.4752475247524753E-3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E-4722-ADDE-D39CABDD8C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CMF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CMF!$K$19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CMF!$J$20:$J$21</c:f>
              <c:strCache>
                <c:ptCount val="2"/>
                <c:pt idx="0">
                  <c:v>ALBORADA</c:v>
                </c:pt>
                <c:pt idx="1">
                  <c:v>KENNEDY</c:v>
                </c:pt>
              </c:strCache>
            </c:strRef>
          </c:cat>
          <c:val>
            <c:numRef>
              <c:f>CMF!$K$20:$K$21</c:f>
              <c:numCache>
                <c:formatCode>0%</c:formatCode>
                <c:ptCount val="2"/>
                <c:pt idx="0">
                  <c:v>0</c:v>
                </c:pt>
                <c:pt idx="1">
                  <c:v>0.98501872659176026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B-4C5A-93EA-2F4DB0EF3BC3}"/>
            </c:ext>
          </c:extLst>
        </c:ser>
        <c:ser>
          <c:idx val="1"/>
          <c:order val="1"/>
          <c:tx>
            <c:strRef>
              <c:f>CMF!$L$19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CMF!$J$20:$J$21</c:f>
              <c:strCache>
                <c:ptCount val="2"/>
                <c:pt idx="0">
                  <c:v>ALBORADA</c:v>
                </c:pt>
                <c:pt idx="1">
                  <c:v>KENNEDY</c:v>
                </c:pt>
              </c:strCache>
            </c:strRef>
          </c:cat>
          <c:val>
            <c:numRef>
              <c:f>CMF!$L$20:$L$21</c:f>
              <c:numCache>
                <c:formatCode>0%</c:formatCode>
                <c:ptCount val="2"/>
                <c:pt idx="0">
                  <c:v>0</c:v>
                </c:pt>
                <c:pt idx="1">
                  <c:v>1.4981273408239701E-2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B-4C5A-93EA-2F4DB0EF3B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CDI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CDI!$C$31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CDI!$B$32:$B$34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CDI!$C$32:$C$34</c:f>
              <c:numCache>
                <c:formatCode>0%</c:formatCode>
                <c:ptCount val="3"/>
                <c:pt idx="0">
                  <c:v>0</c:v>
                </c:pt>
                <c:pt idx="1">
                  <c:v>0.99425287356321834</c:v>
                </c:pt>
                <c:pt idx="2">
                  <c:v>0.99230769230769234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B-4EEA-9E36-C16544639BA3}"/>
            </c:ext>
          </c:extLst>
        </c:ser>
        <c:ser>
          <c:idx val="1"/>
          <c:order val="1"/>
          <c:tx>
            <c:strRef>
              <c:f>CDI!$D$31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CDI!$B$32:$B$34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CDI!$D$32:$D$34</c:f>
              <c:numCache>
                <c:formatCode>0%</c:formatCode>
                <c:ptCount val="3"/>
                <c:pt idx="0">
                  <c:v>0</c:v>
                </c:pt>
                <c:pt idx="1">
                  <c:v>5.7471264367816091E-3</c:v>
                </c:pt>
                <c:pt idx="2">
                  <c:v>7.6923076923076927E-3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1B-4EEA-9E36-C16544639B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33856"/>
        <c:axId val="724235520"/>
      </c:barChart>
      <c:catAx>
        <c:axId val="72423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5520"/>
        <c:crosses val="autoZero"/>
        <c:auto val="1"/>
        <c:lblAlgn val="ctr"/>
        <c:lblOffset val="100"/>
        <c:noMultiLvlLbl val="0"/>
      </c:catAx>
      <c:valAx>
        <c:axId val="7242355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3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SERVICIO AL PACIENTE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SAP!$C$44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SAP!$B$45:$B$47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SAP!$C$45:$C$47</c:f>
              <c:numCache>
                <c:formatCode>0%</c:formatCode>
                <c:ptCount val="3"/>
                <c:pt idx="0">
                  <c:v>0</c:v>
                </c:pt>
                <c:pt idx="1">
                  <c:v>0.81531531531531531</c:v>
                </c:pt>
                <c:pt idx="2">
                  <c:v>0.73809523809523814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F-4A36-BE19-353D5B4B8B26}"/>
            </c:ext>
          </c:extLst>
        </c:ser>
        <c:ser>
          <c:idx val="1"/>
          <c:order val="1"/>
          <c:tx>
            <c:strRef>
              <c:f>SAP!$D$44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SAP!$B$45:$B$47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SAP!$D$45:$D$47</c:f>
              <c:numCache>
                <c:formatCode>0%</c:formatCode>
                <c:ptCount val="3"/>
                <c:pt idx="0">
                  <c:v>0</c:v>
                </c:pt>
                <c:pt idx="1">
                  <c:v>0.18468468468468469</c:v>
                </c:pt>
                <c:pt idx="2">
                  <c:v>0.26190476190476192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F-4A36-BE19-353D5B4B8B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64496"/>
        <c:axId val="717470736"/>
      </c:barChart>
      <c:catAx>
        <c:axId val="7174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0736"/>
        <c:crosses val="autoZero"/>
        <c:auto val="1"/>
        <c:lblAlgn val="ctr"/>
        <c:lblOffset val="100"/>
        <c:noMultiLvlLbl val="0"/>
      </c:catAx>
      <c:valAx>
        <c:axId val="717470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SERVICIO AL PACIENTE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EMERGENCIA!$C$66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EMERGENCIA!$B$67:$B$69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EMERGENCIA!$C$67:$C$69</c:f>
              <c:numCache>
                <c:formatCode>0%</c:formatCode>
                <c:ptCount val="3"/>
                <c:pt idx="0">
                  <c:v>1</c:v>
                </c:pt>
                <c:pt idx="1">
                  <c:v>0.9913043478260869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A-413A-A5DC-0EC4EB13D413}"/>
            </c:ext>
          </c:extLst>
        </c:ser>
        <c:ser>
          <c:idx val="1"/>
          <c:order val="1"/>
          <c:tx>
            <c:strRef>
              <c:f>EMERGENCIA!$D$66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EMERGENCIA!$B$67:$B$69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EMERGENCIA!$D$67:$D$69</c:f>
              <c:numCache>
                <c:formatCode>0%</c:formatCode>
                <c:ptCount val="3"/>
                <c:pt idx="0">
                  <c:v>0</c:v>
                </c:pt>
                <c:pt idx="1">
                  <c:v>1.4492753623188406E-2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A-413A-A5DC-0EC4EB13D4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64496"/>
        <c:axId val="717470736"/>
      </c:barChart>
      <c:catAx>
        <c:axId val="7174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0736"/>
        <c:crosses val="autoZero"/>
        <c:auto val="1"/>
        <c:lblAlgn val="ctr"/>
        <c:lblOffset val="100"/>
        <c:noMultiLvlLbl val="0"/>
      </c:catAx>
      <c:valAx>
        <c:axId val="717470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CAJA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CAJA!$C$19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CAJA!$B$20:$B$22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CAJA!$C$20:$C$22</c:f>
              <c:numCache>
                <c:formatCode>0%</c:formatCode>
                <c:ptCount val="3"/>
                <c:pt idx="0">
                  <c:v>0</c:v>
                </c:pt>
                <c:pt idx="1">
                  <c:v>0.97350993377483441</c:v>
                </c:pt>
                <c:pt idx="2">
                  <c:v>0.99375000000000002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A-4587-8D28-EA7158FE83A0}"/>
            </c:ext>
          </c:extLst>
        </c:ser>
        <c:ser>
          <c:idx val="1"/>
          <c:order val="1"/>
          <c:tx>
            <c:strRef>
              <c:f>CAJA!$D$19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CAJA!$B$20:$B$22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CAJA!$D$20:$D$22</c:f>
              <c:numCache>
                <c:formatCode>0%</c:formatCode>
                <c:ptCount val="3"/>
                <c:pt idx="0">
                  <c:v>0</c:v>
                </c:pt>
                <c:pt idx="1">
                  <c:v>2.6490066225165563E-2</c:v>
                </c:pt>
                <c:pt idx="2">
                  <c:v>6.2500000000000003E-3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A-4587-8D28-EA7158FE83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73648"/>
        <c:axId val="717474480"/>
      </c:barChart>
      <c:catAx>
        <c:axId val="71747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4480"/>
        <c:crosses val="autoZero"/>
        <c:auto val="1"/>
        <c:lblAlgn val="ctr"/>
        <c:lblOffset val="100"/>
        <c:noMultiLvlLbl val="0"/>
      </c:catAx>
      <c:valAx>
        <c:axId val="7174744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7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183694</xdr:colOff>
      <xdr:row>25</xdr:row>
      <xdr:rowOff>2721</xdr:rowOff>
    </xdr:from>
    <xdr:to>
      <xdr:col>10</xdr:col>
      <xdr:colOff>476250</xdr:colOff>
      <xdr:row>48</xdr:row>
      <xdr:rowOff>122465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D9A57C-0E09-4B51-BC82-47077BF04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306160</xdr:colOff>
      <xdr:row>34</xdr:row>
      <xdr:rowOff>152399</xdr:rowOff>
    </xdr:from>
    <xdr:to>
      <xdr:col>9</xdr:col>
      <xdr:colOff>734786</xdr:colOff>
      <xdr:row>58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B4DFD2-2805-49F1-A67A-B069CCD05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22</xdr:row>
      <xdr:rowOff>0</xdr:rowOff>
    </xdr:from>
    <xdr:to>
      <xdr:col>14</xdr:col>
      <xdr:colOff>659948</xdr:colOff>
      <xdr:row>43</xdr:row>
      <xdr:rowOff>92530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A991CE-A2DC-46AD-A277-DA14AF8A3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31</xdr:row>
      <xdr:rowOff>179613</xdr:rowOff>
    </xdr:from>
    <xdr:to>
      <xdr:col>10</xdr:col>
      <xdr:colOff>612321</xdr:colOff>
      <xdr:row>55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272632-72F1-4831-A736-3FA6D2985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292552</xdr:colOff>
      <xdr:row>43</xdr:row>
      <xdr:rowOff>2721</xdr:rowOff>
    </xdr:from>
    <xdr:to>
      <xdr:col>11</xdr:col>
      <xdr:colOff>54428</xdr:colOff>
      <xdr:row>67</xdr:row>
      <xdr:rowOff>149679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9EBAB0-1D96-41F4-91B6-30F06476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292552</xdr:colOff>
      <xdr:row>65</xdr:row>
      <xdr:rowOff>2721</xdr:rowOff>
    </xdr:from>
    <xdr:to>
      <xdr:col>11</xdr:col>
      <xdr:colOff>54428</xdr:colOff>
      <xdr:row>89</xdr:row>
      <xdr:rowOff>149679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9EBAB0-1D96-41F4-91B6-30F06476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319766</xdr:colOff>
      <xdr:row>18</xdr:row>
      <xdr:rowOff>2720</xdr:rowOff>
    </xdr:from>
    <xdr:to>
      <xdr:col>10</xdr:col>
      <xdr:colOff>1251856</xdr:colOff>
      <xdr:row>38</xdr:row>
      <xdr:rowOff>176893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901EC0-FF64-43DF-88CD-7DB2829F2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7"/>
  <sheetViews>
    <sheetView tabSelected="1" zoomScale="70" zoomScaleNormal="70" workbookViewId="0">
      <selection activeCell="C35" sqref="C35"/>
    </sheetView>
  </sheetViews>
  <sheetFormatPr baseColWidth="10" defaultRowHeight="14.4" x14ac:dyDescent="0.3"/>
  <cols>
    <col min="2" max="2" width="20.33203125" customWidth="1"/>
    <col min="3" max="3" width="21.109375" customWidth="1"/>
    <col min="4" max="4" width="17.88671875" customWidth="1"/>
    <col min="5" max="5" width="12.6640625" customWidth="1"/>
    <col min="6" max="6" width="15.33203125" customWidth="1"/>
    <col min="7" max="7" width="19.109375" customWidth="1"/>
    <col min="8" max="8" width="21.109375" customWidth="1"/>
    <col min="9" max="9" width="13.33203125" customWidth="1"/>
    <col min="10" max="10" width="14.5546875" customWidth="1"/>
    <col min="11" max="11" width="22.5546875" customWidth="1"/>
    <col min="12" max="12" width="17.109375" customWidth="1"/>
    <col min="13" max="13" width="16.109375" customWidth="1"/>
  </cols>
  <sheetData>
    <row r="2" spans="2:14" ht="15" customHeight="1" x14ac:dyDescent="0.6">
      <c r="B2" s="23" t="s">
        <v>0</v>
      </c>
      <c r="C2" s="23"/>
      <c r="D2" s="23"/>
      <c r="E2" s="1"/>
      <c r="F2" s="23" t="s">
        <v>1</v>
      </c>
      <c r="G2" s="23"/>
      <c r="H2" s="23"/>
      <c r="I2" s="1"/>
      <c r="J2" s="23" t="s">
        <v>2</v>
      </c>
      <c r="K2" s="23"/>
      <c r="L2" s="23"/>
      <c r="M2" s="1"/>
      <c r="N2" s="1"/>
    </row>
    <row r="3" spans="2:14" ht="15" customHeight="1" x14ac:dyDescent="0.6">
      <c r="B3" s="23"/>
      <c r="C3" s="23"/>
      <c r="D3" s="23"/>
      <c r="E3" s="1"/>
      <c r="F3" s="23"/>
      <c r="G3" s="23"/>
      <c r="H3" s="23"/>
      <c r="I3" s="1"/>
      <c r="J3" s="23"/>
      <c r="K3" s="23"/>
      <c r="L3" s="23"/>
      <c r="M3" s="1"/>
      <c r="N3" s="1"/>
    </row>
    <row r="5" spans="2:14" ht="30.75" customHeight="1" x14ac:dyDescent="0.3">
      <c r="B5" s="19" t="s">
        <v>3</v>
      </c>
      <c r="C5" s="19"/>
      <c r="D5" s="19"/>
      <c r="E5" s="2"/>
      <c r="F5" s="19" t="s">
        <v>3</v>
      </c>
      <c r="G5" s="19"/>
      <c r="H5" s="19"/>
      <c r="I5" s="2"/>
      <c r="J5" s="19" t="s">
        <v>3</v>
      </c>
      <c r="K5" s="19"/>
      <c r="L5" s="19"/>
      <c r="M5" s="2"/>
      <c r="N5" s="2"/>
    </row>
    <row r="6" spans="2:14" x14ac:dyDescent="0.3">
      <c r="B6" s="3" t="s">
        <v>4</v>
      </c>
      <c r="C6" s="3" t="s">
        <v>5</v>
      </c>
      <c r="D6" s="3" t="s">
        <v>6</v>
      </c>
      <c r="F6" s="3" t="s">
        <v>4</v>
      </c>
      <c r="G6" s="3" t="s">
        <v>5</v>
      </c>
      <c r="H6" s="3" t="s">
        <v>6</v>
      </c>
      <c r="J6" s="3" t="s">
        <v>4</v>
      </c>
      <c r="K6" s="3" t="s">
        <v>5</v>
      </c>
      <c r="L6" s="3" t="s">
        <v>6</v>
      </c>
    </row>
    <row r="7" spans="2:14" x14ac:dyDescent="0.3">
      <c r="B7" s="4" t="s">
        <v>7</v>
      </c>
      <c r="C7" s="4">
        <v>10</v>
      </c>
      <c r="D7" s="5">
        <v>1</v>
      </c>
      <c r="F7" s="4" t="s">
        <v>7</v>
      </c>
      <c r="G7" s="4">
        <v>112</v>
      </c>
      <c r="H7" s="5">
        <v>0.91056910569105687</v>
      </c>
      <c r="J7" s="4" t="s">
        <v>7</v>
      </c>
      <c r="K7" s="4">
        <v>68</v>
      </c>
      <c r="L7" s="5">
        <v>0.89473684210526316</v>
      </c>
    </row>
    <row r="8" spans="2:14" x14ac:dyDescent="0.3">
      <c r="B8" s="4" t="s">
        <v>8</v>
      </c>
      <c r="C8" s="4">
        <v>0</v>
      </c>
      <c r="D8" s="5">
        <v>0</v>
      </c>
      <c r="F8" s="4" t="s">
        <v>8</v>
      </c>
      <c r="G8" s="4">
        <v>9</v>
      </c>
      <c r="H8" s="5">
        <v>7.3170731707317069E-2</v>
      </c>
      <c r="J8" s="4" t="s">
        <v>8</v>
      </c>
      <c r="K8" s="4">
        <v>8</v>
      </c>
      <c r="L8" s="5">
        <v>0.10526315789473684</v>
      </c>
    </row>
    <row r="9" spans="2:14" x14ac:dyDescent="0.3">
      <c r="B9" s="4" t="s">
        <v>9</v>
      </c>
      <c r="C9" s="4">
        <v>0</v>
      </c>
      <c r="D9" s="5">
        <v>0</v>
      </c>
      <c r="F9" s="4" t="s">
        <v>9</v>
      </c>
      <c r="G9" s="4">
        <v>2</v>
      </c>
      <c r="H9" s="5">
        <v>1.6260162601626018E-2</v>
      </c>
      <c r="J9" s="4" t="s">
        <v>9</v>
      </c>
      <c r="K9" s="4">
        <v>0</v>
      </c>
      <c r="L9" s="5">
        <v>0</v>
      </c>
    </row>
    <row r="10" spans="2:14" x14ac:dyDescent="0.3">
      <c r="B10" s="6" t="s">
        <v>11</v>
      </c>
      <c r="C10" s="6">
        <f>SUM(C7:C9)</f>
        <v>10</v>
      </c>
      <c r="D10" s="7">
        <f>SUM(D7:D9)</f>
        <v>1</v>
      </c>
      <c r="F10" s="6" t="s">
        <v>11</v>
      </c>
      <c r="G10" s="6">
        <f>SUM(G7:G9)</f>
        <v>123</v>
      </c>
      <c r="H10" s="7">
        <f>SUM(H7:H9)</f>
        <v>0.99999999999999989</v>
      </c>
      <c r="J10" s="6" t="s">
        <v>11</v>
      </c>
      <c r="K10" s="6">
        <f>SUM(K7:K9)</f>
        <v>76</v>
      </c>
      <c r="L10" s="7">
        <f>SUM(L7:L9)</f>
        <v>1</v>
      </c>
    </row>
    <row r="12" spans="2:14" x14ac:dyDescent="0.3">
      <c r="B12" s="19" t="s">
        <v>12</v>
      </c>
      <c r="C12" s="19"/>
      <c r="D12" s="19"/>
      <c r="F12" s="20" t="s">
        <v>12</v>
      </c>
      <c r="G12" s="21"/>
      <c r="H12" s="22"/>
      <c r="J12" s="19" t="s">
        <v>12</v>
      </c>
      <c r="K12" s="19"/>
      <c r="L12" s="19"/>
    </row>
    <row r="13" spans="2:14" ht="33" customHeight="1" x14ac:dyDescent="0.3">
      <c r="B13" s="3" t="s">
        <v>4</v>
      </c>
      <c r="C13" s="3" t="s">
        <v>5</v>
      </c>
      <c r="D13" s="3" t="s">
        <v>6</v>
      </c>
      <c r="E13" s="2"/>
      <c r="F13" s="3" t="s">
        <v>4</v>
      </c>
      <c r="G13" s="3" t="s">
        <v>5</v>
      </c>
      <c r="H13" s="3" t="s">
        <v>6</v>
      </c>
      <c r="I13" s="2"/>
      <c r="J13" s="3" t="s">
        <v>4</v>
      </c>
      <c r="K13" s="3" t="s">
        <v>5</v>
      </c>
      <c r="L13" s="3" t="s">
        <v>6</v>
      </c>
      <c r="M13" s="2"/>
      <c r="N13" s="2"/>
    </row>
    <row r="14" spans="2:14" ht="15" customHeight="1" x14ac:dyDescent="0.3">
      <c r="B14" s="4" t="s">
        <v>13</v>
      </c>
      <c r="C14" s="4">
        <v>9</v>
      </c>
      <c r="D14" s="5">
        <v>0.9</v>
      </c>
      <c r="F14" s="4" t="s">
        <v>13</v>
      </c>
      <c r="G14" s="4">
        <v>107</v>
      </c>
      <c r="H14" s="5">
        <v>0.93859649122807021</v>
      </c>
      <c r="J14" s="4" t="s">
        <v>13</v>
      </c>
      <c r="K14" s="4">
        <v>70</v>
      </c>
      <c r="L14" s="5">
        <v>0.92105263157894735</v>
      </c>
    </row>
    <row r="15" spans="2:14" x14ac:dyDescent="0.3">
      <c r="B15" s="4" t="s">
        <v>14</v>
      </c>
      <c r="C15" s="4">
        <v>1</v>
      </c>
      <c r="D15" s="5">
        <v>0.1</v>
      </c>
      <c r="F15" s="4" t="s">
        <v>14</v>
      </c>
      <c r="G15" s="4">
        <v>5</v>
      </c>
      <c r="H15" s="5">
        <v>4.3859649122807015E-2</v>
      </c>
      <c r="J15" s="4" t="s">
        <v>14</v>
      </c>
      <c r="K15" s="4">
        <v>5</v>
      </c>
      <c r="L15" s="5">
        <v>6.5789473684210523E-2</v>
      </c>
    </row>
    <row r="16" spans="2:14" x14ac:dyDescent="0.3">
      <c r="B16" s="4" t="s">
        <v>15</v>
      </c>
      <c r="C16" s="4">
        <v>0</v>
      </c>
      <c r="D16" s="5">
        <v>0</v>
      </c>
      <c r="F16" s="4" t="s">
        <v>15</v>
      </c>
      <c r="G16" s="4">
        <v>2</v>
      </c>
      <c r="H16" s="5">
        <v>1.7543859649122806E-2</v>
      </c>
      <c r="J16" s="4" t="s">
        <v>15</v>
      </c>
      <c r="K16" s="4">
        <v>1</v>
      </c>
      <c r="L16" s="5">
        <v>1.3157894736842105E-2</v>
      </c>
    </row>
    <row r="17" spans="2:12" x14ac:dyDescent="0.3">
      <c r="B17" s="6" t="s">
        <v>11</v>
      </c>
      <c r="C17" s="6">
        <f>SUM(C14:C16)</f>
        <v>10</v>
      </c>
      <c r="D17" s="7">
        <f>SUM(D14:D16)</f>
        <v>1</v>
      </c>
      <c r="F17" s="6" t="s">
        <v>11</v>
      </c>
      <c r="G17" s="6">
        <f>SUM(G14:G16)</f>
        <v>114</v>
      </c>
      <c r="H17" s="7">
        <f>SUM(H14:H16)</f>
        <v>1</v>
      </c>
      <c r="J17" s="6" t="s">
        <v>11</v>
      </c>
      <c r="K17" s="6">
        <f>SUM(K14:K16)</f>
        <v>76</v>
      </c>
      <c r="L17" s="7">
        <f>SUM(L14:L16)</f>
        <v>1</v>
      </c>
    </row>
    <row r="18" spans="2:12" x14ac:dyDescent="0.3">
      <c r="D18" t="s">
        <v>45</v>
      </c>
    </row>
    <row r="20" spans="2:12" x14ac:dyDescent="0.3">
      <c r="C20" t="s">
        <v>16</v>
      </c>
      <c r="G20" t="s">
        <v>17</v>
      </c>
      <c r="K20" t="s">
        <v>18</v>
      </c>
    </row>
    <row r="21" spans="2:12" x14ac:dyDescent="0.3">
      <c r="B21" t="s">
        <v>19</v>
      </c>
      <c r="C21" s="8">
        <f>(C7+C8)/C10</f>
        <v>1</v>
      </c>
      <c r="F21" t="s">
        <v>19</v>
      </c>
      <c r="G21" s="8">
        <f>(G7+G8)/G10</f>
        <v>0.98373983739837401</v>
      </c>
      <c r="J21" t="s">
        <v>19</v>
      </c>
      <c r="K21" s="8">
        <f>(K7+K8)/K10</f>
        <v>1</v>
      </c>
    </row>
    <row r="22" spans="2:12" x14ac:dyDescent="0.3">
      <c r="B22" t="s">
        <v>20</v>
      </c>
      <c r="C22" s="8">
        <f>(C9)/C10</f>
        <v>0</v>
      </c>
      <c r="F22" t="s">
        <v>20</v>
      </c>
      <c r="G22" s="8">
        <f>(G9)/G10</f>
        <v>1.6260162601626018E-2</v>
      </c>
      <c r="J22" t="s">
        <v>20</v>
      </c>
      <c r="K22" s="8">
        <f>(K9)/K10</f>
        <v>0</v>
      </c>
    </row>
    <row r="24" spans="2:12" ht="15.6" x14ac:dyDescent="0.3">
      <c r="C24" s="9" t="s">
        <v>19</v>
      </c>
      <c r="D24" s="9" t="s">
        <v>20</v>
      </c>
    </row>
    <row r="25" spans="2:12" ht="18" x14ac:dyDescent="0.35">
      <c r="B25" s="10" t="s">
        <v>0</v>
      </c>
      <c r="C25" s="11">
        <f>(C21)</f>
        <v>1</v>
      </c>
      <c r="D25" s="11">
        <f>(C22)</f>
        <v>0</v>
      </c>
      <c r="G25" s="12"/>
      <c r="K25" s="12"/>
    </row>
    <row r="26" spans="2:12" ht="18" x14ac:dyDescent="0.35">
      <c r="B26" s="10" t="s">
        <v>1</v>
      </c>
      <c r="C26" s="11">
        <f>(G21)</f>
        <v>0.98373983739837401</v>
      </c>
      <c r="D26" s="11">
        <f>(G22)</f>
        <v>1.6260162601626018E-2</v>
      </c>
      <c r="F26" s="13"/>
      <c r="J26" s="13"/>
    </row>
    <row r="27" spans="2:12" ht="18" x14ac:dyDescent="0.35">
      <c r="B27" s="10" t="s">
        <v>2</v>
      </c>
      <c r="C27" s="11">
        <f>(K21)</f>
        <v>1</v>
      </c>
      <c r="D27" s="11">
        <f>(K22)</f>
        <v>0</v>
      </c>
      <c r="F27" s="13"/>
      <c r="J27" s="13"/>
    </row>
  </sheetData>
  <mergeCells count="9">
    <mergeCell ref="B12:D12"/>
    <mergeCell ref="F12:H12"/>
    <mergeCell ref="J12:L12"/>
    <mergeCell ref="B2:D3"/>
    <mergeCell ref="F2:H3"/>
    <mergeCell ref="J2:L3"/>
    <mergeCell ref="B5:D5"/>
    <mergeCell ref="F5:H5"/>
    <mergeCell ref="J5:L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zoomScale="70" zoomScaleNormal="70" workbookViewId="0">
      <selection activeCell="J5" sqref="J5"/>
    </sheetView>
  </sheetViews>
  <sheetFormatPr baseColWidth="10" defaultRowHeight="14.4" x14ac:dyDescent="0.3"/>
  <cols>
    <col min="2" max="2" width="20.88671875" customWidth="1"/>
    <col min="3" max="3" width="18.5546875" customWidth="1"/>
    <col min="4" max="4" width="23.44140625" customWidth="1"/>
    <col min="5" max="5" width="13.6640625" customWidth="1"/>
    <col min="6" max="6" width="20.44140625" customWidth="1"/>
    <col min="7" max="7" width="18" customWidth="1"/>
    <col min="8" max="8" width="23.88671875" customWidth="1"/>
    <col min="9" max="9" width="12.6640625" customWidth="1"/>
  </cols>
  <sheetData>
    <row r="2" spans="2:10" ht="15" customHeight="1" x14ac:dyDescent="0.6">
      <c r="B2" s="23" t="s">
        <v>0</v>
      </c>
      <c r="C2" s="23"/>
      <c r="D2" s="23"/>
      <c r="E2" s="1"/>
      <c r="F2" s="23" t="s">
        <v>2</v>
      </c>
      <c r="G2" s="23"/>
      <c r="H2" s="23"/>
      <c r="I2" s="1"/>
      <c r="J2" s="1"/>
    </row>
    <row r="3" spans="2:10" ht="15" customHeight="1" x14ac:dyDescent="0.6">
      <c r="B3" s="23"/>
      <c r="C3" s="23"/>
      <c r="D3" s="23"/>
      <c r="E3" s="1"/>
      <c r="F3" s="23"/>
      <c r="G3" s="23"/>
      <c r="H3" s="23"/>
      <c r="I3" s="1"/>
      <c r="J3" s="1"/>
    </row>
    <row r="5" spans="2:10" ht="45" customHeight="1" x14ac:dyDescent="0.3">
      <c r="B5" s="20" t="s">
        <v>21</v>
      </c>
      <c r="C5" s="21"/>
      <c r="D5" s="22"/>
      <c r="E5" s="2"/>
      <c r="F5" s="19" t="s">
        <v>21</v>
      </c>
      <c r="G5" s="19"/>
      <c r="H5" s="19"/>
      <c r="I5" s="2"/>
      <c r="J5" s="2"/>
    </row>
    <row r="6" spans="2:10" x14ac:dyDescent="0.3">
      <c r="B6" s="3" t="s">
        <v>4</v>
      </c>
      <c r="C6" s="3" t="s">
        <v>5</v>
      </c>
      <c r="D6" s="3" t="s">
        <v>6</v>
      </c>
      <c r="F6" s="3" t="s">
        <v>4</v>
      </c>
      <c r="G6" s="3" t="s">
        <v>5</v>
      </c>
      <c r="H6" s="3" t="s">
        <v>6</v>
      </c>
    </row>
    <row r="7" spans="2:10" x14ac:dyDescent="0.3">
      <c r="B7" s="4" t="s">
        <v>7</v>
      </c>
      <c r="C7" s="4">
        <v>3</v>
      </c>
      <c r="D7" s="5">
        <v>1</v>
      </c>
      <c r="F7" s="4" t="s">
        <v>7</v>
      </c>
      <c r="G7" s="4">
        <v>401</v>
      </c>
      <c r="H7" s="5">
        <v>0.99257425742574257</v>
      </c>
    </row>
    <row r="8" spans="2:10" x14ac:dyDescent="0.3">
      <c r="B8" s="4" t="s">
        <v>8</v>
      </c>
      <c r="C8" s="4">
        <v>0</v>
      </c>
      <c r="D8" s="5">
        <v>0</v>
      </c>
      <c r="F8" s="4" t="s">
        <v>8</v>
      </c>
      <c r="G8" s="4">
        <v>1</v>
      </c>
      <c r="H8" s="5">
        <v>2.4752475247524753E-3</v>
      </c>
    </row>
    <row r="9" spans="2:10" x14ac:dyDescent="0.3">
      <c r="B9" s="4" t="s">
        <v>9</v>
      </c>
      <c r="C9" s="4">
        <v>0</v>
      </c>
      <c r="D9" s="5">
        <v>0</v>
      </c>
      <c r="F9" s="4" t="s">
        <v>9</v>
      </c>
      <c r="G9" s="4">
        <v>2</v>
      </c>
      <c r="H9" s="5">
        <v>4.9504950495049506E-3</v>
      </c>
    </row>
    <row r="10" spans="2:10" x14ac:dyDescent="0.3">
      <c r="B10" s="6" t="s">
        <v>11</v>
      </c>
      <c r="C10" s="6">
        <f>SUM(C7:C9)</f>
        <v>3</v>
      </c>
      <c r="D10" s="7">
        <f>SUM(D7:D9)</f>
        <v>1</v>
      </c>
      <c r="F10" s="6" t="s">
        <v>11</v>
      </c>
      <c r="G10" s="6">
        <f>SUM(G7:G9)</f>
        <v>404</v>
      </c>
      <c r="H10" s="7">
        <f>SUM(H7:H9)</f>
        <v>1</v>
      </c>
    </row>
    <row r="12" spans="2:10" x14ac:dyDescent="0.3">
      <c r="B12" s="19" t="s">
        <v>22</v>
      </c>
      <c r="C12" s="19"/>
      <c r="D12" s="19"/>
      <c r="F12" s="19" t="s">
        <v>22</v>
      </c>
      <c r="G12" s="19"/>
      <c r="H12" s="19"/>
    </row>
    <row r="13" spans="2:10" ht="31.5" customHeight="1" x14ac:dyDescent="0.3">
      <c r="B13" s="3" t="s">
        <v>4</v>
      </c>
      <c r="C13" s="3" t="s">
        <v>5</v>
      </c>
      <c r="D13" s="3" t="s">
        <v>6</v>
      </c>
      <c r="E13" s="2"/>
      <c r="F13" s="3" t="s">
        <v>4</v>
      </c>
      <c r="G13" s="3" t="s">
        <v>5</v>
      </c>
      <c r="H13" s="3" t="s">
        <v>6</v>
      </c>
      <c r="I13" s="2"/>
      <c r="J13" s="2"/>
    </row>
    <row r="14" spans="2:10" x14ac:dyDescent="0.3">
      <c r="B14" s="4" t="s">
        <v>7</v>
      </c>
      <c r="C14" s="4">
        <v>3</v>
      </c>
      <c r="D14" s="5">
        <v>1</v>
      </c>
      <c r="F14" s="4" t="s">
        <v>7</v>
      </c>
      <c r="G14" s="4">
        <v>347</v>
      </c>
      <c r="H14" s="5">
        <v>0.99712643678160917</v>
      </c>
    </row>
    <row r="15" spans="2:10" x14ac:dyDescent="0.3">
      <c r="B15" s="4" t="s">
        <v>8</v>
      </c>
      <c r="C15" s="4">
        <v>0</v>
      </c>
      <c r="D15" s="5">
        <v>0</v>
      </c>
      <c r="F15" s="4" t="s">
        <v>8</v>
      </c>
      <c r="G15" s="4">
        <v>1</v>
      </c>
      <c r="H15" s="5">
        <v>2.8735632183908046E-3</v>
      </c>
    </row>
    <row r="16" spans="2:10" x14ac:dyDescent="0.3">
      <c r="B16" s="4" t="s">
        <v>9</v>
      </c>
      <c r="C16" s="4">
        <v>0</v>
      </c>
      <c r="D16" s="5">
        <v>0</v>
      </c>
      <c r="F16" s="4" t="s">
        <v>9</v>
      </c>
      <c r="G16" s="4">
        <v>0</v>
      </c>
      <c r="H16" s="5">
        <v>0</v>
      </c>
    </row>
    <row r="17" spans="2:10" x14ac:dyDescent="0.3">
      <c r="B17" s="6" t="s">
        <v>11</v>
      </c>
      <c r="C17" s="6">
        <f>SUM(C14:C16)</f>
        <v>3</v>
      </c>
      <c r="D17" s="7">
        <f>SUM(D14:D16)</f>
        <v>1</v>
      </c>
      <c r="F17" s="6" t="s">
        <v>11</v>
      </c>
      <c r="G17" s="6">
        <f>SUM(G14:G16)</f>
        <v>348</v>
      </c>
      <c r="H17" s="7">
        <f>SUM(H14:H16)</f>
        <v>1</v>
      </c>
    </row>
    <row r="19" spans="2:10" x14ac:dyDescent="0.3">
      <c r="B19" s="19" t="s">
        <v>23</v>
      </c>
      <c r="C19" s="19"/>
      <c r="D19" s="19"/>
      <c r="F19" s="19" t="s">
        <v>23</v>
      </c>
      <c r="G19" s="19"/>
      <c r="H19" s="19"/>
    </row>
    <row r="20" spans="2:10" x14ac:dyDescent="0.3">
      <c r="B20" s="3" t="s">
        <v>4</v>
      </c>
      <c r="C20" s="3" t="s">
        <v>5</v>
      </c>
      <c r="D20" s="3" t="s">
        <v>6</v>
      </c>
      <c r="F20" s="3" t="s">
        <v>4</v>
      </c>
      <c r="G20" s="3" t="s">
        <v>5</v>
      </c>
      <c r="H20" s="3" t="s">
        <v>6</v>
      </c>
    </row>
    <row r="21" spans="2:10" ht="30.75" customHeight="1" x14ac:dyDescent="0.3">
      <c r="B21" s="4" t="s">
        <v>24</v>
      </c>
      <c r="C21" s="4">
        <v>3</v>
      </c>
      <c r="D21" s="5">
        <v>1</v>
      </c>
      <c r="E21" s="2"/>
      <c r="F21" s="4" t="s">
        <v>24</v>
      </c>
      <c r="G21" s="4">
        <v>404</v>
      </c>
      <c r="H21" s="5">
        <v>1</v>
      </c>
      <c r="I21" s="2"/>
      <c r="J21" s="2"/>
    </row>
    <row r="22" spans="2:10" x14ac:dyDescent="0.3">
      <c r="B22" s="4" t="s">
        <v>25</v>
      </c>
      <c r="C22" s="4">
        <v>0</v>
      </c>
      <c r="D22" s="5">
        <v>0</v>
      </c>
      <c r="F22" s="4" t="s">
        <v>25</v>
      </c>
      <c r="G22" s="4">
        <v>0</v>
      </c>
      <c r="H22" s="5">
        <v>0</v>
      </c>
    </row>
    <row r="23" spans="2:10" x14ac:dyDescent="0.3">
      <c r="B23" s="6" t="s">
        <v>11</v>
      </c>
      <c r="C23" s="6">
        <f>SUM(C21:C22)</f>
        <v>3</v>
      </c>
      <c r="D23" s="7">
        <f>SUM(D21:D22)</f>
        <v>1</v>
      </c>
      <c r="F23" s="6" t="s">
        <v>11</v>
      </c>
      <c r="G23" s="6">
        <f>SUM(G21:G22)</f>
        <v>404</v>
      </c>
      <c r="H23" s="7">
        <f>SUM(H21:H22)</f>
        <v>1</v>
      </c>
    </row>
    <row r="25" spans="2:10" x14ac:dyDescent="0.3">
      <c r="C25" t="s">
        <v>16</v>
      </c>
      <c r="G25" t="s">
        <v>16</v>
      </c>
    </row>
    <row r="26" spans="2:10" x14ac:dyDescent="0.3">
      <c r="B26" t="s">
        <v>19</v>
      </c>
      <c r="C26" s="8">
        <f>(C7+C8)/C10</f>
        <v>1</v>
      </c>
      <c r="F26" t="s">
        <v>19</v>
      </c>
      <c r="G26" s="8">
        <f>(G7+G8)/G10</f>
        <v>0.99504950495049505</v>
      </c>
    </row>
    <row r="27" spans="2:10" x14ac:dyDescent="0.3">
      <c r="B27" t="s">
        <v>20</v>
      </c>
      <c r="C27" s="8">
        <f>(C9)/C10</f>
        <v>0</v>
      </c>
      <c r="F27" t="s">
        <v>20</v>
      </c>
      <c r="G27" s="8">
        <f>(G9)/G10</f>
        <v>4.9504950495049506E-3</v>
      </c>
    </row>
    <row r="29" spans="2:10" x14ac:dyDescent="0.3">
      <c r="C29" t="s">
        <v>17</v>
      </c>
      <c r="G29" t="s">
        <v>17</v>
      </c>
    </row>
    <row r="30" spans="2:10" x14ac:dyDescent="0.3">
      <c r="B30" t="s">
        <v>19</v>
      </c>
      <c r="C30" s="8">
        <f>(C14+C15)/C17</f>
        <v>1</v>
      </c>
      <c r="F30" t="s">
        <v>19</v>
      </c>
      <c r="G30" s="8">
        <f>(G14+G15)/G17</f>
        <v>1</v>
      </c>
    </row>
    <row r="31" spans="2:10" x14ac:dyDescent="0.3">
      <c r="B31" t="s">
        <v>20</v>
      </c>
      <c r="C31" s="8">
        <f>(C16)/C17</f>
        <v>0</v>
      </c>
      <c r="F31" t="s">
        <v>20</v>
      </c>
      <c r="G31" s="8">
        <f>(G16)/G17</f>
        <v>0</v>
      </c>
    </row>
    <row r="34" spans="2:7" ht="15.6" x14ac:dyDescent="0.3">
      <c r="C34" s="9" t="s">
        <v>19</v>
      </c>
      <c r="D34" s="9" t="s">
        <v>20</v>
      </c>
    </row>
    <row r="35" spans="2:7" ht="18" x14ac:dyDescent="0.35">
      <c r="B35" s="10" t="s">
        <v>0</v>
      </c>
      <c r="C35" s="11">
        <f>(C26+C30)/2</f>
        <v>1</v>
      </c>
      <c r="D35" s="11">
        <f>(C27+C31)/2</f>
        <v>0</v>
      </c>
      <c r="G35" s="12"/>
    </row>
    <row r="36" spans="2:7" ht="18" x14ac:dyDescent="0.35">
      <c r="B36" s="10" t="s">
        <v>2</v>
      </c>
      <c r="C36" s="11">
        <f>(G26+G30)/2</f>
        <v>0.99752475247524752</v>
      </c>
      <c r="D36" s="11">
        <f>(G27+G31)/2</f>
        <v>2.4752475247524753E-3</v>
      </c>
      <c r="F36" s="13"/>
    </row>
  </sheetData>
  <mergeCells count="8">
    <mergeCell ref="B19:D19"/>
    <mergeCell ref="F19:H19"/>
    <mergeCell ref="B2:D3"/>
    <mergeCell ref="F2:H3"/>
    <mergeCell ref="B5:D5"/>
    <mergeCell ref="F5:H5"/>
    <mergeCell ref="B12:D12"/>
    <mergeCell ref="F12:H1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6"/>
  <sheetViews>
    <sheetView zoomScale="70" zoomScaleNormal="70" workbookViewId="0">
      <selection activeCell="K17" sqref="K17"/>
    </sheetView>
  </sheetViews>
  <sheetFormatPr baseColWidth="10" defaultRowHeight="14.4" x14ac:dyDescent="0.3"/>
  <cols>
    <col min="2" max="2" width="14.44140625" customWidth="1"/>
    <col min="3" max="3" width="18" customWidth="1"/>
    <col min="4" max="4" width="23.6640625" customWidth="1"/>
    <col min="5" max="5" width="13.6640625" customWidth="1"/>
    <col min="6" max="6" width="14.44140625" customWidth="1"/>
    <col min="7" max="7" width="17.6640625" customWidth="1"/>
    <col min="8" max="8" width="20.44140625" customWidth="1"/>
    <col min="10" max="10" width="20.44140625" customWidth="1"/>
    <col min="11" max="11" width="15.33203125" customWidth="1"/>
    <col min="12" max="12" width="18.5546875" customWidth="1"/>
    <col min="14" max="14" width="19.44140625" customWidth="1"/>
  </cols>
  <sheetData>
    <row r="2" spans="2:15" ht="15" customHeight="1" x14ac:dyDescent="0.6">
      <c r="B2" s="23" t="s">
        <v>0</v>
      </c>
      <c r="C2" s="23"/>
      <c r="D2" s="23"/>
      <c r="E2" s="1"/>
      <c r="F2" s="23" t="s">
        <v>1</v>
      </c>
      <c r="G2" s="23"/>
      <c r="H2" s="23"/>
    </row>
    <row r="3" spans="2:15" ht="15" customHeight="1" x14ac:dyDescent="0.6">
      <c r="B3" s="23"/>
      <c r="C3" s="23"/>
      <c r="D3" s="23"/>
      <c r="E3" s="1"/>
      <c r="F3" s="23"/>
      <c r="G3" s="23"/>
      <c r="H3" s="23"/>
    </row>
    <row r="4" spans="2:15" ht="15" customHeight="1" x14ac:dyDescent="0.6">
      <c r="B4" s="14"/>
      <c r="C4" s="14"/>
      <c r="D4" s="14"/>
      <c r="E4" s="1"/>
      <c r="F4" s="14"/>
      <c r="G4" s="14"/>
      <c r="H4" s="14"/>
    </row>
    <row r="5" spans="2:15" ht="30.75" customHeight="1" x14ac:dyDescent="0.3">
      <c r="B5" s="20" t="s">
        <v>26</v>
      </c>
      <c r="C5" s="21"/>
      <c r="D5" s="22"/>
      <c r="E5" s="2"/>
      <c r="F5" s="20" t="s">
        <v>26</v>
      </c>
      <c r="G5" s="21"/>
      <c r="H5" s="22"/>
    </row>
    <row r="6" spans="2:15" ht="15" customHeight="1" x14ac:dyDescent="0.3">
      <c r="B6" s="3" t="s">
        <v>4</v>
      </c>
      <c r="C6" s="3" t="s">
        <v>5</v>
      </c>
      <c r="D6" s="3" t="s">
        <v>6</v>
      </c>
      <c r="F6" s="15" t="s">
        <v>4</v>
      </c>
      <c r="G6" s="15" t="s">
        <v>5</v>
      </c>
      <c r="H6" s="15" t="s">
        <v>6</v>
      </c>
      <c r="K6" t="s">
        <v>16</v>
      </c>
      <c r="O6" t="s">
        <v>16</v>
      </c>
    </row>
    <row r="7" spans="2:15" ht="15" customHeight="1" x14ac:dyDescent="0.3">
      <c r="B7" s="4" t="s">
        <v>27</v>
      </c>
      <c r="C7" s="4">
        <v>0</v>
      </c>
      <c r="D7" s="5">
        <v>0</v>
      </c>
      <c r="F7" s="4" t="s">
        <v>27</v>
      </c>
      <c r="G7" s="4">
        <v>85</v>
      </c>
      <c r="H7" s="5">
        <v>0.9550561797752809</v>
      </c>
      <c r="J7" t="s">
        <v>19</v>
      </c>
      <c r="K7" s="8">
        <v>0</v>
      </c>
      <c r="N7" t="s">
        <v>19</v>
      </c>
      <c r="O7" s="8">
        <f>(G7)/G9</f>
        <v>0.9550561797752809</v>
      </c>
    </row>
    <row r="8" spans="2:15" ht="15" customHeight="1" x14ac:dyDescent="0.3">
      <c r="B8" s="4" t="s">
        <v>28</v>
      </c>
      <c r="C8" s="4">
        <v>0</v>
      </c>
      <c r="D8" s="5">
        <v>0</v>
      </c>
      <c r="F8" s="4" t="s">
        <v>28</v>
      </c>
      <c r="G8" s="4">
        <v>4</v>
      </c>
      <c r="H8" s="5">
        <v>4.49438202247191E-2</v>
      </c>
      <c r="J8" t="s">
        <v>20</v>
      </c>
      <c r="K8" s="8">
        <v>0</v>
      </c>
      <c r="N8" t="s">
        <v>20</v>
      </c>
      <c r="O8" s="8">
        <f>(G8)/G9</f>
        <v>4.49438202247191E-2</v>
      </c>
    </row>
    <row r="9" spans="2:15" ht="15" customHeight="1" x14ac:dyDescent="0.3">
      <c r="B9" s="6" t="s">
        <v>29</v>
      </c>
      <c r="C9" s="6">
        <f>SUM(C7:C8)</f>
        <v>0</v>
      </c>
      <c r="D9" s="7">
        <f>SUM(D7:D8)</f>
        <v>0</v>
      </c>
      <c r="F9" s="6" t="s">
        <v>29</v>
      </c>
      <c r="G9" s="6">
        <f>SUM(G7:G8)</f>
        <v>89</v>
      </c>
      <c r="H9" s="7">
        <f>SUM(H7:H8)</f>
        <v>1</v>
      </c>
    </row>
    <row r="10" spans="2:15" ht="18" customHeight="1" x14ac:dyDescent="0.6">
      <c r="B10" s="14"/>
      <c r="C10" s="14"/>
      <c r="D10" s="14"/>
      <c r="E10" s="1"/>
      <c r="F10" s="14"/>
      <c r="G10" s="14"/>
      <c r="H10" s="14"/>
      <c r="K10" t="s">
        <v>17</v>
      </c>
      <c r="O10" t="s">
        <v>17</v>
      </c>
    </row>
    <row r="11" spans="2:15" ht="31.5" customHeight="1" x14ac:dyDescent="0.3">
      <c r="B11" s="19" t="s">
        <v>44</v>
      </c>
      <c r="C11" s="19"/>
      <c r="D11" s="19"/>
      <c r="E11" s="2"/>
      <c r="F11" s="19" t="s">
        <v>44</v>
      </c>
      <c r="G11" s="19"/>
      <c r="H11" s="19"/>
      <c r="J11" t="s">
        <v>19</v>
      </c>
      <c r="K11" s="8">
        <v>0</v>
      </c>
      <c r="N11" t="s">
        <v>19</v>
      </c>
      <c r="O11" s="8">
        <f>(G13+G14)/G16</f>
        <v>1</v>
      </c>
    </row>
    <row r="12" spans="2:15" x14ac:dyDescent="0.3">
      <c r="B12" s="3" t="s">
        <v>4</v>
      </c>
      <c r="C12" s="3" t="s">
        <v>5</v>
      </c>
      <c r="D12" s="3" t="s">
        <v>6</v>
      </c>
      <c r="F12" s="15" t="s">
        <v>4</v>
      </c>
      <c r="G12" s="15" t="s">
        <v>5</v>
      </c>
      <c r="H12" s="15" t="s">
        <v>6</v>
      </c>
      <c r="J12" t="s">
        <v>20</v>
      </c>
      <c r="K12" s="8">
        <v>0</v>
      </c>
      <c r="N12" t="s">
        <v>20</v>
      </c>
      <c r="O12" s="8">
        <f>(G15)/G16</f>
        <v>0</v>
      </c>
    </row>
    <row r="13" spans="2:15" x14ac:dyDescent="0.3">
      <c r="B13" s="4" t="s">
        <v>7</v>
      </c>
      <c r="C13" s="4">
        <v>0</v>
      </c>
      <c r="D13" s="5">
        <v>0</v>
      </c>
      <c r="F13" s="4" t="s">
        <v>7</v>
      </c>
      <c r="G13" s="4">
        <v>85</v>
      </c>
      <c r="H13" s="5">
        <v>0.9550561797752809</v>
      </c>
    </row>
    <row r="14" spans="2:15" x14ac:dyDescent="0.3">
      <c r="B14" s="4" t="s">
        <v>8</v>
      </c>
      <c r="C14" s="4">
        <v>0</v>
      </c>
      <c r="D14" s="5">
        <v>0</v>
      </c>
      <c r="F14" s="4" t="s">
        <v>8</v>
      </c>
      <c r="G14" s="4">
        <v>4</v>
      </c>
      <c r="H14" s="5">
        <v>4.49438202247191E-2</v>
      </c>
      <c r="K14" t="s">
        <v>18</v>
      </c>
      <c r="O14" t="s">
        <v>30</v>
      </c>
    </row>
    <row r="15" spans="2:15" x14ac:dyDescent="0.3">
      <c r="B15" s="4" t="s">
        <v>9</v>
      </c>
      <c r="C15" s="4">
        <v>0</v>
      </c>
      <c r="D15" s="5">
        <v>0</v>
      </c>
      <c r="F15" s="4" t="s">
        <v>9</v>
      </c>
      <c r="G15" s="4">
        <v>0</v>
      </c>
      <c r="H15" s="5">
        <v>0</v>
      </c>
      <c r="J15" t="s">
        <v>19</v>
      </c>
      <c r="K15" s="8">
        <v>0</v>
      </c>
      <c r="N15" t="s">
        <v>19</v>
      </c>
      <c r="O15" s="8">
        <f>(G20+G21)/G23</f>
        <v>1</v>
      </c>
    </row>
    <row r="16" spans="2:15" x14ac:dyDescent="0.3">
      <c r="B16" s="6" t="s">
        <v>11</v>
      </c>
      <c r="C16" s="6">
        <f>SUM(C13:C15)</f>
        <v>0</v>
      </c>
      <c r="D16" s="7">
        <f>SUM(D13:D15)</f>
        <v>0</v>
      </c>
      <c r="F16" s="6" t="s">
        <v>29</v>
      </c>
      <c r="G16" s="6">
        <f>SUM(G13:G15)</f>
        <v>89</v>
      </c>
      <c r="H16" s="7">
        <f>SUM(H13:H15)</f>
        <v>1</v>
      </c>
      <c r="J16" t="s">
        <v>20</v>
      </c>
      <c r="K16" s="8">
        <v>0</v>
      </c>
      <c r="N16" t="s">
        <v>20</v>
      </c>
      <c r="O16" s="8">
        <f>(G22)/G23</f>
        <v>0</v>
      </c>
    </row>
    <row r="18" spans="2:15" x14ac:dyDescent="0.3">
      <c r="B18" s="20" t="s">
        <v>23</v>
      </c>
      <c r="C18" s="21"/>
      <c r="D18" s="22"/>
      <c r="F18" s="20" t="s">
        <v>23</v>
      </c>
      <c r="G18" s="21"/>
      <c r="H18" s="22"/>
    </row>
    <row r="19" spans="2:15" ht="49.5" customHeight="1" x14ac:dyDescent="0.3">
      <c r="B19" s="3" t="s">
        <v>32</v>
      </c>
      <c r="C19" s="3" t="s">
        <v>5</v>
      </c>
      <c r="D19" s="3" t="s">
        <v>6</v>
      </c>
      <c r="E19" s="2"/>
      <c r="F19" s="15" t="s">
        <v>32</v>
      </c>
      <c r="G19" s="15" t="s">
        <v>5</v>
      </c>
      <c r="H19" s="15" t="s">
        <v>6</v>
      </c>
      <c r="K19" s="9" t="s">
        <v>19</v>
      </c>
      <c r="L19" s="9" t="s">
        <v>20</v>
      </c>
      <c r="O19" s="8"/>
    </row>
    <row r="20" spans="2:15" ht="18" x14ac:dyDescent="0.35">
      <c r="B20" s="4" t="s">
        <v>7</v>
      </c>
      <c r="C20" s="4">
        <v>0</v>
      </c>
      <c r="D20" s="5">
        <v>0</v>
      </c>
      <c r="F20" s="4" t="s">
        <v>7</v>
      </c>
      <c r="G20" s="4">
        <v>86</v>
      </c>
      <c r="H20" s="5">
        <v>0.9662921348314607</v>
      </c>
      <c r="J20" s="10" t="s">
        <v>0</v>
      </c>
      <c r="K20" s="11">
        <f>(K7+K11+K15)/3</f>
        <v>0</v>
      </c>
      <c r="L20" s="11">
        <f>(K8+K12+K16)/3</f>
        <v>0</v>
      </c>
      <c r="O20" s="8"/>
    </row>
    <row r="21" spans="2:15" ht="18" x14ac:dyDescent="0.35">
      <c r="B21" s="4" t="s">
        <v>8</v>
      </c>
      <c r="C21" s="4">
        <v>0</v>
      </c>
      <c r="D21" s="5">
        <v>0</v>
      </c>
      <c r="F21" s="4" t="s">
        <v>8</v>
      </c>
      <c r="G21" s="4">
        <v>3</v>
      </c>
      <c r="H21" s="5">
        <v>3.3707865168539325E-2</v>
      </c>
      <c r="J21" s="10" t="s">
        <v>1</v>
      </c>
      <c r="K21" s="11">
        <f>(O7+O11+O15)/3</f>
        <v>0.98501872659176026</v>
      </c>
      <c r="L21" s="11">
        <f>(O8+O12+O16)/3</f>
        <v>1.4981273408239701E-2</v>
      </c>
    </row>
    <row r="22" spans="2:15" x14ac:dyDescent="0.3">
      <c r="B22" s="4" t="s">
        <v>9</v>
      </c>
      <c r="C22" s="4">
        <v>0</v>
      </c>
      <c r="D22" s="5">
        <v>0</v>
      </c>
      <c r="F22" s="4" t="s">
        <v>9</v>
      </c>
      <c r="G22" s="4">
        <v>0</v>
      </c>
      <c r="H22" s="5">
        <v>0</v>
      </c>
    </row>
    <row r="23" spans="2:15" x14ac:dyDescent="0.3">
      <c r="B23" s="6" t="s">
        <v>11</v>
      </c>
      <c r="C23" s="6">
        <f>SUM(C20:C22)</f>
        <v>0</v>
      </c>
      <c r="D23" s="7">
        <f>SUM(D20:D22)</f>
        <v>0</v>
      </c>
      <c r="F23" s="6" t="s">
        <v>11</v>
      </c>
      <c r="G23" s="6">
        <f>SUM(G20:G22)</f>
        <v>89</v>
      </c>
      <c r="H23" s="7">
        <f>SUM(H20:H22)</f>
        <v>1</v>
      </c>
    </row>
    <row r="27" spans="2:15" ht="33" customHeight="1" x14ac:dyDescent="0.3"/>
    <row r="30" spans="2:15" ht="15" customHeight="1" x14ac:dyDescent="0.3"/>
    <row r="35" ht="32.25" customHeight="1" x14ac:dyDescent="0.3"/>
    <row r="46" ht="15" customHeight="1" x14ac:dyDescent="0.3"/>
  </sheetData>
  <mergeCells count="8">
    <mergeCell ref="B18:D18"/>
    <mergeCell ref="F18:H18"/>
    <mergeCell ref="B2:D3"/>
    <mergeCell ref="F2:H3"/>
    <mergeCell ref="B5:D5"/>
    <mergeCell ref="F5:H5"/>
    <mergeCell ref="B11:D11"/>
    <mergeCell ref="F11:H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4"/>
  <sheetViews>
    <sheetView zoomScale="70" zoomScaleNormal="70" workbookViewId="0">
      <selection activeCell="C27" sqref="C27"/>
    </sheetView>
  </sheetViews>
  <sheetFormatPr baseColWidth="10" defaultRowHeight="14.4" x14ac:dyDescent="0.3"/>
  <cols>
    <col min="2" max="2" width="21.44140625" customWidth="1"/>
    <col min="3" max="3" width="19" customWidth="1"/>
    <col min="4" max="4" width="20.44140625" customWidth="1"/>
    <col min="6" max="6" width="19.109375" customWidth="1"/>
    <col min="7" max="7" width="22.33203125" customWidth="1"/>
    <col min="10" max="10" width="20.109375" customWidth="1"/>
    <col min="11" max="11" width="19.44140625" customWidth="1"/>
    <col min="12" max="12" width="19.5546875" customWidth="1"/>
  </cols>
  <sheetData>
    <row r="2" spans="2:12" x14ac:dyDescent="0.3">
      <c r="B2" s="23" t="s">
        <v>0</v>
      </c>
      <c r="C2" s="23"/>
      <c r="D2" s="23"/>
      <c r="F2" s="23" t="s">
        <v>1</v>
      </c>
      <c r="G2" s="23"/>
      <c r="H2" s="23"/>
      <c r="J2" s="23" t="s">
        <v>2</v>
      </c>
      <c r="K2" s="23"/>
      <c r="L2" s="23"/>
    </row>
    <row r="3" spans="2:12" x14ac:dyDescent="0.3">
      <c r="B3" s="23"/>
      <c r="C3" s="23"/>
      <c r="D3" s="23"/>
      <c r="F3" s="23"/>
      <c r="G3" s="23"/>
      <c r="H3" s="23"/>
      <c r="J3" s="23"/>
      <c r="K3" s="23"/>
      <c r="L3" s="23"/>
    </row>
    <row r="5" spans="2:12" ht="30" customHeight="1" x14ac:dyDescent="0.3">
      <c r="B5" s="20" t="s">
        <v>33</v>
      </c>
      <c r="C5" s="21"/>
      <c r="D5" s="22"/>
      <c r="F5" s="20" t="s">
        <v>33</v>
      </c>
      <c r="G5" s="21"/>
      <c r="H5" s="22"/>
      <c r="J5" s="20" t="s">
        <v>33</v>
      </c>
      <c r="K5" s="21"/>
      <c r="L5" s="22"/>
    </row>
    <row r="6" spans="2:12" x14ac:dyDescent="0.3">
      <c r="B6" s="15" t="s">
        <v>4</v>
      </c>
      <c r="C6" s="15" t="s">
        <v>5</v>
      </c>
      <c r="D6" s="15" t="s">
        <v>6</v>
      </c>
      <c r="F6" s="15" t="s">
        <v>4</v>
      </c>
      <c r="G6" s="15" t="s">
        <v>5</v>
      </c>
      <c r="H6" s="15" t="s">
        <v>6</v>
      </c>
      <c r="J6" s="15" t="s">
        <v>4</v>
      </c>
      <c r="K6" s="15" t="s">
        <v>5</v>
      </c>
      <c r="L6" s="15" t="s">
        <v>6</v>
      </c>
    </row>
    <row r="7" spans="2:12" x14ac:dyDescent="0.3">
      <c r="B7" s="4" t="s">
        <v>7</v>
      </c>
      <c r="C7" s="4">
        <v>0</v>
      </c>
      <c r="D7" s="5">
        <v>0</v>
      </c>
      <c r="F7" s="4" t="s">
        <v>7</v>
      </c>
      <c r="G7" s="4">
        <v>248</v>
      </c>
      <c r="H7" s="5">
        <v>0.95019157088122608</v>
      </c>
      <c r="J7" s="4" t="s">
        <v>7</v>
      </c>
      <c r="K7" s="4">
        <v>181</v>
      </c>
      <c r="L7" s="5">
        <v>0.92820512820512824</v>
      </c>
    </row>
    <row r="8" spans="2:12" x14ac:dyDescent="0.3">
      <c r="B8" s="4" t="s">
        <v>8</v>
      </c>
      <c r="C8" s="4">
        <v>0</v>
      </c>
      <c r="D8" s="5">
        <v>0</v>
      </c>
      <c r="F8" s="4" t="s">
        <v>8</v>
      </c>
      <c r="G8" s="4">
        <v>12</v>
      </c>
      <c r="H8" s="5">
        <v>4.5977011494252873E-2</v>
      </c>
      <c r="J8" s="4" t="s">
        <v>8</v>
      </c>
      <c r="K8" s="4">
        <v>12</v>
      </c>
      <c r="L8" s="5">
        <v>6.1538461538461542E-2</v>
      </c>
    </row>
    <row r="9" spans="2:12" x14ac:dyDescent="0.3">
      <c r="B9" s="4" t="s">
        <v>9</v>
      </c>
      <c r="C9" s="4">
        <v>0</v>
      </c>
      <c r="D9" s="5">
        <v>0</v>
      </c>
      <c r="F9" s="4" t="s">
        <v>9</v>
      </c>
      <c r="G9" s="4">
        <v>1</v>
      </c>
      <c r="H9" s="5">
        <v>3.8314176245210726E-3</v>
      </c>
      <c r="J9" s="4" t="s">
        <v>9</v>
      </c>
      <c r="K9" s="4">
        <v>2</v>
      </c>
      <c r="L9" s="5">
        <v>1.0256410256410256E-2</v>
      </c>
    </row>
    <row r="10" spans="2:12" x14ac:dyDescent="0.3">
      <c r="B10" s="6" t="s">
        <v>29</v>
      </c>
      <c r="C10" s="6">
        <f>SUM(C7:C9)</f>
        <v>0</v>
      </c>
      <c r="D10" s="7">
        <f>SUM(D7:D9)</f>
        <v>0</v>
      </c>
      <c r="F10" s="6" t="s">
        <v>29</v>
      </c>
      <c r="G10" s="6">
        <f>SUM(G7:G9)</f>
        <v>261</v>
      </c>
      <c r="H10" s="7">
        <f>SUM(H7:H9)</f>
        <v>1</v>
      </c>
      <c r="J10" s="6" t="s">
        <v>29</v>
      </c>
      <c r="K10" s="6">
        <f>SUM(K7:K9)</f>
        <v>195</v>
      </c>
      <c r="L10" s="7">
        <f>SUM(L7:L9)</f>
        <v>1</v>
      </c>
    </row>
    <row r="12" spans="2:12" x14ac:dyDescent="0.3">
      <c r="B12" s="20" t="s">
        <v>34</v>
      </c>
      <c r="C12" s="21"/>
      <c r="D12" s="22"/>
      <c r="F12" s="20" t="s">
        <v>34</v>
      </c>
      <c r="G12" s="21"/>
      <c r="H12" s="22"/>
      <c r="J12" s="20" t="s">
        <v>34</v>
      </c>
      <c r="K12" s="21"/>
      <c r="L12" s="22"/>
    </row>
    <row r="13" spans="2:12" ht="30.75" customHeight="1" x14ac:dyDescent="0.3">
      <c r="B13" s="15" t="s">
        <v>4</v>
      </c>
      <c r="C13" s="15" t="s">
        <v>5</v>
      </c>
      <c r="D13" s="15" t="s">
        <v>6</v>
      </c>
      <c r="F13" s="15" t="s">
        <v>4</v>
      </c>
      <c r="G13" s="15" t="s">
        <v>5</v>
      </c>
      <c r="H13" s="15" t="s">
        <v>6</v>
      </c>
      <c r="J13" s="15" t="s">
        <v>4</v>
      </c>
      <c r="K13" s="15" t="s">
        <v>5</v>
      </c>
      <c r="L13" s="15" t="s">
        <v>6</v>
      </c>
    </row>
    <row r="14" spans="2:12" ht="15" customHeight="1" x14ac:dyDescent="0.3">
      <c r="B14" s="4" t="s">
        <v>7</v>
      </c>
      <c r="C14" s="4">
        <v>0</v>
      </c>
      <c r="D14" s="5">
        <v>0</v>
      </c>
      <c r="F14" s="4" t="s">
        <v>7</v>
      </c>
      <c r="G14" s="4">
        <v>254</v>
      </c>
      <c r="H14" s="5">
        <v>0.97318007662835249</v>
      </c>
      <c r="J14" s="4" t="s">
        <v>7</v>
      </c>
      <c r="K14" s="4">
        <v>186</v>
      </c>
      <c r="L14" s="5">
        <v>0.9538461538461539</v>
      </c>
    </row>
    <row r="15" spans="2:12" x14ac:dyDescent="0.3">
      <c r="B15" s="4" t="s">
        <v>8</v>
      </c>
      <c r="C15" s="4">
        <v>0</v>
      </c>
      <c r="D15" s="5">
        <v>0</v>
      </c>
      <c r="F15" s="4" t="s">
        <v>8</v>
      </c>
      <c r="G15" s="4">
        <v>5</v>
      </c>
      <c r="H15" s="5">
        <v>1.9157088122605363E-2</v>
      </c>
      <c r="J15" s="4" t="s">
        <v>8</v>
      </c>
      <c r="K15" s="4">
        <v>8</v>
      </c>
      <c r="L15" s="5">
        <v>4.1025641025641026E-2</v>
      </c>
    </row>
    <row r="16" spans="2:12" x14ac:dyDescent="0.3">
      <c r="B16" s="4" t="s">
        <v>9</v>
      </c>
      <c r="C16" s="4">
        <v>0</v>
      </c>
      <c r="D16" s="5">
        <v>0</v>
      </c>
      <c r="F16" s="4" t="s">
        <v>9</v>
      </c>
      <c r="G16" s="4">
        <v>2</v>
      </c>
      <c r="H16" s="5">
        <v>7.6628352490421452E-3</v>
      </c>
      <c r="J16" s="4" t="s">
        <v>9</v>
      </c>
      <c r="K16" s="4">
        <v>1</v>
      </c>
      <c r="L16" s="5">
        <v>5.1282051282051282E-3</v>
      </c>
    </row>
    <row r="17" spans="2:12" x14ac:dyDescent="0.3">
      <c r="B17" s="6" t="s">
        <v>29</v>
      </c>
      <c r="C17" s="6">
        <f>SUM(C14:C16)</f>
        <v>0</v>
      </c>
      <c r="D17" s="7">
        <f>SUM(D14:D16)</f>
        <v>0</v>
      </c>
      <c r="F17" s="6" t="s">
        <v>29</v>
      </c>
      <c r="G17" s="6">
        <f>SUM(G14:G16)</f>
        <v>261</v>
      </c>
      <c r="H17" s="7">
        <f>SUM(H14:H16)</f>
        <v>1</v>
      </c>
      <c r="J17" s="6" t="s">
        <v>29</v>
      </c>
      <c r="K17" s="6">
        <f>SUM(K14:K16)</f>
        <v>195</v>
      </c>
      <c r="L17" s="7">
        <f>SUM(L14:L16)</f>
        <v>1</v>
      </c>
    </row>
    <row r="20" spans="2:12" x14ac:dyDescent="0.3">
      <c r="C20" t="s">
        <v>16</v>
      </c>
      <c r="G20" t="s">
        <v>16</v>
      </c>
      <c r="K20" t="s">
        <v>30</v>
      </c>
    </row>
    <row r="21" spans="2:12" x14ac:dyDescent="0.3">
      <c r="B21" t="s">
        <v>19</v>
      </c>
      <c r="C21" s="8">
        <v>0</v>
      </c>
      <c r="F21" t="s">
        <v>19</v>
      </c>
      <c r="G21" s="8">
        <f>(G7+G8)/G10</f>
        <v>0.99616858237547889</v>
      </c>
      <c r="J21" t="s">
        <v>19</v>
      </c>
      <c r="K21" s="8">
        <f>(K7+K8)/K10</f>
        <v>0.98974358974358978</v>
      </c>
    </row>
    <row r="22" spans="2:12" x14ac:dyDescent="0.3">
      <c r="B22" t="s">
        <v>20</v>
      </c>
      <c r="C22" s="8">
        <v>0</v>
      </c>
      <c r="F22" t="s">
        <v>20</v>
      </c>
      <c r="G22" s="8">
        <f>(G9)/G10</f>
        <v>3.8314176245210726E-3</v>
      </c>
      <c r="J22" t="s">
        <v>20</v>
      </c>
      <c r="K22" s="8">
        <f>(K9)/K10</f>
        <v>1.0256410256410256E-2</v>
      </c>
    </row>
    <row r="24" spans="2:12" x14ac:dyDescent="0.3">
      <c r="C24" t="s">
        <v>17</v>
      </c>
      <c r="G24" t="s">
        <v>17</v>
      </c>
      <c r="K24" t="s">
        <v>31</v>
      </c>
    </row>
    <row r="25" spans="2:12" x14ac:dyDescent="0.3">
      <c r="B25" t="s">
        <v>19</v>
      </c>
      <c r="C25" s="8">
        <v>0</v>
      </c>
      <c r="F25" t="s">
        <v>19</v>
      </c>
      <c r="G25" s="8">
        <f>(G14+G15)/G17</f>
        <v>0.9923371647509579</v>
      </c>
      <c r="J25" t="s">
        <v>19</v>
      </c>
      <c r="K25" s="8">
        <f>(K14+K15)/K17</f>
        <v>0.99487179487179489</v>
      </c>
    </row>
    <row r="26" spans="2:12" x14ac:dyDescent="0.3">
      <c r="B26" t="s">
        <v>20</v>
      </c>
      <c r="C26" s="8">
        <v>0</v>
      </c>
      <c r="F26" t="s">
        <v>20</v>
      </c>
      <c r="G26" s="8">
        <f>(G16)/G17</f>
        <v>7.6628352490421452E-3</v>
      </c>
      <c r="J26" t="s">
        <v>20</v>
      </c>
      <c r="K26" s="8">
        <f>(K16)/K17</f>
        <v>5.1282051282051282E-3</v>
      </c>
    </row>
    <row r="31" spans="2:12" ht="15.6" x14ac:dyDescent="0.3">
      <c r="C31" s="9" t="s">
        <v>19</v>
      </c>
      <c r="D31" s="9" t="s">
        <v>20</v>
      </c>
    </row>
    <row r="32" spans="2:12" ht="18" x14ac:dyDescent="0.35">
      <c r="B32" s="10" t="s">
        <v>0</v>
      </c>
      <c r="C32" s="11">
        <v>0</v>
      </c>
      <c r="D32" s="11">
        <v>0</v>
      </c>
    </row>
    <row r="33" spans="2:4" ht="18" x14ac:dyDescent="0.35">
      <c r="B33" s="10" t="s">
        <v>1</v>
      </c>
      <c r="C33" s="11">
        <f>(G21+G25)/2</f>
        <v>0.99425287356321834</v>
      </c>
      <c r="D33" s="11">
        <f>(G22+G26)/2</f>
        <v>5.7471264367816091E-3</v>
      </c>
    </row>
    <row r="34" spans="2:4" ht="18" x14ac:dyDescent="0.35">
      <c r="B34" s="10" t="s">
        <v>2</v>
      </c>
      <c r="C34" s="11">
        <f>(K21+K25)/2</f>
        <v>0.99230769230769234</v>
      </c>
      <c r="D34" s="11">
        <f>(K22+K26)/2</f>
        <v>7.6923076923076927E-3</v>
      </c>
    </row>
  </sheetData>
  <mergeCells count="9">
    <mergeCell ref="B12:D12"/>
    <mergeCell ref="F12:H12"/>
    <mergeCell ref="J12:L12"/>
    <mergeCell ref="B2:D3"/>
    <mergeCell ref="F2:H3"/>
    <mergeCell ref="J2:L3"/>
    <mergeCell ref="B5:D5"/>
    <mergeCell ref="F5:H5"/>
    <mergeCell ref="J5:L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7"/>
  <sheetViews>
    <sheetView zoomScale="70" zoomScaleNormal="70" workbookViewId="0">
      <selection activeCell="C67" sqref="C67"/>
    </sheetView>
  </sheetViews>
  <sheetFormatPr baseColWidth="10" defaultRowHeight="14.4" x14ac:dyDescent="0.3"/>
  <cols>
    <col min="2" max="2" width="20" customWidth="1"/>
    <col min="3" max="3" width="17.6640625" customWidth="1"/>
    <col min="4" max="4" width="18.44140625" customWidth="1"/>
    <col min="5" max="5" width="7.5546875" customWidth="1"/>
    <col min="6" max="7" width="19.33203125" customWidth="1"/>
    <col min="8" max="8" width="15.109375" customWidth="1"/>
    <col min="9" max="9" width="8.109375" customWidth="1"/>
    <col min="10" max="10" width="18.88671875" customWidth="1"/>
    <col min="11" max="11" width="21.88671875" customWidth="1"/>
    <col min="12" max="12" width="14.5546875" customWidth="1"/>
  </cols>
  <sheetData>
    <row r="2" spans="2:12" x14ac:dyDescent="0.3">
      <c r="B2" s="23" t="s">
        <v>0</v>
      </c>
      <c r="C2" s="23"/>
      <c r="D2" s="23"/>
      <c r="F2" s="23" t="s">
        <v>1</v>
      </c>
      <c r="G2" s="23"/>
      <c r="H2" s="23"/>
      <c r="J2" s="23" t="s">
        <v>2</v>
      </c>
      <c r="K2" s="23"/>
      <c r="L2" s="23"/>
    </row>
    <row r="3" spans="2:12" x14ac:dyDescent="0.3">
      <c r="B3" s="23"/>
      <c r="C3" s="23"/>
      <c r="D3" s="23"/>
      <c r="F3" s="23"/>
      <c r="G3" s="23"/>
      <c r="H3" s="23"/>
      <c r="J3" s="23"/>
      <c r="K3" s="23"/>
      <c r="L3" s="23"/>
    </row>
    <row r="5" spans="2:12" ht="30" customHeight="1" x14ac:dyDescent="0.3">
      <c r="B5" s="20" t="s">
        <v>35</v>
      </c>
      <c r="C5" s="21"/>
      <c r="D5" s="22"/>
      <c r="F5" s="20" t="s">
        <v>35</v>
      </c>
      <c r="G5" s="21"/>
      <c r="H5" s="22"/>
      <c r="J5" s="20" t="s">
        <v>35</v>
      </c>
      <c r="K5" s="21"/>
      <c r="L5" s="22"/>
    </row>
    <row r="6" spans="2:12" x14ac:dyDescent="0.3">
      <c r="B6" s="15" t="s">
        <v>4</v>
      </c>
      <c r="C6" s="15" t="s">
        <v>5</v>
      </c>
      <c r="D6" s="15" t="s">
        <v>6</v>
      </c>
      <c r="F6" s="15" t="s">
        <v>4</v>
      </c>
      <c r="G6" s="15" t="s">
        <v>5</v>
      </c>
      <c r="H6" s="15" t="s">
        <v>6</v>
      </c>
      <c r="J6" s="15" t="s">
        <v>4</v>
      </c>
      <c r="K6" s="15" t="s">
        <v>5</v>
      </c>
      <c r="L6" s="15" t="s">
        <v>6</v>
      </c>
    </row>
    <row r="7" spans="2:12" x14ac:dyDescent="0.3">
      <c r="B7" s="4" t="s">
        <v>7</v>
      </c>
      <c r="C7" s="4">
        <v>0</v>
      </c>
      <c r="D7" s="5">
        <v>0</v>
      </c>
      <c r="F7" s="4" t="s">
        <v>7</v>
      </c>
      <c r="G7" s="4">
        <v>111</v>
      </c>
      <c r="H7" s="5">
        <v>0.75</v>
      </c>
      <c r="J7" s="4" t="s">
        <v>7</v>
      </c>
      <c r="K7" s="4">
        <v>72</v>
      </c>
      <c r="L7" s="5">
        <v>0.42857142857142855</v>
      </c>
    </row>
    <row r="8" spans="2:12" x14ac:dyDescent="0.3">
      <c r="B8" s="4" t="s">
        <v>8</v>
      </c>
      <c r="C8" s="4">
        <v>0</v>
      </c>
      <c r="D8" s="5">
        <v>0</v>
      </c>
      <c r="F8" s="4" t="s">
        <v>8</v>
      </c>
      <c r="G8" s="4">
        <v>2</v>
      </c>
      <c r="H8" s="5">
        <v>1.3513513513513514E-2</v>
      </c>
      <c r="J8" s="4" t="s">
        <v>8</v>
      </c>
      <c r="K8" s="4">
        <v>22</v>
      </c>
      <c r="L8" s="5">
        <v>0.13095238095238096</v>
      </c>
    </row>
    <row r="9" spans="2:12" x14ac:dyDescent="0.3">
      <c r="B9" s="4" t="s">
        <v>9</v>
      </c>
      <c r="C9" s="4">
        <v>0</v>
      </c>
      <c r="D9" s="5">
        <v>0</v>
      </c>
      <c r="F9" s="4" t="s">
        <v>9</v>
      </c>
      <c r="G9" s="4">
        <v>0</v>
      </c>
      <c r="H9" s="5">
        <v>0</v>
      </c>
      <c r="J9" s="4" t="s">
        <v>9</v>
      </c>
      <c r="K9" s="4">
        <v>0</v>
      </c>
      <c r="L9" s="5">
        <v>0</v>
      </c>
    </row>
    <row r="10" spans="2:12" x14ac:dyDescent="0.3">
      <c r="B10" s="4" t="s">
        <v>10</v>
      </c>
      <c r="C10" s="4">
        <v>0</v>
      </c>
      <c r="D10" s="5">
        <v>0</v>
      </c>
      <c r="F10" s="4" t="s">
        <v>10</v>
      </c>
      <c r="G10" s="4">
        <v>35</v>
      </c>
      <c r="H10" s="5">
        <v>0.23648648648648649</v>
      </c>
      <c r="J10" s="4" t="s">
        <v>10</v>
      </c>
      <c r="K10" s="4">
        <v>74</v>
      </c>
      <c r="L10" s="5">
        <v>0.44047619047619047</v>
      </c>
    </row>
    <row r="11" spans="2:12" x14ac:dyDescent="0.3">
      <c r="B11" s="6" t="s">
        <v>29</v>
      </c>
      <c r="C11" s="6">
        <f>SUM(C7:C10)</f>
        <v>0</v>
      </c>
      <c r="D11" s="7">
        <f>SUM(D7:D10)</f>
        <v>0</v>
      </c>
      <c r="F11" s="6" t="s">
        <v>29</v>
      </c>
      <c r="G11" s="6">
        <f>SUM(G7:G10)</f>
        <v>148</v>
      </c>
      <c r="H11" s="7">
        <f>SUM(H7:H10)</f>
        <v>1</v>
      </c>
      <c r="J11" s="6" t="s">
        <v>29</v>
      </c>
      <c r="K11" s="6">
        <f>SUM(K7:K10)</f>
        <v>168</v>
      </c>
      <c r="L11" s="7">
        <f>SUM(L7:L10)</f>
        <v>1</v>
      </c>
    </row>
    <row r="13" spans="2:12" ht="34.5" customHeight="1" x14ac:dyDescent="0.3">
      <c r="B13" s="20" t="s">
        <v>36</v>
      </c>
      <c r="C13" s="21"/>
      <c r="D13" s="22"/>
      <c r="F13" s="20" t="s">
        <v>36</v>
      </c>
      <c r="G13" s="21"/>
      <c r="H13" s="22"/>
      <c r="J13" s="20" t="s">
        <v>36</v>
      </c>
      <c r="K13" s="21"/>
      <c r="L13" s="22"/>
    </row>
    <row r="14" spans="2:12" x14ac:dyDescent="0.3">
      <c r="B14" s="15" t="s">
        <v>4</v>
      </c>
      <c r="C14" s="15" t="s">
        <v>5</v>
      </c>
      <c r="D14" s="15" t="s">
        <v>6</v>
      </c>
      <c r="F14" s="15" t="s">
        <v>4</v>
      </c>
      <c r="G14" s="15" t="s">
        <v>5</v>
      </c>
      <c r="H14" s="15" t="s">
        <v>6</v>
      </c>
      <c r="J14" s="15" t="s">
        <v>4</v>
      </c>
      <c r="K14" s="15" t="s">
        <v>5</v>
      </c>
      <c r="L14" s="15" t="s">
        <v>6</v>
      </c>
    </row>
    <row r="15" spans="2:12" x14ac:dyDescent="0.3">
      <c r="B15" s="4" t="s">
        <v>7</v>
      </c>
      <c r="C15" s="4">
        <v>0</v>
      </c>
      <c r="D15" s="5">
        <v>0</v>
      </c>
      <c r="F15" s="4" t="s">
        <v>7</v>
      </c>
      <c r="G15" s="4">
        <v>112</v>
      </c>
      <c r="H15" s="5">
        <v>0.7567567567567568</v>
      </c>
      <c r="J15" s="4" t="s">
        <v>7</v>
      </c>
      <c r="K15" s="4">
        <v>100</v>
      </c>
      <c r="L15" s="5">
        <v>0.59523809523809523</v>
      </c>
    </row>
    <row r="16" spans="2:12" x14ac:dyDescent="0.3">
      <c r="B16" s="4" t="s">
        <v>8</v>
      </c>
      <c r="C16" s="4">
        <v>0</v>
      </c>
      <c r="D16" s="5">
        <v>0</v>
      </c>
      <c r="F16" s="4" t="s">
        <v>8</v>
      </c>
      <c r="G16" s="4">
        <v>1</v>
      </c>
      <c r="H16" s="5">
        <v>6.7567567567567571E-3</v>
      </c>
      <c r="J16" s="4" t="s">
        <v>8</v>
      </c>
      <c r="K16" s="4">
        <v>24</v>
      </c>
      <c r="L16" s="5">
        <v>0.14285714285714285</v>
      </c>
    </row>
    <row r="17" spans="2:12" x14ac:dyDescent="0.3">
      <c r="B17" s="4" t="s">
        <v>9</v>
      </c>
      <c r="C17" s="4">
        <v>0</v>
      </c>
      <c r="D17" s="5">
        <v>0</v>
      </c>
      <c r="F17" s="4" t="s">
        <v>9</v>
      </c>
      <c r="G17" s="4">
        <v>0</v>
      </c>
      <c r="H17" s="5">
        <v>0</v>
      </c>
      <c r="J17" s="4" t="s">
        <v>9</v>
      </c>
      <c r="K17" s="4">
        <v>2</v>
      </c>
      <c r="L17" s="5">
        <v>1.1904761904761904E-2</v>
      </c>
    </row>
    <row r="18" spans="2:12" x14ac:dyDescent="0.3">
      <c r="B18" s="4" t="s">
        <v>10</v>
      </c>
      <c r="C18" s="4">
        <v>0</v>
      </c>
      <c r="D18" s="5">
        <v>0</v>
      </c>
      <c r="F18" s="4" t="s">
        <v>10</v>
      </c>
      <c r="G18" s="4">
        <v>35</v>
      </c>
      <c r="H18" s="5">
        <v>0.23648648648648649</v>
      </c>
      <c r="J18" s="4" t="s">
        <v>10</v>
      </c>
      <c r="K18" s="4">
        <v>42</v>
      </c>
      <c r="L18" s="5">
        <v>0.25</v>
      </c>
    </row>
    <row r="19" spans="2:12" x14ac:dyDescent="0.3">
      <c r="B19" s="6" t="s">
        <v>29</v>
      </c>
      <c r="C19" s="6">
        <f>SUM(C15:C18)</f>
        <v>0</v>
      </c>
      <c r="D19" s="7">
        <f>SUM(D15:D18)</f>
        <v>0</v>
      </c>
      <c r="F19" s="6" t="s">
        <v>29</v>
      </c>
      <c r="G19" s="6">
        <f>SUM(G15:G18)</f>
        <v>148</v>
      </c>
      <c r="H19" s="7">
        <f>SUM(H15:H18)</f>
        <v>1</v>
      </c>
      <c r="J19" s="6" t="s">
        <v>29</v>
      </c>
      <c r="K19" s="6">
        <f>SUM(K15:K18)</f>
        <v>168</v>
      </c>
      <c r="L19" s="7">
        <f>SUM(L15:L18)</f>
        <v>1</v>
      </c>
    </row>
    <row r="21" spans="2:12" ht="30" customHeight="1" x14ac:dyDescent="0.3">
      <c r="B21" s="20" t="s">
        <v>37</v>
      </c>
      <c r="C21" s="21"/>
      <c r="D21" s="22"/>
      <c r="F21" s="20" t="s">
        <v>37</v>
      </c>
      <c r="G21" s="21"/>
      <c r="H21" s="22"/>
      <c r="J21" s="20" t="s">
        <v>37</v>
      </c>
      <c r="K21" s="21"/>
      <c r="L21" s="22"/>
    </row>
    <row r="22" spans="2:12" x14ac:dyDescent="0.3">
      <c r="B22" s="15" t="s">
        <v>4</v>
      </c>
      <c r="C22" s="15" t="s">
        <v>5</v>
      </c>
      <c r="D22" s="15" t="s">
        <v>6</v>
      </c>
      <c r="F22" s="15" t="s">
        <v>4</v>
      </c>
      <c r="G22" s="15" t="s">
        <v>5</v>
      </c>
      <c r="H22" s="15" t="s">
        <v>6</v>
      </c>
      <c r="J22" s="15" t="s">
        <v>4</v>
      </c>
      <c r="K22" s="15" t="s">
        <v>5</v>
      </c>
      <c r="L22" s="15" t="s">
        <v>6</v>
      </c>
    </row>
    <row r="23" spans="2:12" x14ac:dyDescent="0.3">
      <c r="B23" s="4" t="s">
        <v>7</v>
      </c>
      <c r="C23" s="4">
        <v>0</v>
      </c>
      <c r="D23" s="5">
        <v>0</v>
      </c>
      <c r="F23" s="4" t="s">
        <v>7</v>
      </c>
      <c r="G23" s="4">
        <v>136</v>
      </c>
      <c r="H23" s="5">
        <v>0.91891891891891897</v>
      </c>
      <c r="J23" s="4" t="s">
        <v>7</v>
      </c>
      <c r="K23" s="4">
        <v>138</v>
      </c>
      <c r="L23" s="5">
        <v>0.8214285714285714</v>
      </c>
    </row>
    <row r="24" spans="2:12" x14ac:dyDescent="0.3">
      <c r="B24" s="4" t="s">
        <v>8</v>
      </c>
      <c r="C24" s="4">
        <v>0</v>
      </c>
      <c r="D24" s="5">
        <v>0</v>
      </c>
      <c r="F24" s="4" t="s">
        <v>8</v>
      </c>
      <c r="G24" s="4">
        <v>0</v>
      </c>
      <c r="H24" s="5">
        <v>0</v>
      </c>
      <c r="J24" s="4" t="s">
        <v>8</v>
      </c>
      <c r="K24" s="4">
        <v>16</v>
      </c>
      <c r="L24" s="5">
        <v>9.5238095238095233E-2</v>
      </c>
    </row>
    <row r="25" spans="2:12" x14ac:dyDescent="0.3">
      <c r="B25" s="4" t="s">
        <v>9</v>
      </c>
      <c r="C25" s="4">
        <v>0</v>
      </c>
      <c r="D25" s="5">
        <v>0</v>
      </c>
      <c r="F25" s="4" t="s">
        <v>9</v>
      </c>
      <c r="G25" s="4">
        <v>0</v>
      </c>
      <c r="H25" s="5">
        <v>0</v>
      </c>
      <c r="J25" s="4" t="s">
        <v>9</v>
      </c>
      <c r="K25" s="4">
        <v>1</v>
      </c>
      <c r="L25" s="5">
        <v>5.9523809523809521E-3</v>
      </c>
    </row>
    <row r="26" spans="2:12" x14ac:dyDescent="0.3">
      <c r="B26" s="4" t="s">
        <v>10</v>
      </c>
      <c r="C26" s="4">
        <v>0</v>
      </c>
      <c r="D26" s="5">
        <v>0</v>
      </c>
      <c r="F26" s="4" t="s">
        <v>10</v>
      </c>
      <c r="G26" s="4">
        <v>12</v>
      </c>
      <c r="H26" s="5">
        <v>8.1081081081081086E-2</v>
      </c>
      <c r="J26" s="4" t="s">
        <v>10</v>
      </c>
      <c r="K26" s="4">
        <v>13</v>
      </c>
      <c r="L26" s="5">
        <v>7.7380952380952384E-2</v>
      </c>
    </row>
    <row r="27" spans="2:12" x14ac:dyDescent="0.3">
      <c r="B27" s="6" t="s">
        <v>29</v>
      </c>
      <c r="C27" s="6">
        <f>SUM(C23:C26)</f>
        <v>0</v>
      </c>
      <c r="D27" s="7">
        <f>SUM(D23:D26)</f>
        <v>0</v>
      </c>
      <c r="F27" s="6" t="s">
        <v>29</v>
      </c>
      <c r="G27" s="6">
        <f>SUM(G23:G26)</f>
        <v>148</v>
      </c>
      <c r="H27" s="7">
        <f>SUM(H23:H26)</f>
        <v>1</v>
      </c>
      <c r="J27" s="6" t="s">
        <v>29</v>
      </c>
      <c r="K27" s="6">
        <f>SUM(K23:K26)</f>
        <v>168</v>
      </c>
      <c r="L27" s="7">
        <f>SUM(L23:L26)</f>
        <v>1</v>
      </c>
    </row>
    <row r="30" spans="2:12" x14ac:dyDescent="0.3">
      <c r="C30" t="s">
        <v>16</v>
      </c>
      <c r="G30" t="s">
        <v>16</v>
      </c>
      <c r="K30" t="s">
        <v>30</v>
      </c>
    </row>
    <row r="31" spans="2:12" x14ac:dyDescent="0.3">
      <c r="B31" t="s">
        <v>19</v>
      </c>
      <c r="C31" s="8">
        <v>0</v>
      </c>
      <c r="F31" t="s">
        <v>19</v>
      </c>
      <c r="G31" s="8">
        <f>(G7+G8)/G11</f>
        <v>0.76351351351351349</v>
      </c>
      <c r="J31" t="s">
        <v>19</v>
      </c>
      <c r="K31" s="8">
        <f>(K7+K8)/K11</f>
        <v>0.55952380952380953</v>
      </c>
    </row>
    <row r="32" spans="2:12" x14ac:dyDescent="0.3">
      <c r="B32" t="s">
        <v>20</v>
      </c>
      <c r="C32" s="8">
        <v>0</v>
      </c>
      <c r="F32" t="s">
        <v>20</v>
      </c>
      <c r="G32" s="8">
        <f>(G9+G10)/G11</f>
        <v>0.23648648648648649</v>
      </c>
      <c r="J32" t="s">
        <v>20</v>
      </c>
      <c r="K32" s="8">
        <f>(K9+K10)/K11</f>
        <v>0.44047619047619047</v>
      </c>
    </row>
    <row r="34" spans="2:11" x14ac:dyDescent="0.3">
      <c r="C34" t="s">
        <v>17</v>
      </c>
      <c r="G34" t="s">
        <v>17</v>
      </c>
      <c r="K34" t="s">
        <v>31</v>
      </c>
    </row>
    <row r="35" spans="2:11" x14ac:dyDescent="0.3">
      <c r="B35" t="s">
        <v>19</v>
      </c>
      <c r="C35" s="8">
        <v>0</v>
      </c>
      <c r="F35" t="s">
        <v>19</v>
      </c>
      <c r="G35" s="8">
        <f>(G15+G16)/G19</f>
        <v>0.76351351351351349</v>
      </c>
      <c r="J35" t="s">
        <v>19</v>
      </c>
      <c r="K35" s="8">
        <f>(K15+K16)/K19</f>
        <v>0.73809523809523814</v>
      </c>
    </row>
    <row r="36" spans="2:11" x14ac:dyDescent="0.3">
      <c r="B36" t="s">
        <v>20</v>
      </c>
      <c r="C36" s="8">
        <v>0</v>
      </c>
      <c r="F36" t="s">
        <v>20</v>
      </c>
      <c r="G36" s="8">
        <f>(G17+G18)/G19</f>
        <v>0.23648648648648649</v>
      </c>
      <c r="J36" t="s">
        <v>20</v>
      </c>
      <c r="K36" s="8">
        <f>(K17+K18)/K19</f>
        <v>0.26190476190476192</v>
      </c>
    </row>
    <row r="38" spans="2:11" x14ac:dyDescent="0.3">
      <c r="C38" t="s">
        <v>17</v>
      </c>
      <c r="G38" t="s">
        <v>17</v>
      </c>
      <c r="K38" t="s">
        <v>31</v>
      </c>
    </row>
    <row r="39" spans="2:11" x14ac:dyDescent="0.3">
      <c r="B39" t="s">
        <v>19</v>
      </c>
      <c r="C39" s="8">
        <v>0</v>
      </c>
      <c r="F39" t="s">
        <v>19</v>
      </c>
      <c r="G39" s="8">
        <f>(G23+G24)/G27</f>
        <v>0.91891891891891897</v>
      </c>
      <c r="J39" t="s">
        <v>19</v>
      </c>
      <c r="K39" s="8">
        <f>(K23+K24)/K27</f>
        <v>0.91666666666666663</v>
      </c>
    </row>
    <row r="40" spans="2:11" x14ac:dyDescent="0.3">
      <c r="B40" t="s">
        <v>20</v>
      </c>
      <c r="C40" s="8">
        <v>0</v>
      </c>
      <c r="F40" t="s">
        <v>20</v>
      </c>
      <c r="G40" s="8">
        <f>(G25+G26)/G27</f>
        <v>8.1081081081081086E-2</v>
      </c>
      <c r="J40" t="s">
        <v>20</v>
      </c>
      <c r="K40" s="8">
        <f>(K25+K26)/K27</f>
        <v>8.3333333333333329E-2</v>
      </c>
    </row>
    <row r="44" spans="2:11" ht="15.6" x14ac:dyDescent="0.3">
      <c r="C44" s="9" t="s">
        <v>19</v>
      </c>
      <c r="D44" s="9" t="s">
        <v>20</v>
      </c>
    </row>
    <row r="45" spans="2:11" ht="18" x14ac:dyDescent="0.35">
      <c r="B45" s="10" t="s">
        <v>0</v>
      </c>
      <c r="C45" s="11">
        <f>(C31+C35+C39)/3</f>
        <v>0</v>
      </c>
      <c r="D45" s="11">
        <f>(C32+C36+C40)/3</f>
        <v>0</v>
      </c>
    </row>
    <row r="46" spans="2:11" ht="18" x14ac:dyDescent="0.35">
      <c r="B46" s="10" t="s">
        <v>1</v>
      </c>
      <c r="C46" s="11">
        <f>(G31+G35+G39)/3</f>
        <v>0.81531531531531531</v>
      </c>
      <c r="D46" s="11">
        <f>(G32+G36+G40)/3</f>
        <v>0.18468468468468469</v>
      </c>
    </row>
    <row r="47" spans="2:11" ht="18" x14ac:dyDescent="0.35">
      <c r="B47" s="10" t="s">
        <v>2</v>
      </c>
      <c r="C47" s="11">
        <f>(K31+K35+K39)/3</f>
        <v>0.73809523809523814</v>
      </c>
      <c r="D47" s="11">
        <f>(K32+K36+K40)/3</f>
        <v>0.26190476190476192</v>
      </c>
    </row>
  </sheetData>
  <mergeCells count="12">
    <mergeCell ref="B13:D13"/>
    <mergeCell ref="F13:H13"/>
    <mergeCell ref="J13:L13"/>
    <mergeCell ref="B21:D21"/>
    <mergeCell ref="F21:H21"/>
    <mergeCell ref="J21:L21"/>
    <mergeCell ref="B2:D3"/>
    <mergeCell ref="F2:H3"/>
    <mergeCell ref="J2:L3"/>
    <mergeCell ref="B5:D5"/>
    <mergeCell ref="F5:H5"/>
    <mergeCell ref="J5:L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69"/>
  <sheetViews>
    <sheetView zoomScale="70" zoomScaleNormal="70" workbookViewId="0">
      <selection activeCell="G7" sqref="G7"/>
    </sheetView>
  </sheetViews>
  <sheetFormatPr baseColWidth="10" defaultRowHeight="14.4" x14ac:dyDescent="0.3"/>
  <cols>
    <col min="2" max="2" width="20" customWidth="1"/>
    <col min="3" max="3" width="17.6640625" customWidth="1"/>
    <col min="4" max="4" width="18.44140625" customWidth="1"/>
    <col min="5" max="5" width="7.5546875" customWidth="1"/>
    <col min="6" max="7" width="19.33203125" customWidth="1"/>
    <col min="8" max="8" width="15.109375" customWidth="1"/>
    <col min="9" max="9" width="8.109375" customWidth="1"/>
    <col min="10" max="10" width="18.88671875" customWidth="1"/>
    <col min="11" max="11" width="21.88671875" customWidth="1"/>
    <col min="12" max="12" width="14.5546875" customWidth="1"/>
  </cols>
  <sheetData>
    <row r="2" spans="2:12" x14ac:dyDescent="0.3">
      <c r="B2" s="23" t="s">
        <v>0</v>
      </c>
      <c r="C2" s="23"/>
      <c r="D2" s="23"/>
      <c r="F2" s="23" t="s">
        <v>1</v>
      </c>
      <c r="G2" s="23"/>
      <c r="H2" s="23"/>
      <c r="J2" s="23" t="s">
        <v>2</v>
      </c>
      <c r="K2" s="23"/>
      <c r="L2" s="23"/>
    </row>
    <row r="3" spans="2:12" x14ac:dyDescent="0.3">
      <c r="B3" s="23"/>
      <c r="C3" s="23"/>
      <c r="D3" s="23"/>
      <c r="F3" s="23"/>
      <c r="G3" s="23"/>
      <c r="H3" s="23"/>
      <c r="J3" s="23"/>
      <c r="K3" s="23"/>
      <c r="L3" s="23"/>
    </row>
    <row r="5" spans="2:12" ht="30" customHeight="1" x14ac:dyDescent="0.3">
      <c r="B5" s="20" t="s">
        <v>46</v>
      </c>
      <c r="C5" s="21"/>
      <c r="D5" s="22"/>
      <c r="F5" s="20" t="s">
        <v>46</v>
      </c>
      <c r="G5" s="21"/>
      <c r="H5" s="22"/>
      <c r="J5" s="20" t="s">
        <v>46</v>
      </c>
      <c r="K5" s="21"/>
      <c r="L5" s="22"/>
    </row>
    <row r="6" spans="2:12" x14ac:dyDescent="0.3">
      <c r="B6" s="15" t="s">
        <v>4</v>
      </c>
      <c r="C6" s="15" t="s">
        <v>5</v>
      </c>
      <c r="D6" s="15" t="s">
        <v>6</v>
      </c>
      <c r="F6" s="15" t="s">
        <v>4</v>
      </c>
      <c r="G6" s="15" t="s">
        <v>5</v>
      </c>
      <c r="H6" s="15" t="s">
        <v>6</v>
      </c>
      <c r="J6" s="15" t="s">
        <v>4</v>
      </c>
      <c r="K6" s="15" t="s">
        <v>5</v>
      </c>
      <c r="L6" s="15" t="s">
        <v>6</v>
      </c>
    </row>
    <row r="7" spans="2:12" x14ac:dyDescent="0.3">
      <c r="B7" s="4" t="s">
        <v>7</v>
      </c>
      <c r="C7" s="4">
        <v>1</v>
      </c>
      <c r="D7" s="5">
        <v>0.33333333333333331</v>
      </c>
      <c r="F7" s="4" t="s">
        <v>7</v>
      </c>
      <c r="G7" s="4">
        <v>45</v>
      </c>
      <c r="H7" s="5">
        <v>0.97826086956521741</v>
      </c>
      <c r="J7" s="4" t="s">
        <v>7</v>
      </c>
      <c r="K7" s="4">
        <v>2</v>
      </c>
      <c r="L7" s="5">
        <v>0.66666666666666663</v>
      </c>
    </row>
    <row r="8" spans="2:12" x14ac:dyDescent="0.3">
      <c r="B8" s="4" t="s">
        <v>8</v>
      </c>
      <c r="C8" s="4">
        <v>2</v>
      </c>
      <c r="D8" s="5">
        <v>0.66666666666666663</v>
      </c>
      <c r="F8" s="4" t="s">
        <v>8</v>
      </c>
      <c r="G8" s="4">
        <v>1</v>
      </c>
      <c r="H8" s="5">
        <v>2.1739130434782608E-2</v>
      </c>
      <c r="J8" s="4" t="s">
        <v>8</v>
      </c>
      <c r="K8" s="4">
        <v>1</v>
      </c>
      <c r="L8" s="5">
        <v>0.33333333333333331</v>
      </c>
    </row>
    <row r="9" spans="2:12" x14ac:dyDescent="0.3">
      <c r="B9" s="4" t="s">
        <v>9</v>
      </c>
      <c r="C9" s="4">
        <v>0</v>
      </c>
      <c r="D9" s="5">
        <v>0</v>
      </c>
      <c r="F9" s="4" t="s">
        <v>9</v>
      </c>
      <c r="G9" s="4">
        <v>0</v>
      </c>
      <c r="H9" s="5">
        <v>0</v>
      </c>
      <c r="J9" s="4" t="s">
        <v>9</v>
      </c>
      <c r="K9" s="4">
        <v>0</v>
      </c>
      <c r="L9" s="5">
        <v>0</v>
      </c>
    </row>
    <row r="10" spans="2:12" x14ac:dyDescent="0.3">
      <c r="B10" s="4" t="s">
        <v>10</v>
      </c>
      <c r="C10" s="4">
        <v>0</v>
      </c>
      <c r="D10" s="5">
        <f>C10/C11</f>
        <v>0</v>
      </c>
      <c r="F10" s="4" t="s">
        <v>10</v>
      </c>
      <c r="G10" s="4">
        <v>0</v>
      </c>
      <c r="H10" s="5">
        <f>G10/G11</f>
        <v>0</v>
      </c>
      <c r="J10" s="4" t="s">
        <v>10</v>
      </c>
      <c r="K10" s="4">
        <v>0</v>
      </c>
      <c r="L10" s="5">
        <f>K10/K11</f>
        <v>0</v>
      </c>
    </row>
    <row r="11" spans="2:12" x14ac:dyDescent="0.3">
      <c r="B11" s="6" t="s">
        <v>29</v>
      </c>
      <c r="C11" s="6">
        <f>SUM(C7:C10)</f>
        <v>3</v>
      </c>
      <c r="D11" s="7">
        <f>SUM(D7:D10)</f>
        <v>1</v>
      </c>
      <c r="F11" s="6" t="s">
        <v>29</v>
      </c>
      <c r="G11" s="6">
        <f>SUM(G7:G10)</f>
        <v>46</v>
      </c>
      <c r="H11" s="7">
        <f>SUM(H7:H10)</f>
        <v>1</v>
      </c>
      <c r="J11" s="6" t="s">
        <v>29</v>
      </c>
      <c r="K11" s="6">
        <f>SUM(K7:K10)</f>
        <v>3</v>
      </c>
      <c r="L11" s="7">
        <f>SUM(L7:L10)</f>
        <v>1</v>
      </c>
    </row>
    <row r="13" spans="2:12" ht="34.5" customHeight="1" x14ac:dyDescent="0.3">
      <c r="B13" s="20" t="s">
        <v>47</v>
      </c>
      <c r="C13" s="21"/>
      <c r="D13" s="22"/>
      <c r="F13" s="20" t="s">
        <v>47</v>
      </c>
      <c r="G13" s="21"/>
      <c r="H13" s="22"/>
      <c r="J13" s="20" t="s">
        <v>47</v>
      </c>
      <c r="K13" s="21"/>
      <c r="L13" s="22"/>
    </row>
    <row r="14" spans="2:12" x14ac:dyDescent="0.3">
      <c r="B14" s="15" t="s">
        <v>4</v>
      </c>
      <c r="C14" s="15" t="s">
        <v>5</v>
      </c>
      <c r="D14" s="15" t="s">
        <v>6</v>
      </c>
      <c r="F14" s="15" t="s">
        <v>4</v>
      </c>
      <c r="G14" s="15" t="s">
        <v>5</v>
      </c>
      <c r="H14" s="15" t="s">
        <v>6</v>
      </c>
      <c r="J14" s="15" t="s">
        <v>4</v>
      </c>
      <c r="K14" s="15" t="s">
        <v>5</v>
      </c>
      <c r="L14" s="15" t="s">
        <v>6</v>
      </c>
    </row>
    <row r="15" spans="2:12" x14ac:dyDescent="0.3">
      <c r="B15" s="4" t="s">
        <v>7</v>
      </c>
      <c r="C15" s="4">
        <v>2</v>
      </c>
      <c r="D15" s="5">
        <v>0.66666666666666663</v>
      </c>
      <c r="F15" s="4" t="s">
        <v>7</v>
      </c>
      <c r="G15" s="4">
        <v>44</v>
      </c>
      <c r="H15" s="5">
        <v>0.95652173913043481</v>
      </c>
      <c r="J15" s="4" t="s">
        <v>7</v>
      </c>
      <c r="K15" s="4">
        <v>2</v>
      </c>
      <c r="L15" s="5">
        <v>0.66666666666666663</v>
      </c>
    </row>
    <row r="16" spans="2:12" x14ac:dyDescent="0.3">
      <c r="B16" s="4" t="s">
        <v>8</v>
      </c>
      <c r="C16" s="4">
        <v>1</v>
      </c>
      <c r="D16" s="5">
        <v>0.33333333333333331</v>
      </c>
      <c r="F16" s="4" t="s">
        <v>8</v>
      </c>
      <c r="G16" s="4">
        <v>1</v>
      </c>
      <c r="H16" s="5">
        <v>2.1739130434782608E-2</v>
      </c>
      <c r="J16" s="4" t="s">
        <v>8</v>
      </c>
      <c r="K16" s="4">
        <v>1</v>
      </c>
      <c r="L16" s="5">
        <v>0.33333333333333331</v>
      </c>
    </row>
    <row r="17" spans="2:12" x14ac:dyDescent="0.3">
      <c r="B17" s="4" t="s">
        <v>9</v>
      </c>
      <c r="C17" s="4">
        <v>0</v>
      </c>
      <c r="D17" s="5">
        <v>0</v>
      </c>
      <c r="F17" s="4" t="s">
        <v>9</v>
      </c>
      <c r="G17" s="4">
        <v>1</v>
      </c>
      <c r="H17" s="5">
        <v>2.1739130434782608E-2</v>
      </c>
      <c r="J17" s="4" t="s">
        <v>9</v>
      </c>
      <c r="K17" s="4">
        <v>0</v>
      </c>
      <c r="L17" s="5">
        <v>0</v>
      </c>
    </row>
    <row r="18" spans="2:12" x14ac:dyDescent="0.3">
      <c r="B18" s="4" t="s">
        <v>10</v>
      </c>
      <c r="C18" s="4">
        <v>0</v>
      </c>
      <c r="D18" s="5">
        <f>C18/C19</f>
        <v>0</v>
      </c>
      <c r="F18" s="4" t="s">
        <v>10</v>
      </c>
      <c r="G18" s="4">
        <v>0</v>
      </c>
      <c r="H18" s="5">
        <f>G18/G19</f>
        <v>0</v>
      </c>
      <c r="J18" s="4" t="s">
        <v>10</v>
      </c>
      <c r="K18" s="4">
        <v>0</v>
      </c>
      <c r="L18" s="5">
        <f>K18/K19</f>
        <v>0</v>
      </c>
    </row>
    <row r="19" spans="2:12" x14ac:dyDescent="0.3">
      <c r="B19" s="6" t="s">
        <v>29</v>
      </c>
      <c r="C19" s="6">
        <f>SUM(C15:C18)</f>
        <v>3</v>
      </c>
      <c r="D19" s="7">
        <f>SUM(D15:D18)</f>
        <v>1</v>
      </c>
      <c r="F19" s="6" t="s">
        <v>29</v>
      </c>
      <c r="G19" s="6">
        <f>SUM(G15:G18)</f>
        <v>46</v>
      </c>
      <c r="H19" s="7">
        <f>SUM(H15:H18)</f>
        <v>1</v>
      </c>
      <c r="J19" s="6" t="s">
        <v>29</v>
      </c>
      <c r="K19" s="6">
        <f>SUM(K15:K18)</f>
        <v>3</v>
      </c>
      <c r="L19" s="7">
        <f>SUM(L15:L18)</f>
        <v>1</v>
      </c>
    </row>
    <row r="21" spans="2:12" ht="30" customHeight="1" x14ac:dyDescent="0.3">
      <c r="B21" s="20" t="s">
        <v>48</v>
      </c>
      <c r="C21" s="21"/>
      <c r="D21" s="22"/>
      <c r="F21" s="20" t="s">
        <v>48</v>
      </c>
      <c r="G21" s="21"/>
      <c r="H21" s="22"/>
      <c r="J21" s="20" t="s">
        <v>48</v>
      </c>
      <c r="K21" s="21"/>
      <c r="L21" s="22"/>
    </row>
    <row r="22" spans="2:12" x14ac:dyDescent="0.3">
      <c r="B22" s="15" t="s">
        <v>4</v>
      </c>
      <c r="C22" s="15" t="s">
        <v>5</v>
      </c>
      <c r="D22" s="15" t="s">
        <v>6</v>
      </c>
      <c r="F22" s="15" t="s">
        <v>4</v>
      </c>
      <c r="G22" s="15" t="s">
        <v>5</v>
      </c>
      <c r="H22" s="15" t="s">
        <v>6</v>
      </c>
      <c r="J22" s="15" t="s">
        <v>4</v>
      </c>
      <c r="K22" s="15" t="s">
        <v>5</v>
      </c>
      <c r="L22" s="15" t="s">
        <v>6</v>
      </c>
    </row>
    <row r="23" spans="2:12" x14ac:dyDescent="0.3">
      <c r="B23" s="4" t="s">
        <v>7</v>
      </c>
      <c r="C23" s="4">
        <v>2</v>
      </c>
      <c r="D23" s="5">
        <v>0.66666666666666663</v>
      </c>
      <c r="F23" s="4" t="s">
        <v>7</v>
      </c>
      <c r="G23" s="4">
        <v>45</v>
      </c>
      <c r="H23" s="5">
        <v>0.97826086956521741</v>
      </c>
      <c r="J23" s="4" t="s">
        <v>7</v>
      </c>
      <c r="K23" s="4">
        <v>3</v>
      </c>
      <c r="L23" s="5">
        <v>1</v>
      </c>
    </row>
    <row r="24" spans="2:12" x14ac:dyDescent="0.3">
      <c r="B24" s="4" t="s">
        <v>8</v>
      </c>
      <c r="C24" s="4">
        <v>1</v>
      </c>
      <c r="D24" s="5">
        <v>0.33333333333333331</v>
      </c>
      <c r="F24" s="4" t="s">
        <v>8</v>
      </c>
      <c r="G24" s="4">
        <v>0</v>
      </c>
      <c r="H24" s="5">
        <v>0</v>
      </c>
      <c r="J24" s="4" t="s">
        <v>8</v>
      </c>
      <c r="K24" s="4">
        <v>0</v>
      </c>
      <c r="L24" s="5">
        <v>0</v>
      </c>
    </row>
    <row r="25" spans="2:12" x14ac:dyDescent="0.3">
      <c r="B25" s="4" t="s">
        <v>9</v>
      </c>
      <c r="C25" s="4">
        <v>0</v>
      </c>
      <c r="D25" s="5">
        <v>0</v>
      </c>
      <c r="F25" s="4" t="s">
        <v>9</v>
      </c>
      <c r="G25" s="4">
        <v>1</v>
      </c>
      <c r="H25" s="5">
        <v>2.1739130434782608E-2</v>
      </c>
      <c r="J25" s="4" t="s">
        <v>9</v>
      </c>
      <c r="K25" s="4">
        <v>0</v>
      </c>
      <c r="L25" s="5">
        <v>0</v>
      </c>
    </row>
    <row r="26" spans="2:12" x14ac:dyDescent="0.3">
      <c r="B26" s="4" t="s">
        <v>10</v>
      </c>
      <c r="C26" s="4">
        <v>0</v>
      </c>
      <c r="D26" s="5">
        <f>C26/C27</f>
        <v>0</v>
      </c>
      <c r="F26" s="4" t="s">
        <v>10</v>
      </c>
      <c r="G26" s="4">
        <v>0</v>
      </c>
      <c r="H26" s="5">
        <f>G26/G27</f>
        <v>0</v>
      </c>
      <c r="J26" s="4" t="s">
        <v>10</v>
      </c>
      <c r="K26" s="4">
        <v>0</v>
      </c>
      <c r="L26" s="5">
        <f>K26/K27</f>
        <v>0</v>
      </c>
    </row>
    <row r="27" spans="2:12" x14ac:dyDescent="0.3">
      <c r="B27" s="6" t="s">
        <v>29</v>
      </c>
      <c r="C27" s="6">
        <f>SUM(C23:C26)</f>
        <v>3</v>
      </c>
      <c r="D27" s="7">
        <f>SUM(D23:D26)</f>
        <v>1</v>
      </c>
      <c r="F27" s="6" t="s">
        <v>29</v>
      </c>
      <c r="G27" s="6">
        <f>SUM(G23:G26)</f>
        <v>46</v>
      </c>
      <c r="H27" s="7">
        <f>SUM(H23:H26)</f>
        <v>1</v>
      </c>
      <c r="J27" s="6" t="s">
        <v>29</v>
      </c>
      <c r="K27" s="6">
        <f>SUM(K23:K26)</f>
        <v>3</v>
      </c>
      <c r="L27" s="7">
        <f>SUM(L23:L26)</f>
        <v>1</v>
      </c>
    </row>
    <row r="28" spans="2:12" x14ac:dyDescent="0.3">
      <c r="B28" s="17"/>
      <c r="C28" s="17"/>
      <c r="D28" s="18"/>
      <c r="F28" s="17"/>
      <c r="G28" s="17"/>
      <c r="H28" s="18"/>
      <c r="J28" s="17"/>
      <c r="K28" s="17"/>
      <c r="L28" s="18"/>
    </row>
    <row r="29" spans="2:12" x14ac:dyDescent="0.3">
      <c r="B29" s="20" t="s">
        <v>49</v>
      </c>
      <c r="C29" s="21"/>
      <c r="D29" s="22"/>
      <c r="F29" s="20" t="s">
        <v>49</v>
      </c>
      <c r="G29" s="21"/>
      <c r="H29" s="22"/>
      <c r="J29" s="20" t="s">
        <v>49</v>
      </c>
      <c r="K29" s="21"/>
      <c r="L29" s="22"/>
    </row>
    <row r="30" spans="2:12" x14ac:dyDescent="0.3">
      <c r="B30" s="15" t="s">
        <v>4</v>
      </c>
      <c r="C30" s="15" t="s">
        <v>5</v>
      </c>
      <c r="D30" s="15" t="s">
        <v>6</v>
      </c>
      <c r="F30" s="15" t="s">
        <v>4</v>
      </c>
      <c r="G30" s="15" t="s">
        <v>5</v>
      </c>
      <c r="H30" s="15" t="s">
        <v>6</v>
      </c>
      <c r="J30" s="15" t="s">
        <v>4</v>
      </c>
      <c r="K30" s="15" t="s">
        <v>5</v>
      </c>
      <c r="L30" s="15" t="s">
        <v>6</v>
      </c>
    </row>
    <row r="31" spans="2:12" x14ac:dyDescent="0.3">
      <c r="B31" s="4" t="s">
        <v>7</v>
      </c>
      <c r="C31" s="4">
        <v>2</v>
      </c>
      <c r="D31" s="5">
        <v>0.66666666666666663</v>
      </c>
      <c r="F31" s="4" t="s">
        <v>7</v>
      </c>
      <c r="G31" s="4">
        <v>43</v>
      </c>
      <c r="H31" s="5">
        <v>0.93478260869565222</v>
      </c>
      <c r="J31" s="4" t="s">
        <v>7</v>
      </c>
      <c r="K31" s="4">
        <v>2</v>
      </c>
      <c r="L31" s="5">
        <v>0.66666666666666663</v>
      </c>
    </row>
    <row r="32" spans="2:12" x14ac:dyDescent="0.3">
      <c r="B32" s="4" t="s">
        <v>8</v>
      </c>
      <c r="C32" s="4">
        <v>1</v>
      </c>
      <c r="D32" s="5">
        <v>0.33333333333333331</v>
      </c>
      <c r="F32" s="4" t="s">
        <v>8</v>
      </c>
      <c r="G32" s="4">
        <v>3</v>
      </c>
      <c r="H32" s="5">
        <v>6.5217391304347824E-2</v>
      </c>
      <c r="J32" s="4" t="s">
        <v>8</v>
      </c>
      <c r="K32" s="4">
        <v>1</v>
      </c>
      <c r="L32" s="5">
        <v>0.33333333333333331</v>
      </c>
    </row>
    <row r="33" spans="2:12" x14ac:dyDescent="0.3">
      <c r="B33" s="4" t="s">
        <v>9</v>
      </c>
      <c r="C33" s="4">
        <v>0</v>
      </c>
      <c r="D33" s="5">
        <v>0</v>
      </c>
      <c r="F33" s="4" t="s">
        <v>9</v>
      </c>
      <c r="G33" s="4">
        <v>0</v>
      </c>
      <c r="H33" s="5">
        <v>0</v>
      </c>
      <c r="J33" s="4" t="s">
        <v>9</v>
      </c>
      <c r="K33" s="4">
        <v>0</v>
      </c>
      <c r="L33" s="5">
        <v>0</v>
      </c>
    </row>
    <row r="34" spans="2:12" x14ac:dyDescent="0.3">
      <c r="B34" s="4" t="s">
        <v>10</v>
      </c>
      <c r="C34" s="4">
        <v>0</v>
      </c>
      <c r="D34" s="5">
        <f>C34/C35</f>
        <v>0</v>
      </c>
      <c r="F34" s="4" t="s">
        <v>10</v>
      </c>
      <c r="G34" s="4">
        <v>0</v>
      </c>
      <c r="H34" s="5">
        <f>G34/G35</f>
        <v>0</v>
      </c>
      <c r="J34" s="4" t="s">
        <v>10</v>
      </c>
      <c r="K34" s="4">
        <v>0</v>
      </c>
      <c r="L34" s="5">
        <f>K34/K35</f>
        <v>0</v>
      </c>
    </row>
    <row r="35" spans="2:12" x14ac:dyDescent="0.3">
      <c r="B35" s="6" t="s">
        <v>29</v>
      </c>
      <c r="C35" s="6">
        <f>SUM(C31:C34)</f>
        <v>3</v>
      </c>
      <c r="D35" s="7">
        <f>SUM(D31:D34)</f>
        <v>1</v>
      </c>
      <c r="F35" s="6" t="s">
        <v>29</v>
      </c>
      <c r="G35" s="6">
        <f>SUM(G31:G34)</f>
        <v>46</v>
      </c>
      <c r="H35" s="7">
        <f>SUM(H31:H34)</f>
        <v>1</v>
      </c>
      <c r="J35" s="6" t="s">
        <v>29</v>
      </c>
      <c r="K35" s="6">
        <f>SUM(K31:K34)</f>
        <v>3</v>
      </c>
      <c r="L35" s="7">
        <f>SUM(L31:L34)</f>
        <v>1</v>
      </c>
    </row>
    <row r="36" spans="2:12" x14ac:dyDescent="0.3">
      <c r="B36" s="17"/>
      <c r="C36" s="17"/>
      <c r="D36" s="18"/>
      <c r="F36" s="17"/>
      <c r="G36" s="17"/>
      <c r="H36" s="18"/>
      <c r="J36" s="17"/>
      <c r="K36" s="17"/>
      <c r="L36" s="18"/>
    </row>
    <row r="37" spans="2:12" x14ac:dyDescent="0.3">
      <c r="B37" s="20" t="s">
        <v>50</v>
      </c>
      <c r="C37" s="21"/>
      <c r="D37" s="22"/>
      <c r="F37" s="20" t="s">
        <v>50</v>
      </c>
      <c r="G37" s="21"/>
      <c r="H37" s="22"/>
      <c r="J37" s="20" t="s">
        <v>50</v>
      </c>
      <c r="K37" s="21"/>
      <c r="L37" s="22"/>
    </row>
    <row r="38" spans="2:12" x14ac:dyDescent="0.3">
      <c r="B38" s="15" t="s">
        <v>4</v>
      </c>
      <c r="C38" s="15" t="s">
        <v>5</v>
      </c>
      <c r="D38" s="15" t="s">
        <v>6</v>
      </c>
      <c r="F38" s="15" t="s">
        <v>4</v>
      </c>
      <c r="G38" s="15" t="s">
        <v>5</v>
      </c>
      <c r="H38" s="15" t="s">
        <v>6</v>
      </c>
      <c r="J38" s="15" t="s">
        <v>4</v>
      </c>
      <c r="K38" s="15" t="s">
        <v>5</v>
      </c>
      <c r="L38" s="15" t="s">
        <v>6</v>
      </c>
    </row>
    <row r="39" spans="2:12" x14ac:dyDescent="0.3">
      <c r="B39" s="4" t="s">
        <v>7</v>
      </c>
      <c r="C39" s="4">
        <v>2</v>
      </c>
      <c r="D39" s="5">
        <v>0.66666666666666663</v>
      </c>
      <c r="F39" s="4" t="s">
        <v>7</v>
      </c>
      <c r="G39" s="4">
        <v>44</v>
      </c>
      <c r="H39" s="5">
        <v>0.95652173913043481</v>
      </c>
      <c r="J39" s="4" t="s">
        <v>7</v>
      </c>
      <c r="K39" s="4">
        <v>2</v>
      </c>
      <c r="L39" s="5">
        <v>0.66666666666666663</v>
      </c>
    </row>
    <row r="40" spans="2:12" x14ac:dyDescent="0.3">
      <c r="B40" s="4" t="s">
        <v>8</v>
      </c>
      <c r="C40" s="4">
        <v>1</v>
      </c>
      <c r="D40" s="5">
        <v>0.33333333333333331</v>
      </c>
      <c r="F40" s="4" t="s">
        <v>8</v>
      </c>
      <c r="G40" s="4">
        <v>2</v>
      </c>
      <c r="H40" s="5">
        <v>4.3478260869565216E-2</v>
      </c>
      <c r="J40" s="4" t="s">
        <v>8</v>
      </c>
      <c r="K40" s="4">
        <v>1</v>
      </c>
      <c r="L40" s="5">
        <v>0.33333333333333331</v>
      </c>
    </row>
    <row r="41" spans="2:12" x14ac:dyDescent="0.3">
      <c r="B41" s="4" t="s">
        <v>9</v>
      </c>
      <c r="C41" s="4">
        <v>0</v>
      </c>
      <c r="D41" s="5">
        <v>0</v>
      </c>
      <c r="F41" s="4" t="s">
        <v>9</v>
      </c>
      <c r="G41" s="4">
        <v>0</v>
      </c>
      <c r="H41" s="5">
        <v>0</v>
      </c>
      <c r="J41" s="4" t="s">
        <v>9</v>
      </c>
      <c r="K41" s="4">
        <v>0</v>
      </c>
      <c r="L41" s="5">
        <v>0</v>
      </c>
    </row>
    <row r="42" spans="2:12" x14ac:dyDescent="0.3">
      <c r="B42" s="4" t="s">
        <v>10</v>
      </c>
      <c r="C42" s="4">
        <v>0</v>
      </c>
      <c r="D42" s="5">
        <f>C42/C43</f>
        <v>0</v>
      </c>
      <c r="F42" s="4" t="s">
        <v>10</v>
      </c>
      <c r="G42" s="4">
        <v>0</v>
      </c>
      <c r="H42" s="5">
        <f>G42/G43</f>
        <v>0</v>
      </c>
      <c r="J42" s="4" t="s">
        <v>10</v>
      </c>
      <c r="K42" s="4">
        <v>0</v>
      </c>
      <c r="L42" s="5">
        <f>K42/K43</f>
        <v>0</v>
      </c>
    </row>
    <row r="43" spans="2:12" x14ac:dyDescent="0.3">
      <c r="B43" s="6" t="s">
        <v>29</v>
      </c>
      <c r="C43" s="6">
        <f>SUM(C39:C42)</f>
        <v>3</v>
      </c>
      <c r="D43" s="7">
        <f>SUM(D39:D42)</f>
        <v>1</v>
      </c>
      <c r="F43" s="6" t="s">
        <v>29</v>
      </c>
      <c r="G43" s="6">
        <f>SUM(G39:G42)</f>
        <v>46</v>
      </c>
      <c r="H43" s="7">
        <f>SUM(H39:H42)</f>
        <v>1</v>
      </c>
      <c r="J43" s="6" t="s">
        <v>29</v>
      </c>
      <c r="K43" s="6">
        <f>SUM(K39:K42)</f>
        <v>3</v>
      </c>
      <c r="L43" s="7">
        <f>SUM(L39:L42)</f>
        <v>1</v>
      </c>
    </row>
    <row r="44" spans="2:12" x14ac:dyDescent="0.3">
      <c r="B44" s="17"/>
      <c r="C44" s="17"/>
      <c r="D44" s="18"/>
      <c r="F44" s="17"/>
      <c r="G44" s="17"/>
      <c r="H44" s="18"/>
      <c r="J44" s="17"/>
      <c r="K44" s="17"/>
      <c r="L44" s="18"/>
    </row>
    <row r="46" spans="2:12" x14ac:dyDescent="0.3">
      <c r="C46" t="s">
        <v>16</v>
      </c>
      <c r="G46" t="s">
        <v>16</v>
      </c>
      <c r="K46" t="s">
        <v>30</v>
      </c>
    </row>
    <row r="47" spans="2:12" x14ac:dyDescent="0.3">
      <c r="B47" t="s">
        <v>19</v>
      </c>
      <c r="C47" s="8">
        <f>(C7+C8)/C11</f>
        <v>1</v>
      </c>
      <c r="F47" t="s">
        <v>19</v>
      </c>
      <c r="G47" s="8">
        <f>(G7+G8)/G11</f>
        <v>1</v>
      </c>
      <c r="J47" t="s">
        <v>19</v>
      </c>
      <c r="K47" s="8">
        <f>(K7+K8)/K11</f>
        <v>1</v>
      </c>
    </row>
    <row r="48" spans="2:12" x14ac:dyDescent="0.3">
      <c r="B48" t="s">
        <v>20</v>
      </c>
      <c r="C48" s="8">
        <f>(C9+C10)/C11</f>
        <v>0</v>
      </c>
      <c r="F48" t="s">
        <v>20</v>
      </c>
      <c r="G48" s="8">
        <f>(G9+G10)/G11</f>
        <v>0</v>
      </c>
      <c r="J48" t="s">
        <v>20</v>
      </c>
      <c r="K48" s="8">
        <f>(K9+K10)/K11</f>
        <v>0</v>
      </c>
    </row>
    <row r="50" spans="2:11" x14ac:dyDescent="0.3">
      <c r="C50" t="s">
        <v>17</v>
      </c>
      <c r="G50" t="s">
        <v>17</v>
      </c>
      <c r="K50" t="s">
        <v>31</v>
      </c>
    </row>
    <row r="51" spans="2:11" x14ac:dyDescent="0.3">
      <c r="B51" t="s">
        <v>19</v>
      </c>
      <c r="C51" s="8">
        <f>(C15+C16)/C19</f>
        <v>1</v>
      </c>
      <c r="F51" t="s">
        <v>19</v>
      </c>
      <c r="G51" s="8">
        <f>(G15+G16)/G19</f>
        <v>0.97826086956521741</v>
      </c>
      <c r="J51" t="s">
        <v>19</v>
      </c>
      <c r="K51" s="8">
        <f>(K15+K16)/K19</f>
        <v>1</v>
      </c>
    </row>
    <row r="52" spans="2:11" x14ac:dyDescent="0.3">
      <c r="B52" t="s">
        <v>20</v>
      </c>
      <c r="C52" s="8">
        <f>(C17+C18)/C19</f>
        <v>0</v>
      </c>
      <c r="F52" t="s">
        <v>20</v>
      </c>
      <c r="G52" s="8">
        <f>(G17+G18)/G19</f>
        <v>2.1739130434782608E-2</v>
      </c>
      <c r="J52" t="s">
        <v>20</v>
      </c>
      <c r="K52" s="8">
        <f>(K17+K18)/K19</f>
        <v>0</v>
      </c>
    </row>
    <row r="54" spans="2:11" x14ac:dyDescent="0.3">
      <c r="C54" t="s">
        <v>18</v>
      </c>
      <c r="G54" t="s">
        <v>17</v>
      </c>
      <c r="K54" t="s">
        <v>31</v>
      </c>
    </row>
    <row r="55" spans="2:11" x14ac:dyDescent="0.3">
      <c r="B55" t="s">
        <v>19</v>
      </c>
      <c r="C55" s="8">
        <f>(C23+C24)/C27</f>
        <v>1</v>
      </c>
      <c r="F55" t="s">
        <v>19</v>
      </c>
      <c r="G55" s="8">
        <f>(G23+G24)/G27</f>
        <v>0.97826086956521741</v>
      </c>
      <c r="J55" t="s">
        <v>19</v>
      </c>
      <c r="K55" s="8">
        <f>(K23+K24)/K27</f>
        <v>1</v>
      </c>
    </row>
    <row r="56" spans="2:11" x14ac:dyDescent="0.3">
      <c r="B56" t="s">
        <v>20</v>
      </c>
      <c r="C56" s="8">
        <f>(C25+C26)/C27</f>
        <v>0</v>
      </c>
      <c r="F56" t="s">
        <v>20</v>
      </c>
      <c r="G56" s="8">
        <f>(G25+G26)/G27</f>
        <v>2.1739130434782608E-2</v>
      </c>
      <c r="J56" t="s">
        <v>20</v>
      </c>
      <c r="K56" s="8">
        <f>(K25+K26)/K27</f>
        <v>0</v>
      </c>
    </row>
    <row r="57" spans="2:11" x14ac:dyDescent="0.3">
      <c r="C57" s="8"/>
      <c r="G57" s="8"/>
      <c r="K57" s="8"/>
    </row>
    <row r="58" spans="2:11" x14ac:dyDescent="0.3">
      <c r="C58" t="s">
        <v>30</v>
      </c>
      <c r="G58" t="s">
        <v>17</v>
      </c>
      <c r="K58" t="s">
        <v>31</v>
      </c>
    </row>
    <row r="59" spans="2:11" x14ac:dyDescent="0.3">
      <c r="B59" t="s">
        <v>19</v>
      </c>
      <c r="C59" s="8">
        <f>(C31+C32)/C35</f>
        <v>1</v>
      </c>
      <c r="F59" t="s">
        <v>19</v>
      </c>
      <c r="G59" s="8">
        <f>(G31+G32)/G35</f>
        <v>1</v>
      </c>
      <c r="J59" t="s">
        <v>19</v>
      </c>
      <c r="K59" s="8">
        <f>(K31+K32)/K35</f>
        <v>1</v>
      </c>
    </row>
    <row r="60" spans="2:11" x14ac:dyDescent="0.3">
      <c r="B60" t="s">
        <v>20</v>
      </c>
      <c r="C60" s="8">
        <f>(C33+C34)/C35</f>
        <v>0</v>
      </c>
      <c r="F60" t="s">
        <v>20</v>
      </c>
      <c r="G60" s="8">
        <f>(G33+G34)/G35</f>
        <v>0</v>
      </c>
      <c r="J60" t="s">
        <v>20</v>
      </c>
      <c r="K60" s="8">
        <f>(K33+K34)/K35</f>
        <v>0</v>
      </c>
    </row>
    <row r="61" spans="2:11" x14ac:dyDescent="0.3">
      <c r="C61" s="8"/>
      <c r="G61" s="8"/>
      <c r="K61" s="8"/>
    </row>
    <row r="62" spans="2:11" x14ac:dyDescent="0.3">
      <c r="C62" t="s">
        <v>31</v>
      </c>
      <c r="G62" t="s">
        <v>17</v>
      </c>
      <c r="K62" t="s">
        <v>31</v>
      </c>
    </row>
    <row r="63" spans="2:11" x14ac:dyDescent="0.3">
      <c r="B63" t="s">
        <v>19</v>
      </c>
      <c r="C63" s="8">
        <f>(C39+C40)/C43</f>
        <v>1</v>
      </c>
      <c r="F63" t="s">
        <v>19</v>
      </c>
      <c r="G63" s="8">
        <f>(G39+G40)/G43</f>
        <v>1</v>
      </c>
      <c r="J63" t="s">
        <v>19</v>
      </c>
      <c r="K63" s="8">
        <f>(K39+K40)/K43</f>
        <v>1</v>
      </c>
    </row>
    <row r="64" spans="2:11" x14ac:dyDescent="0.3">
      <c r="B64" t="s">
        <v>20</v>
      </c>
      <c r="C64" s="8">
        <f>(C41+C42)/C43</f>
        <v>0</v>
      </c>
      <c r="F64" t="s">
        <v>20</v>
      </c>
      <c r="G64" s="8">
        <f>(G41+G42)/G43</f>
        <v>0</v>
      </c>
      <c r="J64" t="s">
        <v>20</v>
      </c>
      <c r="K64" s="8">
        <f>(K41+K42)/K43</f>
        <v>0</v>
      </c>
    </row>
    <row r="66" spans="2:4" ht="15.6" x14ac:dyDescent="0.3">
      <c r="C66" s="9" t="s">
        <v>19</v>
      </c>
      <c r="D66" s="9" t="s">
        <v>20</v>
      </c>
    </row>
    <row r="67" spans="2:4" ht="18" x14ac:dyDescent="0.35">
      <c r="B67" s="10" t="s">
        <v>0</v>
      </c>
      <c r="C67" s="11">
        <f>(C47+C51+C55+C59+C63)/5</f>
        <v>1</v>
      </c>
      <c r="D67" s="11">
        <f>(C48+C52+C56)/3</f>
        <v>0</v>
      </c>
    </row>
    <row r="68" spans="2:4" ht="18" x14ac:dyDescent="0.35">
      <c r="B68" s="10" t="s">
        <v>1</v>
      </c>
      <c r="C68" s="11">
        <f>(G47+G51+G55+G59+G63)/5</f>
        <v>0.9913043478260869</v>
      </c>
      <c r="D68" s="11">
        <f>(G48+G52+G56)/3</f>
        <v>1.4492753623188406E-2</v>
      </c>
    </row>
    <row r="69" spans="2:4" ht="18" x14ac:dyDescent="0.35">
      <c r="B69" s="10" t="s">
        <v>2</v>
      </c>
      <c r="C69" s="11">
        <f>(K47+K51+K55+K59+K63)/5</f>
        <v>1</v>
      </c>
      <c r="D69" s="11">
        <f>(K48+K52+K56)/3</f>
        <v>0</v>
      </c>
    </row>
  </sheetData>
  <mergeCells count="18">
    <mergeCell ref="B29:D29"/>
    <mergeCell ref="B37:D37"/>
    <mergeCell ref="F29:H29"/>
    <mergeCell ref="F37:H37"/>
    <mergeCell ref="J29:L29"/>
    <mergeCell ref="J37:L37"/>
    <mergeCell ref="B13:D13"/>
    <mergeCell ref="F13:H13"/>
    <mergeCell ref="J13:L13"/>
    <mergeCell ref="B21:D21"/>
    <mergeCell ref="F21:H21"/>
    <mergeCell ref="J21:L21"/>
    <mergeCell ref="B2:D3"/>
    <mergeCell ref="F2:H3"/>
    <mergeCell ref="J2:L3"/>
    <mergeCell ref="B5:D5"/>
    <mergeCell ref="F5:H5"/>
    <mergeCell ref="J5:L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2"/>
  <sheetViews>
    <sheetView zoomScale="70" zoomScaleNormal="70" workbookViewId="0">
      <selection activeCell="C17" sqref="C17"/>
    </sheetView>
  </sheetViews>
  <sheetFormatPr baseColWidth="10" defaultRowHeight="14.4" x14ac:dyDescent="0.3"/>
  <cols>
    <col min="2" max="2" width="19.88671875" customWidth="1"/>
    <col min="3" max="3" width="20.33203125" customWidth="1"/>
    <col min="4" max="4" width="17.109375" customWidth="1"/>
    <col min="5" max="5" width="7.5546875" customWidth="1"/>
    <col min="6" max="6" width="18.33203125" customWidth="1"/>
    <col min="7" max="7" width="19.33203125" customWidth="1"/>
    <col min="8" max="8" width="15.109375" customWidth="1"/>
    <col min="9" max="9" width="8.109375" customWidth="1"/>
    <col min="10" max="10" width="19.44140625" customWidth="1"/>
    <col min="11" max="11" width="21.88671875" customWidth="1"/>
    <col min="12" max="12" width="14.5546875" customWidth="1"/>
  </cols>
  <sheetData>
    <row r="2" spans="2:12" x14ac:dyDescent="0.3">
      <c r="B2" s="23" t="s">
        <v>0</v>
      </c>
      <c r="C2" s="23"/>
      <c r="D2" s="23"/>
      <c r="F2" s="23" t="s">
        <v>1</v>
      </c>
      <c r="G2" s="23"/>
      <c r="H2" s="23"/>
      <c r="J2" s="23" t="s">
        <v>2</v>
      </c>
      <c r="K2" s="23"/>
      <c r="L2" s="23"/>
    </row>
    <row r="3" spans="2:12" x14ac:dyDescent="0.3">
      <c r="B3" s="23"/>
      <c r="C3" s="23"/>
      <c r="D3" s="23"/>
      <c r="F3" s="23"/>
      <c r="G3" s="23"/>
      <c r="H3" s="23"/>
      <c r="J3" s="23"/>
      <c r="K3" s="23"/>
      <c r="L3" s="23"/>
    </row>
    <row r="5" spans="2:12" ht="29.25" customHeight="1" x14ac:dyDescent="0.3">
      <c r="B5" s="20" t="s">
        <v>38</v>
      </c>
      <c r="C5" s="21"/>
      <c r="D5" s="22"/>
      <c r="F5" s="20" t="s">
        <v>38</v>
      </c>
      <c r="G5" s="21"/>
      <c r="H5" s="22"/>
      <c r="J5" s="20" t="s">
        <v>38</v>
      </c>
      <c r="K5" s="21"/>
      <c r="L5" s="22"/>
    </row>
    <row r="6" spans="2:12" x14ac:dyDescent="0.3">
      <c r="B6" s="15" t="s">
        <v>4</v>
      </c>
      <c r="C6" s="15" t="s">
        <v>5</v>
      </c>
      <c r="D6" s="15" t="s">
        <v>6</v>
      </c>
      <c r="F6" s="15" t="s">
        <v>4</v>
      </c>
      <c r="G6" s="15" t="s">
        <v>5</v>
      </c>
      <c r="H6" s="15" t="s">
        <v>6</v>
      </c>
      <c r="J6" s="15" t="s">
        <v>4</v>
      </c>
      <c r="K6" s="15" t="s">
        <v>5</v>
      </c>
      <c r="L6" s="15" t="s">
        <v>6</v>
      </c>
    </row>
    <row r="7" spans="2:12" x14ac:dyDescent="0.3">
      <c r="B7" s="4" t="s">
        <v>39</v>
      </c>
      <c r="C7" s="4">
        <v>0</v>
      </c>
      <c r="D7" s="5">
        <v>0</v>
      </c>
      <c r="F7" s="4" t="s">
        <v>39</v>
      </c>
      <c r="G7" s="4">
        <v>2</v>
      </c>
      <c r="H7" s="5">
        <v>1.3245033112582781E-2</v>
      </c>
      <c r="J7" s="4" t="s">
        <v>39</v>
      </c>
      <c r="K7" s="4">
        <v>0</v>
      </c>
      <c r="L7" s="5">
        <v>0</v>
      </c>
    </row>
    <row r="8" spans="2:12" x14ac:dyDescent="0.3">
      <c r="B8" s="4" t="s">
        <v>40</v>
      </c>
      <c r="C8" s="4">
        <v>0</v>
      </c>
      <c r="D8" s="5">
        <v>0</v>
      </c>
      <c r="F8" s="4" t="s">
        <v>40</v>
      </c>
      <c r="G8" s="4">
        <v>1</v>
      </c>
      <c r="H8" s="5">
        <v>6.6225165562913907E-3</v>
      </c>
      <c r="J8" s="4" t="s">
        <v>40</v>
      </c>
      <c r="K8" s="4">
        <v>0</v>
      </c>
      <c r="L8" s="5">
        <v>0</v>
      </c>
    </row>
    <row r="9" spans="2:12" x14ac:dyDescent="0.3">
      <c r="B9" s="4" t="s">
        <v>41</v>
      </c>
      <c r="C9" s="4">
        <v>0</v>
      </c>
      <c r="D9" s="5">
        <v>0</v>
      </c>
      <c r="F9" s="4" t="s">
        <v>41</v>
      </c>
      <c r="G9" s="4">
        <v>1</v>
      </c>
      <c r="H9" s="5">
        <v>6.6225165562913907E-3</v>
      </c>
      <c r="J9" s="4" t="s">
        <v>41</v>
      </c>
      <c r="K9" s="4">
        <v>1</v>
      </c>
      <c r="L9" s="5">
        <v>6.2500000000000003E-3</v>
      </c>
    </row>
    <row r="10" spans="2:12" x14ac:dyDescent="0.3">
      <c r="B10" s="4" t="s">
        <v>42</v>
      </c>
      <c r="C10" s="4">
        <v>0</v>
      </c>
      <c r="D10" s="5">
        <v>0</v>
      </c>
      <c r="F10" s="4" t="s">
        <v>42</v>
      </c>
      <c r="G10" s="4">
        <v>84</v>
      </c>
      <c r="H10" s="5">
        <v>0.55629139072847678</v>
      </c>
      <c r="J10" s="4" t="s">
        <v>42</v>
      </c>
      <c r="K10" s="4">
        <v>5</v>
      </c>
      <c r="L10" s="5">
        <v>3.125E-2</v>
      </c>
    </row>
    <row r="11" spans="2:12" x14ac:dyDescent="0.3">
      <c r="B11" s="4" t="s">
        <v>43</v>
      </c>
      <c r="C11" s="4">
        <v>0</v>
      </c>
      <c r="D11" s="5">
        <v>0</v>
      </c>
      <c r="F11" s="4" t="s">
        <v>43</v>
      </c>
      <c r="G11" s="4">
        <v>63</v>
      </c>
      <c r="H11" s="5">
        <v>0.41721854304635764</v>
      </c>
      <c r="J11" s="4" t="s">
        <v>43</v>
      </c>
      <c r="K11" s="4">
        <v>154</v>
      </c>
      <c r="L11" s="5">
        <v>0.96250000000000002</v>
      </c>
    </row>
    <row r="12" spans="2:12" x14ac:dyDescent="0.3">
      <c r="B12" s="6" t="s">
        <v>29</v>
      </c>
      <c r="C12" s="6">
        <f>SUM(C7:C11)</f>
        <v>0</v>
      </c>
      <c r="D12" s="7">
        <f>SUM(D7:D11)</f>
        <v>0</v>
      </c>
      <c r="F12" s="6" t="s">
        <v>29</v>
      </c>
      <c r="G12" s="6">
        <f>SUM(G7:G11)</f>
        <v>151</v>
      </c>
      <c r="H12" s="7">
        <v>1</v>
      </c>
      <c r="J12" s="6" t="s">
        <v>29</v>
      </c>
      <c r="K12" s="6">
        <f>SUM(K7:K11)</f>
        <v>160</v>
      </c>
      <c r="L12" s="7">
        <v>1</v>
      </c>
    </row>
    <row r="14" spans="2:12" x14ac:dyDescent="0.3">
      <c r="C14" t="s">
        <v>16</v>
      </c>
      <c r="G14" t="s">
        <v>16</v>
      </c>
      <c r="K14" t="s">
        <v>16</v>
      </c>
    </row>
    <row r="15" spans="2:12" x14ac:dyDescent="0.3">
      <c r="B15" t="s">
        <v>19</v>
      </c>
      <c r="C15" s="8">
        <v>0</v>
      </c>
      <c r="F15" t="s">
        <v>19</v>
      </c>
      <c r="G15" s="8">
        <f>(G10+G11)/G12</f>
        <v>0.97350993377483441</v>
      </c>
      <c r="J15" t="s">
        <v>19</v>
      </c>
      <c r="K15" s="8">
        <f>(K10+K11)/K12</f>
        <v>0.99375000000000002</v>
      </c>
    </row>
    <row r="16" spans="2:12" x14ac:dyDescent="0.3">
      <c r="B16" t="s">
        <v>20</v>
      </c>
      <c r="C16" s="8">
        <v>0</v>
      </c>
      <c r="F16" t="s">
        <v>20</v>
      </c>
      <c r="G16" s="8">
        <f>(G7+G8+G9)/G12</f>
        <v>2.6490066225165563E-2</v>
      </c>
      <c r="J16" t="s">
        <v>20</v>
      </c>
      <c r="K16" s="8">
        <f>(K7+K8+K9)/K12</f>
        <v>6.2500000000000003E-3</v>
      </c>
    </row>
    <row r="19" spans="2:4" ht="15.6" x14ac:dyDescent="0.3">
      <c r="C19" s="9" t="s">
        <v>19</v>
      </c>
      <c r="D19" s="9" t="s">
        <v>20</v>
      </c>
    </row>
    <row r="20" spans="2:4" ht="18" x14ac:dyDescent="0.35">
      <c r="B20" s="10" t="s">
        <v>0</v>
      </c>
      <c r="C20" s="16">
        <f>C15</f>
        <v>0</v>
      </c>
      <c r="D20" s="11">
        <f>C16</f>
        <v>0</v>
      </c>
    </row>
    <row r="21" spans="2:4" ht="18" x14ac:dyDescent="0.35">
      <c r="B21" s="10" t="s">
        <v>1</v>
      </c>
      <c r="C21" s="11">
        <f>G15</f>
        <v>0.97350993377483441</v>
      </c>
      <c r="D21" s="11">
        <f>G16</f>
        <v>2.6490066225165563E-2</v>
      </c>
    </row>
    <row r="22" spans="2:4" ht="18" x14ac:dyDescent="0.35">
      <c r="B22" s="10" t="s">
        <v>2</v>
      </c>
      <c r="C22" s="11">
        <f>K15</f>
        <v>0.99375000000000002</v>
      </c>
      <c r="D22" s="11">
        <f>K16</f>
        <v>6.2500000000000003E-3</v>
      </c>
    </row>
  </sheetData>
  <mergeCells count="6">
    <mergeCell ref="B2:D3"/>
    <mergeCell ref="F2:H3"/>
    <mergeCell ref="J2:L3"/>
    <mergeCell ref="B5:D5"/>
    <mergeCell ref="F5:H5"/>
    <mergeCell ref="J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ADMISION</vt:lpstr>
      <vt:lpstr>LABORATORIO</vt:lpstr>
      <vt:lpstr>CMF</vt:lpstr>
      <vt:lpstr>CDI</vt:lpstr>
      <vt:lpstr>SAP</vt:lpstr>
      <vt:lpstr>EMERGENCIA</vt:lpstr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MassVision</dc:creator>
  <cp:lastModifiedBy>USER</cp:lastModifiedBy>
  <dcterms:created xsi:type="dcterms:W3CDTF">2024-01-04T15:55:32Z</dcterms:created>
  <dcterms:modified xsi:type="dcterms:W3CDTF">2024-07-02T04:53:41Z</dcterms:modified>
</cp:coreProperties>
</file>