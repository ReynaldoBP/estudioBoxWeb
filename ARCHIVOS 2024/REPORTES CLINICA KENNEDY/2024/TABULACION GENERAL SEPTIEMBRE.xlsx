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SEPTIEMBRE\"/>
    </mc:Choice>
  </mc:AlternateContent>
  <bookViews>
    <workbookView xWindow="0" yWindow="0" windowWidth="17256" windowHeight="5772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2" l="1"/>
  <c r="H15" i="2"/>
  <c r="H16" i="2"/>
  <c r="C10" i="8" l="1"/>
  <c r="D9" i="8" l="1"/>
  <c r="K7" i="8"/>
  <c r="D8" i="8"/>
  <c r="D7" i="8"/>
  <c r="G31" i="8"/>
  <c r="C31" i="8"/>
  <c r="G24" i="8"/>
  <c r="C24" i="8"/>
  <c r="G17" i="8"/>
  <c r="C17" i="8"/>
  <c r="G10" i="8"/>
  <c r="N19" i="8" l="1"/>
  <c r="H30" i="8"/>
  <c r="H29" i="8"/>
  <c r="H28" i="8"/>
  <c r="H22" i="8"/>
  <c r="H21" i="8"/>
  <c r="N15" i="8"/>
  <c r="H23" i="8"/>
  <c r="N10" i="8"/>
  <c r="N11" i="8"/>
  <c r="H16" i="8"/>
  <c r="H15" i="8"/>
  <c r="H14" i="8"/>
  <c r="H9" i="8"/>
  <c r="N7" i="8"/>
  <c r="H8" i="8"/>
  <c r="H7" i="8"/>
  <c r="D10" i="8"/>
  <c r="D16" i="8"/>
  <c r="K11" i="8"/>
  <c r="D15" i="8"/>
  <c r="D14" i="8"/>
  <c r="K19" i="8"/>
  <c r="D30" i="8"/>
  <c r="D28" i="8"/>
  <c r="D29" i="8"/>
  <c r="D23" i="8"/>
  <c r="D22" i="8"/>
  <c r="D21" i="8"/>
  <c r="K15" i="8"/>
  <c r="N6" i="8"/>
  <c r="K18" i="8"/>
  <c r="K14" i="8"/>
  <c r="K10" i="8"/>
  <c r="K6" i="8"/>
  <c r="N18" i="8"/>
  <c r="N14" i="8"/>
  <c r="H17" i="8" l="1"/>
  <c r="D24" i="8"/>
  <c r="K25" i="8"/>
  <c r="K24" i="8"/>
  <c r="D17" i="8"/>
  <c r="D31" i="8"/>
  <c r="L25" i="8"/>
  <c r="L24" i="8"/>
  <c r="H24" i="8"/>
  <c r="H31" i="8"/>
  <c r="H10" i="8"/>
  <c r="G10" i="2" l="1"/>
  <c r="C17" i="2"/>
  <c r="H9" i="2" l="1"/>
  <c r="H8" i="2"/>
  <c r="H7" i="2"/>
  <c r="D15" i="2"/>
  <c r="D14" i="2"/>
  <c r="D16" i="2"/>
  <c r="D23" i="3"/>
  <c r="H10" i="2" l="1"/>
  <c r="E22" i="3"/>
  <c r="E21" i="3"/>
  <c r="E23" i="3" s="1"/>
  <c r="D17" i="2"/>
  <c r="D17" i="3" l="1"/>
  <c r="D10" i="3"/>
  <c r="E15" i="3" l="1"/>
  <c r="E14" i="3"/>
  <c r="E16" i="3"/>
  <c r="H8" i="3"/>
  <c r="E9" i="3"/>
  <c r="H7" i="3"/>
  <c r="E8" i="3"/>
  <c r="E7" i="3"/>
  <c r="H12" i="3"/>
  <c r="G17" i="2"/>
  <c r="G22" i="2"/>
  <c r="C10" i="2"/>
  <c r="E17" i="3" l="1"/>
  <c r="H17" i="2"/>
  <c r="D9" i="2"/>
  <c r="C22" i="2"/>
  <c r="D7" i="2"/>
  <c r="C21" i="2"/>
  <c r="D8" i="2"/>
  <c r="E10" i="3"/>
  <c r="D10" i="2" l="1"/>
  <c r="G12" i="7"/>
  <c r="C12" i="7"/>
  <c r="H8" i="7" l="1"/>
  <c r="H9" i="7"/>
  <c r="H11" i="7"/>
  <c r="H7" i="7"/>
  <c r="H12" i="7" s="1"/>
  <c r="H10" i="7"/>
  <c r="D10" i="7"/>
  <c r="D7" i="7"/>
  <c r="D9" i="7"/>
  <c r="D8" i="7"/>
  <c r="D11" i="7"/>
  <c r="D16" i="4"/>
  <c r="E15" i="4" l="1"/>
  <c r="E14" i="4"/>
  <c r="E13" i="4"/>
  <c r="D12" i="7"/>
  <c r="H12" i="4"/>
  <c r="G16" i="7"/>
  <c r="G15" i="7"/>
  <c r="C16" i="7"/>
  <c r="C15" i="7"/>
  <c r="H11" i="4"/>
  <c r="H11" i="3"/>
  <c r="G21" i="2"/>
  <c r="E16" i="4" l="1"/>
  <c r="G27" i="6"/>
  <c r="G39" i="6" s="1"/>
  <c r="G19" i="6"/>
  <c r="G35" i="6" s="1"/>
  <c r="G11" i="6"/>
  <c r="G31" i="6" s="1"/>
  <c r="C27" i="6"/>
  <c r="D23" i="6" s="1"/>
  <c r="C19" i="6"/>
  <c r="C11" i="6"/>
  <c r="C46" i="6" l="1"/>
  <c r="H18" i="6"/>
  <c r="H17" i="6"/>
  <c r="H16" i="6"/>
  <c r="H15" i="6"/>
  <c r="H26" i="6"/>
  <c r="H25" i="6"/>
  <c r="H24" i="6"/>
  <c r="H23" i="6"/>
  <c r="H10" i="6"/>
  <c r="H9" i="6"/>
  <c r="H8" i="6"/>
  <c r="H7" i="6"/>
  <c r="D26" i="6"/>
  <c r="D25" i="6"/>
  <c r="D24" i="6"/>
  <c r="D18" i="6"/>
  <c r="D17" i="6"/>
  <c r="D15" i="6"/>
  <c r="D16" i="6"/>
  <c r="C31" i="6"/>
  <c r="C45" i="6" s="1"/>
  <c r="D8" i="6"/>
  <c r="D9" i="6"/>
  <c r="C32" i="6"/>
  <c r="D7" i="6"/>
  <c r="D10" i="6"/>
  <c r="G40" i="6"/>
  <c r="G36" i="6"/>
  <c r="G32" i="6"/>
  <c r="C40" i="6"/>
  <c r="C39" i="6"/>
  <c r="C35" i="6"/>
  <c r="C36" i="6"/>
  <c r="G17" i="5"/>
  <c r="G10" i="5"/>
  <c r="C17" i="5"/>
  <c r="C10" i="5"/>
  <c r="D46" i="6" l="1"/>
  <c r="H8" i="5"/>
  <c r="H7" i="5"/>
  <c r="H9" i="5"/>
  <c r="D8" i="5"/>
  <c r="D9" i="5"/>
  <c r="D7" i="5"/>
  <c r="D14" i="5"/>
  <c r="D15" i="5"/>
  <c r="D16" i="5"/>
  <c r="H16" i="5"/>
  <c r="H15" i="5"/>
  <c r="H14" i="5"/>
  <c r="D27" i="6"/>
  <c r="G26" i="5"/>
  <c r="G22" i="5"/>
  <c r="C26" i="5"/>
  <c r="C22" i="5"/>
  <c r="H27" i="6"/>
  <c r="H19" i="6"/>
  <c r="H11" i="6"/>
  <c r="D19" i="6"/>
  <c r="D11" i="6"/>
  <c r="G25" i="5"/>
  <c r="G21" i="5"/>
  <c r="C25" i="5"/>
  <c r="C21" i="5"/>
  <c r="D23" i="4"/>
  <c r="D9" i="4"/>
  <c r="H17" i="5" l="1"/>
  <c r="C33" i="5"/>
  <c r="D33" i="5"/>
  <c r="E7" i="4"/>
  <c r="E8" i="4"/>
  <c r="E9" i="4" s="1"/>
  <c r="E22" i="4"/>
  <c r="E23" i="4" s="1"/>
  <c r="E20" i="4"/>
  <c r="E21" i="4"/>
  <c r="H10" i="5"/>
  <c r="D17" i="5"/>
  <c r="D10" i="5"/>
  <c r="H16" i="4"/>
  <c r="H15" i="4"/>
  <c r="H8" i="4"/>
  <c r="H7" i="4"/>
  <c r="C20" i="7"/>
  <c r="D21" i="7"/>
  <c r="D20" i="7"/>
  <c r="C21" i="7"/>
  <c r="I16" i="3"/>
  <c r="H16" i="3"/>
  <c r="D26" i="2"/>
  <c r="D25" i="2"/>
  <c r="C26" i="2"/>
  <c r="C25" i="2"/>
  <c r="H20" i="4" l="1"/>
  <c r="I20" i="4"/>
  <c r="D45" i="6"/>
  <c r="D32" i="5"/>
  <c r="C32" i="5"/>
</calcChain>
</file>

<file path=xl/sharedStrings.xml><?xml version="1.0" encoding="utf-8"?>
<sst xmlns="http://schemas.openxmlformats.org/spreadsheetml/2006/main" count="367" uniqueCount="48">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</sst>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9" fontId="2" fillId="0" borderId="0" xfId="0" applyNumberFormat="1" applyFont="1" applyBorder="1"/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ADMISION!$C$25:$C$26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ADMISION!$D$25:$D$26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LABORATORIO!$H$15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LABORATORIO!$H$16:$H$16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LABORATORIO!$I$15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LABORATORIO!$I$16:$I$16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CMF!$H$19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CMF!$H$20:$H$20</c:f>
              <c:numCache>
                <c:formatCode>0%</c:formatCode>
                <c:ptCount val="1"/>
                <c:pt idx="0">
                  <c:v>0.98568507157464202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CMF!$I$19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CMF!$I$20:$I$20</c:f>
              <c:numCache>
                <c:formatCode>0%</c:formatCode>
                <c:ptCount val="1"/>
                <c:pt idx="0">
                  <c:v>1.4314928425357873E-2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CDI!$C$32:$C$33</c:f>
              <c:numCache>
                <c:formatCode>0%</c:formatCode>
                <c:ptCount val="2"/>
                <c:pt idx="0">
                  <c:v>0.99861878453038666</c:v>
                </c:pt>
                <c:pt idx="1">
                  <c:v>0.98892405063291133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CDI!$D$32:$D$33</c:f>
              <c:numCache>
                <c:formatCode>0%</c:formatCode>
                <c:ptCount val="2"/>
                <c:pt idx="0">
                  <c:v>1.3812154696132596E-3</c:v>
                </c:pt>
                <c:pt idx="1">
                  <c:v>1.1075949367088608E-2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SAP!$C$45:$C$46</c:f>
              <c:numCache>
                <c:formatCode>0%</c:formatCode>
                <c:ptCount val="2"/>
                <c:pt idx="0">
                  <c:v>0.84666666666666668</c:v>
                </c:pt>
                <c:pt idx="1">
                  <c:v>0.50102249488752559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SAP!$D$45:$D$46</c:f>
              <c:numCache>
                <c:formatCode>0%</c:formatCode>
                <c:ptCount val="2"/>
                <c:pt idx="0">
                  <c:v>0.15333333333333335</c:v>
                </c:pt>
                <c:pt idx="1">
                  <c:v>0.49897750511247452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EMERGENCIA!$K$23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EMERGENCIA!$K$24:$K$25</c:f>
              <c:numCache>
                <c:formatCode>0%</c:formatCode>
                <c:ptCount val="2"/>
                <c:pt idx="0">
                  <c:v>0.99489795918367352</c:v>
                </c:pt>
                <c:pt idx="1">
                  <c:v>0.99110671936758898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EMERGENCIA!$L$23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EMERGENCIA!$L$24:$L$25</c:f>
              <c:numCache>
                <c:formatCode>0%</c:formatCode>
                <c:ptCount val="2"/>
                <c:pt idx="0">
                  <c:v>4.5351473922902496E-3</c:v>
                </c:pt>
                <c:pt idx="1">
                  <c:v>1.054018445322793E-2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CAJA!$C$20:$C$21</c:f>
              <c:numCache>
                <c:formatCode>0%</c:formatCode>
                <c:ptCount val="2"/>
                <c:pt idx="0">
                  <c:v>1</c:v>
                </c:pt>
                <c:pt idx="1">
                  <c:v>0.99367088607594933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CAJA!$D$20:$D$21</c:f>
              <c:numCache>
                <c:formatCode>0%</c:formatCode>
                <c:ptCount val="2"/>
                <c:pt idx="0">
                  <c:v>0</c:v>
                </c:pt>
                <c:pt idx="1">
                  <c:v>6.3291139240506328E-3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412294</xdr:colOff>
      <xdr:row>1</xdr:row>
      <xdr:rowOff>13607</xdr:rowOff>
    </xdr:from>
    <xdr:to>
      <xdr:col>15</xdr:col>
      <xdr:colOff>729343</xdr:colOff>
      <xdr:row>25</xdr:row>
      <xdr:rowOff>185057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131988</xdr:colOff>
      <xdr:row>0</xdr:row>
      <xdr:rowOff>174172</xdr:rowOff>
    </xdr:from>
    <xdr:to>
      <xdr:col>18</xdr:col>
      <xdr:colOff>195942</xdr:colOff>
      <xdr:row>23</xdr:row>
      <xdr:rowOff>21772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141514</xdr:colOff>
      <xdr:row>1</xdr:row>
      <xdr:rowOff>21772</xdr:rowOff>
    </xdr:from>
    <xdr:to>
      <xdr:col>15</xdr:col>
      <xdr:colOff>751113</xdr:colOff>
      <xdr:row>23</xdr:row>
      <xdr:rowOff>141514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368752</xdr:colOff>
      <xdr:row>1</xdr:row>
      <xdr:rowOff>48983</xdr:rowOff>
    </xdr:from>
    <xdr:to>
      <xdr:col>15</xdr:col>
      <xdr:colOff>111578</xdr:colOff>
      <xdr:row>27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314322</xdr:colOff>
      <xdr:row>3</xdr:row>
      <xdr:rowOff>122464</xdr:rowOff>
    </xdr:from>
    <xdr:to>
      <xdr:col>16</xdr:col>
      <xdr:colOff>609599</xdr:colOff>
      <xdr:row>27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140152</xdr:colOff>
      <xdr:row>23</xdr:row>
      <xdr:rowOff>144236</xdr:rowOff>
    </xdr:from>
    <xdr:to>
      <xdr:col>20</xdr:col>
      <xdr:colOff>381000</xdr:colOff>
      <xdr:row>48</xdr:row>
      <xdr:rowOff>8165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210909</xdr:colOff>
      <xdr:row>0</xdr:row>
      <xdr:rowOff>133348</xdr:rowOff>
    </xdr:from>
    <xdr:to>
      <xdr:col>16</xdr:col>
      <xdr:colOff>555172</xdr:colOff>
      <xdr:row>26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tabSelected="1" zoomScale="70" zoomScaleNormal="70" workbookViewId="0">
      <selection activeCell="D16" sqref="D16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0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  <c r="I2" s="1"/>
      <c r="J2" s="1"/>
    </row>
    <row r="3" spans="2:10" ht="15" customHeight="1" x14ac:dyDescent="0.6">
      <c r="B3" s="23"/>
      <c r="C3" s="23"/>
      <c r="D3" s="23"/>
      <c r="E3" s="1"/>
      <c r="F3" s="23"/>
      <c r="G3" s="23"/>
      <c r="H3" s="23"/>
      <c r="I3" s="1"/>
      <c r="J3" s="1"/>
    </row>
    <row r="5" spans="2:10" ht="30.75" customHeight="1" x14ac:dyDescent="0.3">
      <c r="B5" s="22" t="s">
        <v>2</v>
      </c>
      <c r="C5" s="22"/>
      <c r="D5" s="22"/>
      <c r="E5" s="2"/>
      <c r="F5" s="22" t="s">
        <v>2</v>
      </c>
      <c r="G5" s="22"/>
      <c r="H5" s="22"/>
      <c r="I5" s="2"/>
      <c r="J5" s="2"/>
    </row>
    <row r="6" spans="2:10" x14ac:dyDescent="0.3">
      <c r="B6" s="3" t="s">
        <v>3</v>
      </c>
      <c r="C6" s="3" t="s">
        <v>4</v>
      </c>
      <c r="D6" s="3" t="s">
        <v>5</v>
      </c>
      <c r="F6" s="3" t="s">
        <v>3</v>
      </c>
      <c r="G6" s="3" t="s">
        <v>4</v>
      </c>
      <c r="H6" s="3" t="s">
        <v>5</v>
      </c>
    </row>
    <row r="7" spans="2:10" x14ac:dyDescent="0.3">
      <c r="B7" s="4" t="s">
        <v>6</v>
      </c>
      <c r="C7" s="4">
        <v>193</v>
      </c>
      <c r="D7" s="5">
        <f>C7/C10</f>
        <v>0.9747474747474747</v>
      </c>
      <c r="F7" s="4" t="s">
        <v>6</v>
      </c>
      <c r="G7" s="4">
        <v>159</v>
      </c>
      <c r="H7" s="5">
        <f>G7/G10</f>
        <v>0.92982456140350878</v>
      </c>
    </row>
    <row r="8" spans="2:10" x14ac:dyDescent="0.3">
      <c r="B8" s="4" t="s">
        <v>7</v>
      </c>
      <c r="C8" s="4">
        <v>5</v>
      </c>
      <c r="D8" s="5">
        <f>C8/C10</f>
        <v>2.5252525252525252E-2</v>
      </c>
      <c r="F8" s="4" t="s">
        <v>7</v>
      </c>
      <c r="G8" s="4">
        <v>12</v>
      </c>
      <c r="H8" s="5">
        <f>G8/G10</f>
        <v>7.0175438596491224E-2</v>
      </c>
    </row>
    <row r="9" spans="2:10" x14ac:dyDescent="0.3">
      <c r="B9" s="4" t="s">
        <v>8</v>
      </c>
      <c r="C9" s="4">
        <v>0</v>
      </c>
      <c r="D9" s="5">
        <f>C9/C10</f>
        <v>0</v>
      </c>
      <c r="F9" s="4" t="s">
        <v>8</v>
      </c>
      <c r="G9" s="4">
        <v>0</v>
      </c>
      <c r="H9" s="5">
        <f>G9/G10</f>
        <v>0</v>
      </c>
    </row>
    <row r="10" spans="2:10" x14ac:dyDescent="0.3">
      <c r="B10" s="6" t="s">
        <v>10</v>
      </c>
      <c r="C10" s="6">
        <f>SUM(C7:C9)</f>
        <v>198</v>
      </c>
      <c r="D10" s="7">
        <f>SUM(D7:D9)</f>
        <v>1</v>
      </c>
      <c r="F10" s="6" t="s">
        <v>10</v>
      </c>
      <c r="G10" s="6">
        <f>SUM(G7:G9)</f>
        <v>171</v>
      </c>
      <c r="H10" s="7">
        <f>SUM(H7:H9)</f>
        <v>1</v>
      </c>
    </row>
    <row r="12" spans="2:10" ht="14.4" customHeight="1" x14ac:dyDescent="0.3">
      <c r="B12" s="19" t="s">
        <v>11</v>
      </c>
      <c r="C12" s="20"/>
      <c r="D12" s="21"/>
      <c r="F12" s="22" t="s">
        <v>11</v>
      </c>
      <c r="G12" s="22"/>
      <c r="H12" s="22"/>
    </row>
    <row r="13" spans="2:10" ht="33" customHeight="1" x14ac:dyDescent="0.3">
      <c r="B13" s="3" t="s">
        <v>3</v>
      </c>
      <c r="C13" s="3" t="s">
        <v>4</v>
      </c>
      <c r="D13" s="3" t="s">
        <v>5</v>
      </c>
      <c r="E13" s="2"/>
      <c r="F13" s="3" t="s">
        <v>3</v>
      </c>
      <c r="G13" s="3" t="s">
        <v>4</v>
      </c>
      <c r="H13" s="3" t="s">
        <v>5</v>
      </c>
      <c r="I13" s="2"/>
      <c r="J13" s="2"/>
    </row>
    <row r="14" spans="2:10" ht="15" customHeight="1" x14ac:dyDescent="0.3">
      <c r="B14" s="4" t="s">
        <v>12</v>
      </c>
      <c r="C14" s="4">
        <v>178</v>
      </c>
      <c r="D14" s="5">
        <f>C14/C17</f>
        <v>0.90816326530612246</v>
      </c>
      <c r="F14" s="4" t="s">
        <v>12</v>
      </c>
      <c r="G14" s="4">
        <v>148</v>
      </c>
      <c r="H14" s="5">
        <f>G14/G17</f>
        <v>0.90797546012269936</v>
      </c>
    </row>
    <row r="15" spans="2:10" x14ac:dyDescent="0.3">
      <c r="B15" s="4" t="s">
        <v>13</v>
      </c>
      <c r="C15" s="4">
        <v>17</v>
      </c>
      <c r="D15" s="5">
        <f>C15/C17</f>
        <v>8.673469387755102E-2</v>
      </c>
      <c r="F15" s="4" t="s">
        <v>13</v>
      </c>
      <c r="G15" s="4">
        <v>9</v>
      </c>
      <c r="H15" s="5">
        <f>G15/G17</f>
        <v>5.5214723926380369E-2</v>
      </c>
    </row>
    <row r="16" spans="2:10" x14ac:dyDescent="0.3">
      <c r="B16" s="4" t="s">
        <v>14</v>
      </c>
      <c r="C16" s="4">
        <v>1</v>
      </c>
      <c r="D16" s="5">
        <f>C16/C17</f>
        <v>5.1020408163265302E-3</v>
      </c>
      <c r="F16" s="4" t="s">
        <v>14</v>
      </c>
      <c r="G16" s="4">
        <v>6</v>
      </c>
      <c r="H16" s="5">
        <f>G16/G17</f>
        <v>3.6809815950920248E-2</v>
      </c>
    </row>
    <row r="17" spans="2:11" x14ac:dyDescent="0.3">
      <c r="B17" s="6" t="s">
        <v>10</v>
      </c>
      <c r="C17" s="6">
        <f>SUM(C14:C16)</f>
        <v>196</v>
      </c>
      <c r="D17" s="7">
        <f>SUM(D14:D16)</f>
        <v>1</v>
      </c>
      <c r="F17" s="6" t="s">
        <v>10</v>
      </c>
      <c r="G17" s="6">
        <f>SUM(G14:G16)</f>
        <v>163</v>
      </c>
      <c r="H17" s="7">
        <f>SUM(H14:H16)</f>
        <v>1</v>
      </c>
    </row>
    <row r="20" spans="2:11" x14ac:dyDescent="0.3">
      <c r="C20" t="s">
        <v>16</v>
      </c>
      <c r="G20" t="s">
        <v>17</v>
      </c>
    </row>
    <row r="21" spans="2:11" x14ac:dyDescent="0.3">
      <c r="B21" t="s">
        <v>18</v>
      </c>
      <c r="C21" s="8">
        <f>(C7+C8)/C10</f>
        <v>1</v>
      </c>
      <c r="F21" t="s">
        <v>18</v>
      </c>
      <c r="G21" s="8">
        <f>(G7+G8)/G10</f>
        <v>1</v>
      </c>
    </row>
    <row r="22" spans="2:11" x14ac:dyDescent="0.3">
      <c r="B22" t="s">
        <v>19</v>
      </c>
      <c r="C22" s="8">
        <f>(C9)/C10</f>
        <v>0</v>
      </c>
      <c r="F22" t="s">
        <v>19</v>
      </c>
      <c r="G22" s="8">
        <f>(G9)/G10</f>
        <v>0</v>
      </c>
    </row>
    <row r="24" spans="2:11" ht="15.6" x14ac:dyDescent="0.3">
      <c r="C24" s="9" t="s">
        <v>18</v>
      </c>
      <c r="D24" s="9" t="s">
        <v>19</v>
      </c>
    </row>
    <row r="25" spans="2:11" ht="18" x14ac:dyDescent="0.35">
      <c r="B25" s="10" t="s">
        <v>0</v>
      </c>
      <c r="C25" s="11">
        <f>(C21)</f>
        <v>1</v>
      </c>
      <c r="D25" s="11">
        <f>(C22)</f>
        <v>0</v>
      </c>
      <c r="G25" s="12"/>
      <c r="K25" s="12"/>
    </row>
    <row r="26" spans="2:11" ht="18" x14ac:dyDescent="0.35">
      <c r="B26" s="10" t="s">
        <v>1</v>
      </c>
      <c r="C26" s="11">
        <f>(G21)</f>
        <v>1</v>
      </c>
      <c r="D26" s="11">
        <f>(G22)</f>
        <v>0</v>
      </c>
      <c r="F26" s="13"/>
      <c r="J26" s="13"/>
    </row>
    <row r="27" spans="2:11" ht="15.6" x14ac:dyDescent="0.3">
      <c r="F27" s="13"/>
      <c r="J27" s="13"/>
    </row>
  </sheetData>
  <mergeCells count="6">
    <mergeCell ref="B12:D12"/>
    <mergeCell ref="F12:H12"/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zoomScale="70" zoomScaleNormal="70" workbookViewId="0">
      <selection activeCell="G25" sqref="G25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21.77734375" customWidth="1"/>
    <col min="8" max="8" width="16" customWidth="1"/>
    <col min="9" max="9" width="16.44140625" bestFit="1" customWidth="1"/>
  </cols>
  <sheetData>
    <row r="2" spans="2:9" ht="15" customHeight="1" x14ac:dyDescent="0.6">
      <c r="B2" s="1"/>
      <c r="C2" s="23" t="s">
        <v>1</v>
      </c>
      <c r="D2" s="23"/>
      <c r="E2" s="23"/>
      <c r="F2" s="1"/>
      <c r="G2" s="1"/>
    </row>
    <row r="3" spans="2:9" ht="15" customHeight="1" x14ac:dyDescent="0.6">
      <c r="B3" s="1"/>
      <c r="C3" s="23"/>
      <c r="D3" s="23"/>
      <c r="E3" s="23"/>
      <c r="F3" s="1"/>
      <c r="G3" s="1"/>
    </row>
    <row r="5" spans="2:9" ht="45" customHeight="1" x14ac:dyDescent="0.3">
      <c r="B5" s="2"/>
      <c r="C5" s="22" t="s">
        <v>20</v>
      </c>
      <c r="D5" s="22"/>
      <c r="E5" s="22"/>
      <c r="F5" s="2"/>
      <c r="G5" s="2"/>
    </row>
    <row r="6" spans="2:9" x14ac:dyDescent="0.3">
      <c r="C6" s="3" t="s">
        <v>3</v>
      </c>
      <c r="D6" s="3" t="s">
        <v>4</v>
      </c>
      <c r="E6" s="3" t="s">
        <v>5</v>
      </c>
      <c r="H6" t="s">
        <v>15</v>
      </c>
    </row>
    <row r="7" spans="2:9" x14ac:dyDescent="0.3">
      <c r="C7" s="4" t="s">
        <v>6</v>
      </c>
      <c r="D7" s="4">
        <v>389</v>
      </c>
      <c r="E7" s="5">
        <f>D7/D10</f>
        <v>1</v>
      </c>
      <c r="G7" t="s">
        <v>18</v>
      </c>
      <c r="H7" s="8">
        <f>(D7+D8)/D10</f>
        <v>1</v>
      </c>
    </row>
    <row r="8" spans="2:9" x14ac:dyDescent="0.3">
      <c r="C8" s="4" t="s">
        <v>7</v>
      </c>
      <c r="D8" s="4">
        <v>0</v>
      </c>
      <c r="E8" s="5">
        <f>D8/D10</f>
        <v>0</v>
      </c>
      <c r="G8" t="s">
        <v>19</v>
      </c>
      <c r="H8" s="8">
        <f>(D9)/D10</f>
        <v>0</v>
      </c>
    </row>
    <row r="9" spans="2:9" x14ac:dyDescent="0.3">
      <c r="C9" s="4" t="s">
        <v>8</v>
      </c>
      <c r="D9" s="4">
        <v>0</v>
      </c>
      <c r="E9" s="5">
        <f>D9/D10</f>
        <v>0</v>
      </c>
    </row>
    <row r="10" spans="2:9" x14ac:dyDescent="0.3">
      <c r="C10" s="6" t="s">
        <v>10</v>
      </c>
      <c r="D10" s="6">
        <f>SUM(D7:D9)</f>
        <v>389</v>
      </c>
      <c r="E10" s="7">
        <f>SUM(E7:E9)</f>
        <v>1</v>
      </c>
      <c r="H10" t="s">
        <v>16</v>
      </c>
    </row>
    <row r="11" spans="2:9" x14ac:dyDescent="0.3">
      <c r="G11" t="s">
        <v>18</v>
      </c>
      <c r="H11" s="8">
        <f>(D14+D15)/D17</f>
        <v>1</v>
      </c>
    </row>
    <row r="12" spans="2:9" ht="14.4" customHeight="1" x14ac:dyDescent="0.3">
      <c r="C12" s="22" t="s">
        <v>21</v>
      </c>
      <c r="D12" s="22"/>
      <c r="E12" s="22"/>
      <c r="G12" t="s">
        <v>19</v>
      </c>
      <c r="H12" s="8">
        <f>(D16)/D17</f>
        <v>0</v>
      </c>
    </row>
    <row r="13" spans="2:9" ht="31.5" customHeight="1" x14ac:dyDescent="0.3">
      <c r="B13" s="2"/>
      <c r="C13" s="3" t="s">
        <v>3</v>
      </c>
      <c r="D13" s="3" t="s">
        <v>4</v>
      </c>
      <c r="E13" s="3" t="s">
        <v>5</v>
      </c>
      <c r="F13" s="2"/>
    </row>
    <row r="14" spans="2:9" x14ac:dyDescent="0.3">
      <c r="C14" s="4" t="s">
        <v>6</v>
      </c>
      <c r="D14" s="4">
        <v>316</v>
      </c>
      <c r="E14" s="5">
        <f>D14/D17</f>
        <v>1</v>
      </c>
    </row>
    <row r="15" spans="2:9" ht="15.6" x14ac:dyDescent="0.3">
      <c r="C15" s="4" t="s">
        <v>7</v>
      </c>
      <c r="D15" s="4">
        <v>0</v>
      </c>
      <c r="E15" s="5">
        <f>D15/D17</f>
        <v>0</v>
      </c>
      <c r="H15" s="9" t="s">
        <v>18</v>
      </c>
      <c r="I15" s="9" t="s">
        <v>19</v>
      </c>
    </row>
    <row r="16" spans="2:9" ht="18" x14ac:dyDescent="0.35">
      <c r="C16" s="4" t="s">
        <v>8</v>
      </c>
      <c r="D16" s="4">
        <v>0</v>
      </c>
      <c r="E16" s="5">
        <f>D16/D17</f>
        <v>0</v>
      </c>
      <c r="G16" s="10" t="s">
        <v>1</v>
      </c>
      <c r="H16" s="11">
        <f>(H7+H11)/2</f>
        <v>1</v>
      </c>
      <c r="I16" s="11">
        <f>(H8+H12)/2</f>
        <v>0</v>
      </c>
    </row>
    <row r="17" spans="2:7" x14ac:dyDescent="0.3">
      <c r="C17" s="6" t="s">
        <v>10</v>
      </c>
      <c r="D17" s="6">
        <f>SUM(D14:D16)</f>
        <v>316</v>
      </c>
      <c r="E17" s="7">
        <f>SUM(E14:E16)</f>
        <v>1</v>
      </c>
    </row>
    <row r="19" spans="2:7" ht="14.4" customHeight="1" x14ac:dyDescent="0.3">
      <c r="C19" s="22" t="s">
        <v>22</v>
      </c>
      <c r="D19" s="22"/>
      <c r="E19" s="22"/>
    </row>
    <row r="20" spans="2:7" x14ac:dyDescent="0.3">
      <c r="C20" s="3" t="s">
        <v>3</v>
      </c>
      <c r="D20" s="3" t="s">
        <v>4</v>
      </c>
      <c r="E20" s="3" t="s">
        <v>5</v>
      </c>
    </row>
    <row r="21" spans="2:7" ht="30.75" customHeight="1" x14ac:dyDescent="0.3">
      <c r="B21" s="2"/>
      <c r="C21" s="4" t="s">
        <v>23</v>
      </c>
      <c r="D21" s="4">
        <v>388</v>
      </c>
      <c r="E21" s="5">
        <f>D21/D23</f>
        <v>0.99742930591259638</v>
      </c>
      <c r="F21" s="2"/>
      <c r="G21" s="2"/>
    </row>
    <row r="22" spans="2:7" x14ac:dyDescent="0.3">
      <c r="C22" s="4" t="s">
        <v>24</v>
      </c>
      <c r="D22" s="4">
        <v>1</v>
      </c>
      <c r="E22" s="5">
        <f>D22/D23</f>
        <v>2.5706940874035988E-3</v>
      </c>
    </row>
    <row r="23" spans="2:7" x14ac:dyDescent="0.3">
      <c r="C23" s="6" t="s">
        <v>10</v>
      </c>
      <c r="D23" s="6">
        <f>SUM(D21:D22)</f>
        <v>389</v>
      </c>
      <c r="E23" s="7">
        <f>SUM(E21:E22)</f>
        <v>1</v>
      </c>
    </row>
    <row r="35" spans="6:7" ht="18" x14ac:dyDescent="0.35">
      <c r="G35" s="12"/>
    </row>
    <row r="36" spans="6:7" ht="15.6" x14ac:dyDescent="0.3">
      <c r="F36" s="13"/>
    </row>
  </sheetData>
  <mergeCells count="4">
    <mergeCell ref="C19:E19"/>
    <mergeCell ref="C2:E3"/>
    <mergeCell ref="C5:E5"/>
    <mergeCell ref="C12:E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6"/>
  <sheetViews>
    <sheetView zoomScale="70" zoomScaleNormal="70" workbookViewId="0">
      <selection activeCell="F27" sqref="F27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9" max="9" width="16.44140625" bestFit="1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8" ht="15" customHeight="1" x14ac:dyDescent="0.6">
      <c r="B2" s="1"/>
      <c r="C2" s="23" t="s">
        <v>0</v>
      </c>
      <c r="D2" s="23"/>
      <c r="E2" s="23"/>
    </row>
    <row r="3" spans="2:8" ht="15" customHeight="1" x14ac:dyDescent="0.6">
      <c r="B3" s="1"/>
      <c r="C3" s="23"/>
      <c r="D3" s="23"/>
      <c r="E3" s="23"/>
    </row>
    <row r="4" spans="2:8" ht="15" customHeight="1" x14ac:dyDescent="0.6">
      <c r="B4" s="1"/>
      <c r="C4" s="14"/>
      <c r="D4" s="14"/>
      <c r="E4" s="14"/>
    </row>
    <row r="5" spans="2:8" ht="30.75" customHeight="1" x14ac:dyDescent="0.3">
      <c r="B5" s="2"/>
      <c r="C5" s="19" t="s">
        <v>25</v>
      </c>
      <c r="D5" s="20"/>
      <c r="E5" s="21"/>
    </row>
    <row r="6" spans="2:8" ht="15" customHeight="1" x14ac:dyDescent="0.3">
      <c r="C6" s="15" t="s">
        <v>3</v>
      </c>
      <c r="D6" s="15" t="s">
        <v>4</v>
      </c>
      <c r="E6" s="15" t="s">
        <v>5</v>
      </c>
      <c r="H6" t="s">
        <v>15</v>
      </c>
    </row>
    <row r="7" spans="2:8" ht="15" customHeight="1" x14ac:dyDescent="0.3">
      <c r="C7" s="4" t="s">
        <v>26</v>
      </c>
      <c r="D7" s="4">
        <v>156</v>
      </c>
      <c r="E7" s="5">
        <f>D7/D9</f>
        <v>0.95705521472392641</v>
      </c>
      <c r="G7" t="s">
        <v>18</v>
      </c>
      <c r="H7" s="8">
        <f>(D7)/D9</f>
        <v>0.95705521472392641</v>
      </c>
    </row>
    <row r="8" spans="2:8" ht="15" customHeight="1" x14ac:dyDescent="0.3">
      <c r="C8" s="4" t="s">
        <v>27</v>
      </c>
      <c r="D8" s="4">
        <v>7</v>
      </c>
      <c r="E8" s="5">
        <f>D8/D9</f>
        <v>4.2944785276073622E-2</v>
      </c>
      <c r="G8" t="s">
        <v>19</v>
      </c>
      <c r="H8" s="8">
        <f>(D8)/D9</f>
        <v>4.2944785276073622E-2</v>
      </c>
    </row>
    <row r="9" spans="2:8" ht="15" customHeight="1" x14ac:dyDescent="0.3">
      <c r="C9" s="6" t="s">
        <v>28</v>
      </c>
      <c r="D9" s="6">
        <f>SUM(D7:D8)</f>
        <v>163</v>
      </c>
      <c r="E9" s="7">
        <f>SUM(E7:E8)</f>
        <v>1</v>
      </c>
    </row>
    <row r="10" spans="2:8" ht="18" customHeight="1" x14ac:dyDescent="0.6">
      <c r="B10" s="1"/>
      <c r="C10" s="14"/>
      <c r="D10" s="14"/>
      <c r="E10" s="14"/>
      <c r="H10" t="s">
        <v>16</v>
      </c>
    </row>
    <row r="11" spans="2:8" ht="31.5" customHeight="1" x14ac:dyDescent="0.3">
      <c r="B11" s="2"/>
      <c r="C11" s="22" t="s">
        <v>43</v>
      </c>
      <c r="D11" s="22"/>
      <c r="E11" s="22"/>
      <c r="G11" t="s">
        <v>18</v>
      </c>
      <c r="H11" s="8">
        <f>(D13+D14)/D16</f>
        <v>1</v>
      </c>
    </row>
    <row r="12" spans="2:8" x14ac:dyDescent="0.3">
      <c r="C12" s="15" t="s">
        <v>3</v>
      </c>
      <c r="D12" s="15" t="s">
        <v>4</v>
      </c>
      <c r="E12" s="15" t="s">
        <v>5</v>
      </c>
      <c r="G12" t="s">
        <v>19</v>
      </c>
      <c r="H12" s="8">
        <f>(D15)/D16</f>
        <v>0</v>
      </c>
    </row>
    <row r="13" spans="2:8" x14ac:dyDescent="0.3">
      <c r="C13" s="4" t="s">
        <v>6</v>
      </c>
      <c r="D13" s="4">
        <v>155</v>
      </c>
      <c r="E13" s="5">
        <f>D13/D16</f>
        <v>0.95092024539877296</v>
      </c>
    </row>
    <row r="14" spans="2:8" x14ac:dyDescent="0.3">
      <c r="C14" s="4" t="s">
        <v>7</v>
      </c>
      <c r="D14" s="4">
        <v>8</v>
      </c>
      <c r="E14" s="5">
        <f>D14/D16</f>
        <v>4.9079754601226995E-2</v>
      </c>
      <c r="H14" t="s">
        <v>29</v>
      </c>
    </row>
    <row r="15" spans="2:8" x14ac:dyDescent="0.3">
      <c r="C15" s="4" t="s">
        <v>8</v>
      </c>
      <c r="D15" s="4">
        <v>0</v>
      </c>
      <c r="E15" s="5">
        <f>D15/D16</f>
        <v>0</v>
      </c>
      <c r="G15" t="s">
        <v>18</v>
      </c>
      <c r="H15" s="8">
        <f>(D20+D21)/D23</f>
        <v>1</v>
      </c>
    </row>
    <row r="16" spans="2:8" x14ac:dyDescent="0.3">
      <c r="C16" s="6" t="s">
        <v>28</v>
      </c>
      <c r="D16" s="6">
        <f>SUM(D13:D15)</f>
        <v>163</v>
      </c>
      <c r="E16" s="7">
        <f>SUM(E13:E15)</f>
        <v>1</v>
      </c>
      <c r="G16" t="s">
        <v>19</v>
      </c>
      <c r="H16" s="8">
        <f>(D22)/D23</f>
        <v>0</v>
      </c>
    </row>
    <row r="18" spans="2:12" ht="14.4" customHeight="1" x14ac:dyDescent="0.3">
      <c r="C18" s="19" t="s">
        <v>22</v>
      </c>
      <c r="D18" s="20"/>
      <c r="E18" s="21"/>
    </row>
    <row r="19" spans="2:12" ht="15.6" x14ac:dyDescent="0.3">
      <c r="B19" s="2"/>
      <c r="C19" s="15" t="s">
        <v>31</v>
      </c>
      <c r="D19" s="15" t="s">
        <v>4</v>
      </c>
      <c r="E19" s="15" t="s">
        <v>5</v>
      </c>
      <c r="H19" s="9" t="s">
        <v>18</v>
      </c>
      <c r="I19" s="9" t="s">
        <v>19</v>
      </c>
      <c r="L19" s="8"/>
    </row>
    <row r="20" spans="2:12" ht="18" x14ac:dyDescent="0.35">
      <c r="C20" s="4" t="s">
        <v>6</v>
      </c>
      <c r="D20" s="4">
        <v>157</v>
      </c>
      <c r="E20" s="5">
        <f>D20/D23</f>
        <v>0.96319018404907975</v>
      </c>
      <c r="G20" s="10" t="s">
        <v>0</v>
      </c>
      <c r="H20" s="11">
        <f>(H7+H11+H15)/3</f>
        <v>0.98568507157464202</v>
      </c>
      <c r="I20" s="11">
        <f>(H8+H12+H16)/3</f>
        <v>1.4314928425357873E-2</v>
      </c>
      <c r="L20" s="8"/>
    </row>
    <row r="21" spans="2:12" x14ac:dyDescent="0.3">
      <c r="C21" s="4" t="s">
        <v>7</v>
      </c>
      <c r="D21" s="4">
        <v>6</v>
      </c>
      <c r="E21" s="5">
        <f>D21/D23</f>
        <v>3.6809815950920248E-2</v>
      </c>
    </row>
    <row r="22" spans="2:12" x14ac:dyDescent="0.3">
      <c r="C22" s="4" t="s">
        <v>8</v>
      </c>
      <c r="D22" s="4">
        <v>0</v>
      </c>
      <c r="E22" s="5">
        <f>D22/D23</f>
        <v>0</v>
      </c>
    </row>
    <row r="23" spans="2:12" x14ac:dyDescent="0.3">
      <c r="C23" s="6" t="s">
        <v>10</v>
      </c>
      <c r="D23" s="6">
        <f>SUM(D20:D22)</f>
        <v>163</v>
      </c>
      <c r="E23" s="7">
        <f>SUM(E20:E22)</f>
        <v>1</v>
      </c>
    </row>
    <row r="27" spans="2:12" ht="33" customHeight="1" x14ac:dyDescent="0.3"/>
    <row r="30" spans="2:12" ht="15" customHeight="1" x14ac:dyDescent="0.3"/>
    <row r="35" ht="32.25" customHeight="1" x14ac:dyDescent="0.3"/>
    <row r="46" ht="15" customHeight="1" x14ac:dyDescent="0.3"/>
  </sheetData>
  <mergeCells count="4">
    <mergeCell ref="C18:E18"/>
    <mergeCell ref="C2:E3"/>
    <mergeCell ref="C5:E5"/>
    <mergeCell ref="C11:E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zoomScale="70" zoomScaleNormal="70" workbookViewId="0">
      <selection activeCell="F32" sqref="F32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8" max="8" width="11.5546875" customWidth="1"/>
    <col min="10" max="10" width="20.109375" customWidth="1"/>
    <col min="11" max="11" width="19.44140625" customWidth="1"/>
    <col min="12" max="12" width="19.5546875" customWidth="1"/>
  </cols>
  <sheetData>
    <row r="2" spans="2:9" ht="14.4" customHeight="1" x14ac:dyDescent="0.6">
      <c r="B2" s="23" t="s">
        <v>0</v>
      </c>
      <c r="C2" s="23"/>
      <c r="D2" s="23"/>
      <c r="E2" s="18"/>
      <c r="F2" s="23" t="s">
        <v>1</v>
      </c>
      <c r="G2" s="23"/>
      <c r="H2" s="23"/>
      <c r="I2" s="18"/>
    </row>
    <row r="3" spans="2:9" ht="14.4" customHeight="1" x14ac:dyDescent="0.3">
      <c r="B3" s="23"/>
      <c r="C3" s="23"/>
      <c r="D3" s="23"/>
      <c r="F3" s="23"/>
      <c r="G3" s="23"/>
      <c r="H3" s="23"/>
    </row>
    <row r="5" spans="2:9" ht="30" customHeight="1" x14ac:dyDescent="0.3">
      <c r="B5" s="19" t="s">
        <v>32</v>
      </c>
      <c r="C5" s="20"/>
      <c r="D5" s="21"/>
      <c r="F5" s="19" t="s">
        <v>32</v>
      </c>
      <c r="G5" s="20"/>
      <c r="H5" s="21"/>
    </row>
    <row r="6" spans="2:9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9" x14ac:dyDescent="0.3">
      <c r="B7" s="4" t="s">
        <v>6</v>
      </c>
      <c r="C7" s="4">
        <v>350</v>
      </c>
      <c r="D7" s="5">
        <f>C7/C10</f>
        <v>0.96685082872928174</v>
      </c>
      <c r="F7" s="4" t="s">
        <v>6</v>
      </c>
      <c r="G7" s="4">
        <v>303</v>
      </c>
      <c r="H7" s="5">
        <f>G7/G10</f>
        <v>0.95886075949367089</v>
      </c>
    </row>
    <row r="8" spans="2:9" x14ac:dyDescent="0.3">
      <c r="B8" s="4" t="s">
        <v>7</v>
      </c>
      <c r="C8" s="4">
        <v>12</v>
      </c>
      <c r="D8" s="5">
        <f>C8/C10</f>
        <v>3.3149171270718231E-2</v>
      </c>
      <c r="F8" s="4" t="s">
        <v>7</v>
      </c>
      <c r="G8" s="4">
        <v>11</v>
      </c>
      <c r="H8" s="5">
        <f>G8/G10</f>
        <v>3.4810126582278479E-2</v>
      </c>
    </row>
    <row r="9" spans="2:9" x14ac:dyDescent="0.3">
      <c r="B9" s="4" t="s">
        <v>8</v>
      </c>
      <c r="C9" s="4">
        <v>0</v>
      </c>
      <c r="D9" s="5">
        <f>C9/C10</f>
        <v>0</v>
      </c>
      <c r="F9" s="4" t="s">
        <v>8</v>
      </c>
      <c r="G9" s="4">
        <v>2</v>
      </c>
      <c r="H9" s="5">
        <f>G9/G10</f>
        <v>6.3291139240506328E-3</v>
      </c>
    </row>
    <row r="10" spans="2:9" x14ac:dyDescent="0.3">
      <c r="B10" s="6" t="s">
        <v>28</v>
      </c>
      <c r="C10" s="6">
        <f>SUM(C7:C9)</f>
        <v>362</v>
      </c>
      <c r="D10" s="7">
        <f>SUM(D7:D9)</f>
        <v>1</v>
      </c>
      <c r="F10" s="6" t="s">
        <v>28</v>
      </c>
      <c r="G10" s="6">
        <f>SUM(G7:G9)</f>
        <v>316</v>
      </c>
      <c r="H10" s="7">
        <f>SUM(H7:H9)</f>
        <v>1</v>
      </c>
    </row>
    <row r="12" spans="2:9" ht="14.4" customHeight="1" x14ac:dyDescent="0.3">
      <c r="B12" s="19" t="s">
        <v>33</v>
      </c>
      <c r="C12" s="20"/>
      <c r="D12" s="21"/>
      <c r="F12" s="19" t="s">
        <v>33</v>
      </c>
      <c r="G12" s="20"/>
      <c r="H12" s="21"/>
    </row>
    <row r="13" spans="2:9" ht="30.7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</row>
    <row r="14" spans="2:9" ht="15" customHeight="1" x14ac:dyDescent="0.3">
      <c r="B14" s="4" t="s">
        <v>6</v>
      </c>
      <c r="C14" s="4">
        <v>340</v>
      </c>
      <c r="D14" s="5">
        <f>C14/C17</f>
        <v>0.93922651933701662</v>
      </c>
      <c r="F14" s="4" t="s">
        <v>6</v>
      </c>
      <c r="G14" s="4">
        <v>294</v>
      </c>
      <c r="H14" s="5">
        <f>G14/G17</f>
        <v>0.930379746835443</v>
      </c>
    </row>
    <row r="15" spans="2:9" x14ac:dyDescent="0.3">
      <c r="B15" s="4" t="s">
        <v>7</v>
      </c>
      <c r="C15" s="4">
        <v>21</v>
      </c>
      <c r="D15" s="5">
        <f>C15/C17</f>
        <v>5.8011049723756904E-2</v>
      </c>
      <c r="F15" s="4" t="s">
        <v>7</v>
      </c>
      <c r="G15" s="4">
        <v>17</v>
      </c>
      <c r="H15" s="5">
        <f>G15/G17</f>
        <v>5.3797468354430382E-2</v>
      </c>
    </row>
    <row r="16" spans="2:9" x14ac:dyDescent="0.3">
      <c r="B16" s="4" t="s">
        <v>8</v>
      </c>
      <c r="C16" s="4">
        <v>1</v>
      </c>
      <c r="D16" s="5">
        <f>C16/C17</f>
        <v>2.7624309392265192E-3</v>
      </c>
      <c r="F16" s="4" t="s">
        <v>8</v>
      </c>
      <c r="G16" s="4">
        <v>5</v>
      </c>
      <c r="H16" s="5">
        <f>G16/G17</f>
        <v>1.5822784810126583E-2</v>
      </c>
    </row>
    <row r="17" spans="2:8" x14ac:dyDescent="0.3">
      <c r="B17" s="6" t="s">
        <v>28</v>
      </c>
      <c r="C17" s="6">
        <f>SUM(C14:C16)</f>
        <v>362</v>
      </c>
      <c r="D17" s="7">
        <f>SUM(D14:D16)</f>
        <v>1</v>
      </c>
      <c r="F17" s="6" t="s">
        <v>28</v>
      </c>
      <c r="G17" s="6">
        <f>SUM(G14:G16)</f>
        <v>316</v>
      </c>
      <c r="H17" s="7">
        <f>SUM(H14:H16)</f>
        <v>0.99999999999999989</v>
      </c>
    </row>
    <row r="20" spans="2:8" x14ac:dyDescent="0.3">
      <c r="C20" t="s">
        <v>15</v>
      </c>
      <c r="G20" t="s">
        <v>29</v>
      </c>
    </row>
    <row r="21" spans="2:8" x14ac:dyDescent="0.3">
      <c r="B21" t="s">
        <v>18</v>
      </c>
      <c r="C21" s="8">
        <f>(C7+C8)/C10</f>
        <v>1</v>
      </c>
      <c r="F21" t="s">
        <v>18</v>
      </c>
      <c r="G21" s="8">
        <f>(G7+G8)/G10</f>
        <v>0.99367088607594933</v>
      </c>
    </row>
    <row r="22" spans="2:8" x14ac:dyDescent="0.3">
      <c r="B22" t="s">
        <v>19</v>
      </c>
      <c r="C22" s="8">
        <f>(C9)/C10</f>
        <v>0</v>
      </c>
      <c r="F22" t="s">
        <v>19</v>
      </c>
      <c r="G22" s="8">
        <f>(G9)/G10</f>
        <v>6.3291139240506328E-3</v>
      </c>
    </row>
    <row r="24" spans="2:8" x14ac:dyDescent="0.3">
      <c r="C24" t="s">
        <v>16</v>
      </c>
      <c r="G24" t="s">
        <v>30</v>
      </c>
    </row>
    <row r="25" spans="2:8" x14ac:dyDescent="0.3">
      <c r="B25" t="s">
        <v>18</v>
      </c>
      <c r="C25" s="8">
        <f>(C14+C15)/C17</f>
        <v>0.99723756906077343</v>
      </c>
      <c r="F25" t="s">
        <v>18</v>
      </c>
      <c r="G25" s="8">
        <f>(G14+G15)/G17</f>
        <v>0.98417721518987344</v>
      </c>
    </row>
    <row r="26" spans="2:8" x14ac:dyDescent="0.3">
      <c r="B26" t="s">
        <v>19</v>
      </c>
      <c r="C26" s="8">
        <f>(C16)/C17</f>
        <v>2.7624309392265192E-3</v>
      </c>
      <c r="F26" t="s">
        <v>19</v>
      </c>
      <c r="G26" s="8">
        <f>(G16)/G17</f>
        <v>1.5822784810126583E-2</v>
      </c>
    </row>
    <row r="31" spans="2:8" ht="15.6" x14ac:dyDescent="0.3">
      <c r="C31" s="9" t="s">
        <v>18</v>
      </c>
      <c r="D31" s="9" t="s">
        <v>19</v>
      </c>
    </row>
    <row r="32" spans="2:8" ht="18" x14ac:dyDescent="0.35">
      <c r="B32" s="10" t="s">
        <v>0</v>
      </c>
      <c r="C32" s="11">
        <f>(C21+C25)/2</f>
        <v>0.99861878453038666</v>
      </c>
      <c r="D32" s="11">
        <f>(C22+C26)/2</f>
        <v>1.3812154696132596E-3</v>
      </c>
    </row>
    <row r="33" spans="2:4" ht="18" x14ac:dyDescent="0.35">
      <c r="B33" s="10" t="s">
        <v>1</v>
      </c>
      <c r="C33" s="11">
        <f>(G21+G25)/2</f>
        <v>0.98892405063291133</v>
      </c>
      <c r="D33" s="11">
        <f>(G22+G26)/2</f>
        <v>1.1075949367088608E-2</v>
      </c>
    </row>
  </sheetData>
  <mergeCells count="6">
    <mergeCell ref="B12:D12"/>
    <mergeCell ref="F12:H12"/>
    <mergeCell ref="B2:D3"/>
    <mergeCell ref="B5:D5"/>
    <mergeCell ref="F5:H5"/>
    <mergeCell ref="F2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6"/>
  <sheetViews>
    <sheetView zoomScale="70" zoomScaleNormal="70" workbookViewId="0">
      <selection activeCell="G23" sqref="G23:G26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6" width="15.21875" bestFit="1" customWidth="1"/>
    <col min="7" max="7" width="12.33203125" bestFit="1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30" customHeight="1" x14ac:dyDescent="0.3">
      <c r="B5" s="19" t="s">
        <v>34</v>
      </c>
      <c r="C5" s="20"/>
      <c r="D5" s="21"/>
      <c r="F5" s="19" t="s">
        <v>34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6</v>
      </c>
      <c r="C7" s="4">
        <v>102</v>
      </c>
      <c r="D7" s="5">
        <f>C7/C11</f>
        <v>0.68</v>
      </c>
      <c r="F7" s="4" t="s">
        <v>6</v>
      </c>
      <c r="G7" s="4">
        <v>33</v>
      </c>
      <c r="H7" s="5">
        <f>G7/G11</f>
        <v>0.20245398773006135</v>
      </c>
    </row>
    <row r="8" spans="2:8" x14ac:dyDescent="0.3">
      <c r="B8" s="4" t="s">
        <v>7</v>
      </c>
      <c r="C8" s="4">
        <v>3</v>
      </c>
      <c r="D8" s="5">
        <f>C8/C11</f>
        <v>0.02</v>
      </c>
      <c r="F8" s="4" t="s">
        <v>7</v>
      </c>
      <c r="G8" s="4">
        <v>6</v>
      </c>
      <c r="H8" s="5">
        <f>G8/G11</f>
        <v>3.6809815950920248E-2</v>
      </c>
    </row>
    <row r="9" spans="2:8" x14ac:dyDescent="0.3">
      <c r="B9" s="4" t="s">
        <v>8</v>
      </c>
      <c r="C9" s="4">
        <v>0</v>
      </c>
      <c r="D9" s="5">
        <f>C9/C11</f>
        <v>0</v>
      </c>
      <c r="F9" s="4" t="s">
        <v>8</v>
      </c>
      <c r="G9" s="4">
        <v>1</v>
      </c>
      <c r="H9" s="5">
        <f>G9/G11</f>
        <v>6.1349693251533744E-3</v>
      </c>
    </row>
    <row r="10" spans="2:8" x14ac:dyDescent="0.3">
      <c r="B10" s="4" t="s">
        <v>9</v>
      </c>
      <c r="C10" s="4">
        <v>45</v>
      </c>
      <c r="D10" s="5">
        <f>C10/C11</f>
        <v>0.3</v>
      </c>
      <c r="F10" s="4" t="s">
        <v>9</v>
      </c>
      <c r="G10" s="4">
        <v>123</v>
      </c>
      <c r="H10" s="5">
        <f>G10/G11</f>
        <v>0.754601226993865</v>
      </c>
    </row>
    <row r="11" spans="2:8" x14ac:dyDescent="0.3">
      <c r="B11" s="6" t="s">
        <v>28</v>
      </c>
      <c r="C11" s="6">
        <f>SUM(C7:C10)</f>
        <v>150</v>
      </c>
      <c r="D11" s="7">
        <f>SUM(D7:D10)</f>
        <v>1</v>
      </c>
      <c r="F11" s="6" t="s">
        <v>28</v>
      </c>
      <c r="G11" s="6">
        <f>SUM(G7:G10)</f>
        <v>163</v>
      </c>
      <c r="H11" s="7">
        <f>SUM(H7:H10)</f>
        <v>1</v>
      </c>
    </row>
    <row r="13" spans="2:8" ht="34.5" customHeight="1" x14ac:dyDescent="0.3">
      <c r="B13" s="19" t="s">
        <v>35</v>
      </c>
      <c r="C13" s="20"/>
      <c r="D13" s="21"/>
      <c r="F13" s="19" t="s">
        <v>35</v>
      </c>
      <c r="G13" s="20"/>
      <c r="H13" s="21"/>
    </row>
    <row r="14" spans="2:8" x14ac:dyDescent="0.3">
      <c r="B14" s="15" t="s">
        <v>3</v>
      </c>
      <c r="C14" s="15" t="s">
        <v>4</v>
      </c>
      <c r="D14" s="15" t="s">
        <v>5</v>
      </c>
      <c r="F14" s="15" t="s">
        <v>3</v>
      </c>
      <c r="G14" s="15" t="s">
        <v>4</v>
      </c>
      <c r="H14" s="15" t="s">
        <v>5</v>
      </c>
    </row>
    <row r="15" spans="2:8" x14ac:dyDescent="0.3">
      <c r="B15" s="4" t="s">
        <v>6</v>
      </c>
      <c r="C15" s="4">
        <v>126</v>
      </c>
      <c r="D15" s="5">
        <f>C15/C19</f>
        <v>0.84</v>
      </c>
      <c r="F15" s="4" t="s">
        <v>6</v>
      </c>
      <c r="G15" s="4">
        <v>41</v>
      </c>
      <c r="H15" s="5">
        <f>G15/G19</f>
        <v>0.25153374233128833</v>
      </c>
    </row>
    <row r="16" spans="2:8" x14ac:dyDescent="0.3">
      <c r="B16" s="4" t="s">
        <v>7</v>
      </c>
      <c r="C16" s="4">
        <v>9</v>
      </c>
      <c r="D16" s="5">
        <f>C16/C19</f>
        <v>0.06</v>
      </c>
      <c r="F16" s="4" t="s">
        <v>7</v>
      </c>
      <c r="G16" s="4">
        <v>13</v>
      </c>
      <c r="H16" s="5">
        <f>G16/G19</f>
        <v>7.9754601226993863E-2</v>
      </c>
    </row>
    <row r="17" spans="2:8" x14ac:dyDescent="0.3">
      <c r="B17" s="4" t="s">
        <v>8</v>
      </c>
      <c r="C17" s="4">
        <v>0</v>
      </c>
      <c r="D17" s="5">
        <f>C17/C19</f>
        <v>0</v>
      </c>
      <c r="F17" s="4" t="s">
        <v>8</v>
      </c>
      <c r="G17" s="4">
        <v>0</v>
      </c>
      <c r="H17" s="5">
        <f>G17/G19</f>
        <v>0</v>
      </c>
    </row>
    <row r="18" spans="2:8" x14ac:dyDescent="0.3">
      <c r="B18" s="4" t="s">
        <v>9</v>
      </c>
      <c r="C18" s="4">
        <v>15</v>
      </c>
      <c r="D18" s="5">
        <f>C18/C19</f>
        <v>0.1</v>
      </c>
      <c r="F18" s="4" t="s">
        <v>9</v>
      </c>
      <c r="G18" s="4">
        <v>109</v>
      </c>
      <c r="H18" s="5">
        <f>G18/G19</f>
        <v>0.66871165644171782</v>
      </c>
    </row>
    <row r="19" spans="2:8" x14ac:dyDescent="0.3">
      <c r="B19" s="6" t="s">
        <v>28</v>
      </c>
      <c r="C19" s="6">
        <f>SUM(C15:C18)</f>
        <v>150</v>
      </c>
      <c r="D19" s="7">
        <f>SUM(D15:D18)</f>
        <v>0.99999999999999989</v>
      </c>
      <c r="F19" s="6" t="s">
        <v>28</v>
      </c>
      <c r="G19" s="6">
        <f>SUM(G15:G18)</f>
        <v>163</v>
      </c>
      <c r="H19" s="7">
        <f>SUM(H15:H18)</f>
        <v>1</v>
      </c>
    </row>
    <row r="21" spans="2:8" ht="30" customHeight="1" x14ac:dyDescent="0.3">
      <c r="B21" s="19" t="s">
        <v>36</v>
      </c>
      <c r="C21" s="20"/>
      <c r="D21" s="21"/>
      <c r="F21" s="19" t="s">
        <v>36</v>
      </c>
      <c r="G21" s="20"/>
      <c r="H21" s="21"/>
    </row>
    <row r="22" spans="2:8" x14ac:dyDescent="0.3">
      <c r="B22" s="15" t="s">
        <v>3</v>
      </c>
      <c r="C22" s="15" t="s">
        <v>4</v>
      </c>
      <c r="D22" s="15" t="s">
        <v>5</v>
      </c>
      <c r="F22" s="15" t="s">
        <v>3</v>
      </c>
      <c r="G22" s="15" t="s">
        <v>4</v>
      </c>
      <c r="H22" s="15" t="s">
        <v>5</v>
      </c>
    </row>
    <row r="23" spans="2:8" x14ac:dyDescent="0.3">
      <c r="B23" s="4" t="s">
        <v>6</v>
      </c>
      <c r="C23" s="4">
        <v>138</v>
      </c>
      <c r="D23" s="5">
        <f>C23/C27</f>
        <v>0.92</v>
      </c>
      <c r="F23" s="4" t="s">
        <v>6</v>
      </c>
      <c r="G23" s="4">
        <v>149</v>
      </c>
      <c r="H23" s="5">
        <f>G23/G27</f>
        <v>0.91411042944785281</v>
      </c>
    </row>
    <row r="24" spans="2:8" x14ac:dyDescent="0.3">
      <c r="B24" s="4" t="s">
        <v>7</v>
      </c>
      <c r="C24" s="4">
        <v>3</v>
      </c>
      <c r="D24" s="5">
        <f>C24/C27</f>
        <v>0.02</v>
      </c>
      <c r="F24" s="4" t="s">
        <v>7</v>
      </c>
      <c r="G24" s="4">
        <v>3</v>
      </c>
      <c r="H24" s="5">
        <f>G24/G27</f>
        <v>1.8404907975460124E-2</v>
      </c>
    </row>
    <row r="25" spans="2:8" x14ac:dyDescent="0.3">
      <c r="B25" s="4" t="s">
        <v>8</v>
      </c>
      <c r="C25" s="4">
        <v>0</v>
      </c>
      <c r="D25" s="5">
        <f>C25/C27</f>
        <v>0</v>
      </c>
      <c r="F25" s="4" t="s">
        <v>8</v>
      </c>
      <c r="G25" s="4">
        <v>0</v>
      </c>
      <c r="H25" s="5">
        <f>G25/G27</f>
        <v>0</v>
      </c>
    </row>
    <row r="26" spans="2:8" x14ac:dyDescent="0.3">
      <c r="B26" s="4" t="s">
        <v>9</v>
      </c>
      <c r="C26" s="4">
        <v>9</v>
      </c>
      <c r="D26" s="5">
        <f>C26/C27</f>
        <v>0.06</v>
      </c>
      <c r="F26" s="4" t="s">
        <v>9</v>
      </c>
      <c r="G26" s="4">
        <v>11</v>
      </c>
      <c r="H26" s="5">
        <f>G26/G27</f>
        <v>6.7484662576687116E-2</v>
      </c>
    </row>
    <row r="27" spans="2:8" x14ac:dyDescent="0.3">
      <c r="B27" s="6" t="s">
        <v>28</v>
      </c>
      <c r="C27" s="6">
        <f>SUM(C23:C26)</f>
        <v>150</v>
      </c>
      <c r="D27" s="7">
        <f>SUM(D23:D26)</f>
        <v>1</v>
      </c>
      <c r="F27" s="6" t="s">
        <v>28</v>
      </c>
      <c r="G27" s="6">
        <f>SUM(G23:G26)</f>
        <v>163</v>
      </c>
      <c r="H27" s="7">
        <f>SUM(H23:H26)</f>
        <v>1</v>
      </c>
    </row>
    <row r="30" spans="2:8" x14ac:dyDescent="0.3">
      <c r="C30" t="s">
        <v>15</v>
      </c>
      <c r="G30" t="s">
        <v>29</v>
      </c>
    </row>
    <row r="31" spans="2:8" x14ac:dyDescent="0.3">
      <c r="B31" t="s">
        <v>18</v>
      </c>
      <c r="C31" s="8">
        <f>(C7+C8)/C11</f>
        <v>0.7</v>
      </c>
      <c r="F31" t="s">
        <v>18</v>
      </c>
      <c r="G31" s="8">
        <f>(G7+G8)/G11</f>
        <v>0.2392638036809816</v>
      </c>
    </row>
    <row r="32" spans="2:8" x14ac:dyDescent="0.3">
      <c r="B32" t="s">
        <v>19</v>
      </c>
      <c r="C32" s="8">
        <f>(C9+C10)/C11</f>
        <v>0.3</v>
      </c>
      <c r="F32" t="s">
        <v>19</v>
      </c>
      <c r="G32" s="8">
        <f>(G9+G10)/G11</f>
        <v>0.76073619631901845</v>
      </c>
    </row>
    <row r="34" spans="2:7" x14ac:dyDescent="0.3">
      <c r="C34" t="s">
        <v>16</v>
      </c>
      <c r="G34" t="s">
        <v>30</v>
      </c>
    </row>
    <row r="35" spans="2:7" x14ac:dyDescent="0.3">
      <c r="B35" t="s">
        <v>18</v>
      </c>
      <c r="C35" s="8">
        <f>(C15+C16)/C19</f>
        <v>0.9</v>
      </c>
      <c r="F35" t="s">
        <v>18</v>
      </c>
      <c r="G35" s="8">
        <f>(G15+G16)/G19</f>
        <v>0.33128834355828218</v>
      </c>
    </row>
    <row r="36" spans="2:7" x14ac:dyDescent="0.3">
      <c r="B36" t="s">
        <v>19</v>
      </c>
      <c r="C36" s="8">
        <f>(C17+C18)/C19</f>
        <v>0.1</v>
      </c>
      <c r="F36" t="s">
        <v>19</v>
      </c>
      <c r="G36" s="8">
        <f>(G17+G18)/G19</f>
        <v>0.66871165644171782</v>
      </c>
    </row>
    <row r="38" spans="2:7" x14ac:dyDescent="0.3">
      <c r="C38" t="s">
        <v>16</v>
      </c>
      <c r="G38" t="s">
        <v>30</v>
      </c>
    </row>
    <row r="39" spans="2:7" x14ac:dyDescent="0.3">
      <c r="B39" t="s">
        <v>18</v>
      </c>
      <c r="C39" s="8">
        <f>(C23+C24)/C27</f>
        <v>0.94</v>
      </c>
      <c r="F39" t="s">
        <v>18</v>
      </c>
      <c r="G39" s="8">
        <f>(G23+G24)/G27</f>
        <v>0.93251533742331283</v>
      </c>
    </row>
    <row r="40" spans="2:7" x14ac:dyDescent="0.3">
      <c r="B40" t="s">
        <v>19</v>
      </c>
      <c r="C40" s="8">
        <f>(C25+C26)/C27</f>
        <v>0.06</v>
      </c>
      <c r="F40" t="s">
        <v>19</v>
      </c>
      <c r="G40" s="8">
        <f>(G25+G26)/G27</f>
        <v>6.7484662576687116E-2</v>
      </c>
    </row>
    <row r="44" spans="2:7" ht="15.6" x14ac:dyDescent="0.3">
      <c r="C44" s="9" t="s">
        <v>18</v>
      </c>
      <c r="D44" s="9" t="s">
        <v>19</v>
      </c>
    </row>
    <row r="45" spans="2:7" ht="18" x14ac:dyDescent="0.35">
      <c r="B45" s="10" t="s">
        <v>0</v>
      </c>
      <c r="C45" s="11">
        <f>(C31+C35+C39)/3</f>
        <v>0.84666666666666668</v>
      </c>
      <c r="D45" s="11">
        <f>(C32+C36+C40)/3</f>
        <v>0.15333333333333335</v>
      </c>
    </row>
    <row r="46" spans="2:7" ht="18" x14ac:dyDescent="0.35">
      <c r="B46" s="10" t="s">
        <v>1</v>
      </c>
      <c r="C46" s="11">
        <f>(G31+G35+G39)/3</f>
        <v>0.50102249488752559</v>
      </c>
      <c r="D46" s="11">
        <f>(G32+G36+G40)/3</f>
        <v>0.49897750511247452</v>
      </c>
    </row>
  </sheetData>
  <mergeCells count="8">
    <mergeCell ref="B21:D21"/>
    <mergeCell ref="F21:H21"/>
    <mergeCell ref="B2:D3"/>
    <mergeCell ref="F2:H3"/>
    <mergeCell ref="B5:D5"/>
    <mergeCell ref="F5:H5"/>
    <mergeCell ref="B13:D13"/>
    <mergeCell ref="F13:H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zoomScale="70" zoomScaleNormal="70" workbookViewId="0">
      <selection activeCell="K32" sqref="K32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9.44140625" customWidth="1"/>
    <col min="11" max="11" width="14.33203125" bestFit="1" customWidth="1"/>
    <col min="12" max="12" width="17.44140625" customWidth="1"/>
    <col min="13" max="13" width="15.21875" bestFit="1" customWidth="1"/>
  </cols>
  <sheetData>
    <row r="2" spans="2:14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14" ht="14.4" customHeight="1" x14ac:dyDescent="0.3">
      <c r="B3" s="23"/>
      <c r="C3" s="23"/>
      <c r="D3" s="23"/>
      <c r="F3" s="23"/>
      <c r="G3" s="23"/>
      <c r="H3" s="23"/>
    </row>
    <row r="5" spans="2:14" ht="30" customHeight="1" x14ac:dyDescent="0.3">
      <c r="B5" s="19" t="s">
        <v>44</v>
      </c>
      <c r="C5" s="20"/>
      <c r="D5" s="21"/>
      <c r="F5" s="19" t="s">
        <v>44</v>
      </c>
      <c r="G5" s="20"/>
      <c r="H5" s="21"/>
      <c r="K5" t="s">
        <v>15</v>
      </c>
      <c r="N5" t="s">
        <v>29</v>
      </c>
    </row>
    <row r="6" spans="2:14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  <c r="J6" t="s">
        <v>18</v>
      </c>
      <c r="K6" s="8">
        <f>(C7+C8)/C10</f>
        <v>0.99659863945578231</v>
      </c>
      <c r="M6" t="s">
        <v>18</v>
      </c>
      <c r="N6" s="8">
        <f>(G7+G8)/G10</f>
        <v>0.98023715415019763</v>
      </c>
    </row>
    <row r="7" spans="2:14" x14ac:dyDescent="0.3">
      <c r="B7" s="4" t="s">
        <v>6</v>
      </c>
      <c r="C7" s="4">
        <v>284</v>
      </c>
      <c r="D7" s="5">
        <f>C7/C10</f>
        <v>0.96598639455782309</v>
      </c>
      <c r="F7" s="4" t="s">
        <v>6</v>
      </c>
      <c r="G7" s="4">
        <v>226</v>
      </c>
      <c r="H7" s="5">
        <f>G7/G10</f>
        <v>0.89328063241106714</v>
      </c>
      <c r="J7" t="s">
        <v>19</v>
      </c>
      <c r="K7" s="8">
        <f>C9/C10</f>
        <v>3.4013605442176869E-3</v>
      </c>
      <c r="M7" t="s">
        <v>19</v>
      </c>
      <c r="N7" s="8">
        <f>G9/G10</f>
        <v>1.9762845849802372E-2</v>
      </c>
    </row>
    <row r="8" spans="2:14" x14ac:dyDescent="0.3">
      <c r="B8" s="4" t="s">
        <v>7</v>
      </c>
      <c r="C8" s="4">
        <v>9</v>
      </c>
      <c r="D8" s="5">
        <f>C8/C10</f>
        <v>3.0612244897959183E-2</v>
      </c>
      <c r="F8" s="4" t="s">
        <v>7</v>
      </c>
      <c r="G8" s="4">
        <v>22</v>
      </c>
      <c r="H8" s="5">
        <f>G8/G10</f>
        <v>8.6956521739130432E-2</v>
      </c>
    </row>
    <row r="9" spans="2:14" x14ac:dyDescent="0.3">
      <c r="B9" s="4" t="s">
        <v>8</v>
      </c>
      <c r="C9" s="4">
        <v>1</v>
      </c>
      <c r="D9" s="5">
        <f>C9/C10</f>
        <v>3.4013605442176869E-3</v>
      </c>
      <c r="F9" s="4" t="s">
        <v>8</v>
      </c>
      <c r="G9" s="4">
        <v>5</v>
      </c>
      <c r="H9" s="5">
        <f>G9/G10</f>
        <v>1.9762845849802372E-2</v>
      </c>
      <c r="K9" t="s">
        <v>16</v>
      </c>
      <c r="N9" t="s">
        <v>30</v>
      </c>
    </row>
    <row r="10" spans="2:14" x14ac:dyDescent="0.3">
      <c r="B10" s="6" t="s">
        <v>28</v>
      </c>
      <c r="C10" s="6">
        <f>SUM(C7:C9)</f>
        <v>294</v>
      </c>
      <c r="D10" s="7">
        <f>SUM(D7:D9)</f>
        <v>1</v>
      </c>
      <c r="F10" s="6" t="s">
        <v>28</v>
      </c>
      <c r="G10" s="6">
        <f>SUM(G7:G9)</f>
        <v>253</v>
      </c>
      <c r="H10" s="7">
        <f>SUM(H7:H9)</f>
        <v>0.99999999999999989</v>
      </c>
      <c r="J10" t="s">
        <v>18</v>
      </c>
      <c r="K10" s="8">
        <f>(C14+C15)/C17</f>
        <v>0.99659863945578231</v>
      </c>
      <c r="M10" t="s">
        <v>18</v>
      </c>
      <c r="N10" s="8">
        <f>(G14+G15)/G17</f>
        <v>0.99604743083003955</v>
      </c>
    </row>
    <row r="11" spans="2:14" x14ac:dyDescent="0.3">
      <c r="J11" t="s">
        <v>19</v>
      </c>
      <c r="K11" s="8">
        <f>C16/C17</f>
        <v>3.4013605442176869E-3</v>
      </c>
      <c r="M11" t="s">
        <v>19</v>
      </c>
      <c r="N11" s="8">
        <f>G16/G17</f>
        <v>3.952569169960474E-3</v>
      </c>
    </row>
    <row r="12" spans="2:14" x14ac:dyDescent="0.3">
      <c r="B12" s="19" t="s">
        <v>45</v>
      </c>
      <c r="C12" s="20"/>
      <c r="D12" s="21"/>
      <c r="F12" s="19" t="s">
        <v>45</v>
      </c>
      <c r="G12" s="20"/>
      <c r="H12" s="21"/>
    </row>
    <row r="13" spans="2:14" ht="34.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  <c r="K13" t="s">
        <v>16</v>
      </c>
      <c r="N13" t="s">
        <v>30</v>
      </c>
    </row>
    <row r="14" spans="2:14" x14ac:dyDescent="0.3">
      <c r="B14" s="4" t="s">
        <v>6</v>
      </c>
      <c r="C14" s="4">
        <v>283</v>
      </c>
      <c r="D14" s="5">
        <f>C14/C17</f>
        <v>0.9625850340136054</v>
      </c>
      <c r="F14" s="4" t="s">
        <v>6</v>
      </c>
      <c r="G14" s="4">
        <v>228</v>
      </c>
      <c r="H14" s="5">
        <f>G14/G17</f>
        <v>0.90118577075098816</v>
      </c>
      <c r="J14" t="s">
        <v>18</v>
      </c>
      <c r="K14" s="8">
        <f>(C21+C22)/C24</f>
        <v>0.99319727891156462</v>
      </c>
      <c r="M14" t="s">
        <v>18</v>
      </c>
      <c r="N14" s="8">
        <f>(G21+G22)/G24</f>
        <v>0.9920948616600791</v>
      </c>
    </row>
    <row r="15" spans="2:14" x14ac:dyDescent="0.3">
      <c r="B15" s="4" t="s">
        <v>7</v>
      </c>
      <c r="C15" s="4">
        <v>10</v>
      </c>
      <c r="D15" s="5">
        <f>C15/C17</f>
        <v>3.4013605442176874E-2</v>
      </c>
      <c r="F15" s="4" t="s">
        <v>7</v>
      </c>
      <c r="G15" s="4">
        <v>24</v>
      </c>
      <c r="H15" s="5">
        <f>G15/G17</f>
        <v>9.4861660079051377E-2</v>
      </c>
      <c r="J15" t="s">
        <v>19</v>
      </c>
      <c r="K15" s="8">
        <f>C23/C24</f>
        <v>6.8027210884353739E-3</v>
      </c>
      <c r="M15" t="s">
        <v>19</v>
      </c>
      <c r="N15" s="8">
        <f>G23/G24</f>
        <v>7.9051383399209481E-3</v>
      </c>
    </row>
    <row r="16" spans="2:14" x14ac:dyDescent="0.3">
      <c r="B16" s="4" t="s">
        <v>8</v>
      </c>
      <c r="C16" s="4">
        <v>1</v>
      </c>
      <c r="D16" s="5">
        <f>C16/C17</f>
        <v>3.4013605442176869E-3</v>
      </c>
      <c r="F16" s="4" t="s">
        <v>8</v>
      </c>
      <c r="G16" s="4">
        <v>1</v>
      </c>
      <c r="H16" s="5">
        <f>G16/G17</f>
        <v>3.952569169960474E-3</v>
      </c>
      <c r="K16" s="8"/>
      <c r="N16" s="8"/>
    </row>
    <row r="17" spans="2:14" x14ac:dyDescent="0.3">
      <c r="B17" s="6" t="s">
        <v>28</v>
      </c>
      <c r="C17" s="6">
        <f>SUM(C14:C16)</f>
        <v>294</v>
      </c>
      <c r="D17" s="7">
        <f>SUM(D14:D16)</f>
        <v>1</v>
      </c>
      <c r="F17" s="6" t="s">
        <v>28</v>
      </c>
      <c r="G17" s="6">
        <f>SUM(G14:G16)</f>
        <v>253</v>
      </c>
      <c r="H17" s="7">
        <f>SUM(H14:H16)</f>
        <v>1</v>
      </c>
      <c r="K17" t="s">
        <v>16</v>
      </c>
      <c r="N17" t="s">
        <v>30</v>
      </c>
    </row>
    <row r="18" spans="2:14" x14ac:dyDescent="0.3">
      <c r="J18" t="s">
        <v>18</v>
      </c>
      <c r="K18" s="8">
        <f>(C28+C29)/C31</f>
        <v>0.99319727891156462</v>
      </c>
      <c r="M18" t="s">
        <v>18</v>
      </c>
      <c r="N18" s="8">
        <f>(G28+G29)/G31</f>
        <v>0.99604743083003955</v>
      </c>
    </row>
    <row r="19" spans="2:14" x14ac:dyDescent="0.3">
      <c r="B19" s="19" t="s">
        <v>46</v>
      </c>
      <c r="C19" s="20"/>
      <c r="D19" s="21"/>
      <c r="F19" s="19" t="s">
        <v>46</v>
      </c>
      <c r="G19" s="20"/>
      <c r="H19" s="21"/>
      <c r="J19" t="s">
        <v>19</v>
      </c>
      <c r="K19" s="8">
        <f>C30/C31</f>
        <v>6.8027210884353739E-3</v>
      </c>
      <c r="M19" t="s">
        <v>19</v>
      </c>
      <c r="N19" s="8">
        <f>G30/G31</f>
        <v>3.952569169960474E-3</v>
      </c>
    </row>
    <row r="20" spans="2:14" x14ac:dyDescent="0.3">
      <c r="B20" s="15" t="s">
        <v>3</v>
      </c>
      <c r="C20" s="15" t="s">
        <v>4</v>
      </c>
      <c r="D20" s="15" t="s">
        <v>5</v>
      </c>
      <c r="F20" s="15" t="s">
        <v>3</v>
      </c>
      <c r="G20" s="15" t="s">
        <v>4</v>
      </c>
      <c r="H20" s="15" t="s">
        <v>5</v>
      </c>
      <c r="K20" s="8"/>
      <c r="N20" s="8"/>
    </row>
    <row r="21" spans="2:14" ht="30" customHeight="1" x14ac:dyDescent="0.3">
      <c r="B21" s="4" t="s">
        <v>6</v>
      </c>
      <c r="C21" s="4">
        <v>281</v>
      </c>
      <c r="D21" s="5">
        <f>C21/C24</f>
        <v>0.95578231292517002</v>
      </c>
      <c r="F21" s="4" t="s">
        <v>6</v>
      </c>
      <c r="G21" s="4">
        <v>232</v>
      </c>
      <c r="H21" s="5">
        <f>G21/G24</f>
        <v>0.91699604743083007</v>
      </c>
    </row>
    <row r="22" spans="2:14" x14ac:dyDescent="0.3">
      <c r="B22" s="4" t="s">
        <v>7</v>
      </c>
      <c r="C22" s="4">
        <v>11</v>
      </c>
      <c r="D22" s="5">
        <f>C22/C24</f>
        <v>3.7414965986394558E-2</v>
      </c>
      <c r="F22" s="4" t="s">
        <v>7</v>
      </c>
      <c r="G22" s="4">
        <v>19</v>
      </c>
      <c r="H22" s="5">
        <f>G22/G24</f>
        <v>7.5098814229249009E-2</v>
      </c>
    </row>
    <row r="23" spans="2:14" ht="15.6" x14ac:dyDescent="0.3">
      <c r="B23" s="4" t="s">
        <v>8</v>
      </c>
      <c r="C23" s="4">
        <v>2</v>
      </c>
      <c r="D23" s="5">
        <f>C23/C24</f>
        <v>6.8027210884353739E-3</v>
      </c>
      <c r="F23" s="4" t="s">
        <v>8</v>
      </c>
      <c r="G23" s="4">
        <v>2</v>
      </c>
      <c r="H23" s="5">
        <f>G23/G24</f>
        <v>7.9051383399209481E-3</v>
      </c>
      <c r="K23" s="9" t="s">
        <v>18</v>
      </c>
      <c r="L23" s="9" t="s">
        <v>19</v>
      </c>
    </row>
    <row r="24" spans="2:14" ht="18" x14ac:dyDescent="0.35">
      <c r="B24" s="6" t="s">
        <v>28</v>
      </c>
      <c r="C24" s="6">
        <f>SUM(C21:C23)</f>
        <v>294</v>
      </c>
      <c r="D24" s="7">
        <f>SUM(D21:D23)</f>
        <v>1</v>
      </c>
      <c r="F24" s="6" t="s">
        <v>28</v>
      </c>
      <c r="G24" s="6">
        <f>SUM(G21:G23)</f>
        <v>253</v>
      </c>
      <c r="H24" s="7">
        <f>SUM(H21:H23)</f>
        <v>1</v>
      </c>
      <c r="J24" s="10" t="s">
        <v>0</v>
      </c>
      <c r="K24" s="11">
        <f>(K6+K10+K14+K18)/4</f>
        <v>0.99489795918367352</v>
      </c>
      <c r="L24" s="11">
        <f>(K7+K11+K15)/3</f>
        <v>4.5351473922902496E-3</v>
      </c>
    </row>
    <row r="25" spans="2:14" ht="18" x14ac:dyDescent="0.35">
      <c r="B25" s="16"/>
      <c r="C25" s="16"/>
      <c r="D25" s="17"/>
      <c r="F25" s="16"/>
      <c r="G25" s="16"/>
      <c r="H25" s="17"/>
      <c r="J25" s="10" t="s">
        <v>1</v>
      </c>
      <c r="K25" s="11">
        <f>(N6+N10+N14+N18)/4</f>
        <v>0.99110671936758898</v>
      </c>
      <c r="L25" s="11">
        <f>(N7+N11+N15)/3</f>
        <v>1.054018445322793E-2</v>
      </c>
    </row>
    <row r="26" spans="2:14" x14ac:dyDescent="0.3">
      <c r="B26" s="19" t="s">
        <v>47</v>
      </c>
      <c r="C26" s="20"/>
      <c r="D26" s="21"/>
      <c r="F26" s="19" t="s">
        <v>47</v>
      </c>
      <c r="G26" s="20"/>
      <c r="H26" s="21"/>
    </row>
    <row r="27" spans="2:14" x14ac:dyDescent="0.3">
      <c r="B27" s="15" t="s">
        <v>3</v>
      </c>
      <c r="C27" s="15" t="s">
        <v>4</v>
      </c>
      <c r="D27" s="15" t="s">
        <v>5</v>
      </c>
      <c r="F27" s="15" t="s">
        <v>3</v>
      </c>
      <c r="G27" s="15" t="s">
        <v>4</v>
      </c>
      <c r="H27" s="15" t="s">
        <v>5</v>
      </c>
    </row>
    <row r="28" spans="2:14" x14ac:dyDescent="0.3">
      <c r="B28" s="4" t="s">
        <v>6</v>
      </c>
      <c r="C28" s="4">
        <v>277</v>
      </c>
      <c r="D28" s="5">
        <f>C28/C31</f>
        <v>0.94217687074829937</v>
      </c>
      <c r="F28" s="4" t="s">
        <v>6</v>
      </c>
      <c r="G28" s="4">
        <v>220</v>
      </c>
      <c r="H28" s="5">
        <f>G28/G31</f>
        <v>0.86956521739130432</v>
      </c>
    </row>
    <row r="29" spans="2:14" ht="14.4" customHeight="1" x14ac:dyDescent="0.3">
      <c r="B29" s="4" t="s">
        <v>7</v>
      </c>
      <c r="C29" s="4">
        <v>15</v>
      </c>
      <c r="D29" s="5">
        <f>C29/C31</f>
        <v>5.1020408163265307E-2</v>
      </c>
      <c r="F29" s="4" t="s">
        <v>7</v>
      </c>
      <c r="G29" s="4">
        <v>32</v>
      </c>
      <c r="H29" s="5">
        <f>G29/G31</f>
        <v>0.12648221343873517</v>
      </c>
    </row>
    <row r="30" spans="2:14" x14ac:dyDescent="0.3">
      <c r="B30" s="4" t="s">
        <v>8</v>
      </c>
      <c r="C30" s="4">
        <v>2</v>
      </c>
      <c r="D30" s="5">
        <f>C30/C31</f>
        <v>6.8027210884353739E-3</v>
      </c>
      <c r="F30" s="4" t="s">
        <v>8</v>
      </c>
      <c r="G30" s="4">
        <v>1</v>
      </c>
      <c r="H30" s="5">
        <f>G30/G31</f>
        <v>3.952569169960474E-3</v>
      </c>
    </row>
    <row r="31" spans="2:14" x14ac:dyDescent="0.3">
      <c r="B31" s="6" t="s">
        <v>28</v>
      </c>
      <c r="C31" s="6">
        <f>SUM(C28:C30)</f>
        <v>294</v>
      </c>
      <c r="D31" s="7">
        <f>SUM(D28:D30)</f>
        <v>1</v>
      </c>
      <c r="F31" s="6" t="s">
        <v>28</v>
      </c>
      <c r="G31" s="6">
        <f>SUM(G28:G30)</f>
        <v>253</v>
      </c>
      <c r="H31" s="7">
        <f>SUM(H28:H30)</f>
        <v>1</v>
      </c>
    </row>
    <row r="32" spans="2:14" x14ac:dyDescent="0.3">
      <c r="B32" s="16"/>
      <c r="C32" s="16"/>
      <c r="D32" s="17"/>
      <c r="F32" s="16"/>
      <c r="G32" s="16"/>
      <c r="H32" s="17"/>
    </row>
    <row r="33" spans="2:8" ht="14.4" customHeight="1" x14ac:dyDescent="0.3">
      <c r="B33" s="16"/>
      <c r="C33" s="16"/>
      <c r="D33" s="17"/>
      <c r="F33" s="16"/>
      <c r="G33" s="16"/>
      <c r="H33" s="17"/>
    </row>
    <row r="37" spans="2:8" ht="14.4" customHeight="1" x14ac:dyDescent="0.3"/>
  </sheetData>
  <mergeCells count="10">
    <mergeCell ref="B19:D19"/>
    <mergeCell ref="F19:H19"/>
    <mergeCell ref="B26:D26"/>
    <mergeCell ref="F26:H26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zoomScale="70" zoomScaleNormal="70" workbookViewId="0">
      <selection activeCell="F28" sqref="F28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29.25" customHeight="1" x14ac:dyDescent="0.3">
      <c r="B5" s="19" t="s">
        <v>37</v>
      </c>
      <c r="C5" s="20"/>
      <c r="D5" s="21"/>
      <c r="F5" s="19" t="s">
        <v>37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38</v>
      </c>
      <c r="C7" s="4">
        <v>0</v>
      </c>
      <c r="D7" s="5">
        <f>C7/C12</f>
        <v>0</v>
      </c>
      <c r="F7" s="4" t="s">
        <v>38</v>
      </c>
      <c r="G7" s="4">
        <v>0</v>
      </c>
      <c r="H7" s="5">
        <f>G7/G12</f>
        <v>0</v>
      </c>
    </row>
    <row r="8" spans="2:8" x14ac:dyDescent="0.3">
      <c r="B8" s="4" t="s">
        <v>39</v>
      </c>
      <c r="C8" s="4">
        <v>0</v>
      </c>
      <c r="D8" s="5">
        <f>C8/C12</f>
        <v>0</v>
      </c>
      <c r="F8" s="4" t="s">
        <v>39</v>
      </c>
      <c r="G8" s="4">
        <v>1</v>
      </c>
      <c r="H8" s="5">
        <f>G8/G12</f>
        <v>6.3291139240506328E-3</v>
      </c>
    </row>
    <row r="9" spans="2:8" x14ac:dyDescent="0.3">
      <c r="B9" s="4" t="s">
        <v>40</v>
      </c>
      <c r="C9" s="4">
        <v>0</v>
      </c>
      <c r="D9" s="5">
        <f>C9/C12</f>
        <v>0</v>
      </c>
      <c r="F9" s="4" t="s">
        <v>40</v>
      </c>
      <c r="G9" s="4">
        <v>0</v>
      </c>
      <c r="H9" s="5">
        <f>G9/G12</f>
        <v>0</v>
      </c>
    </row>
    <row r="10" spans="2:8" x14ac:dyDescent="0.3">
      <c r="B10" s="4" t="s">
        <v>41</v>
      </c>
      <c r="C10" s="4">
        <v>23</v>
      </c>
      <c r="D10" s="5">
        <f>C10/C12</f>
        <v>0.1619718309859155</v>
      </c>
      <c r="F10" s="4" t="s">
        <v>41</v>
      </c>
      <c r="G10" s="4">
        <v>95</v>
      </c>
      <c r="H10" s="5">
        <f>G10/G12</f>
        <v>0.60126582278481011</v>
      </c>
    </row>
    <row r="11" spans="2:8" x14ac:dyDescent="0.3">
      <c r="B11" s="4" t="s">
        <v>42</v>
      </c>
      <c r="C11" s="4">
        <v>119</v>
      </c>
      <c r="D11" s="5">
        <f>C11/C12</f>
        <v>0.8380281690140845</v>
      </c>
      <c r="F11" s="4" t="s">
        <v>42</v>
      </c>
      <c r="G11" s="4">
        <v>62</v>
      </c>
      <c r="H11" s="5">
        <f>G11/G12</f>
        <v>0.39240506329113922</v>
      </c>
    </row>
    <row r="12" spans="2:8" x14ac:dyDescent="0.3">
      <c r="B12" s="6" t="s">
        <v>28</v>
      </c>
      <c r="C12" s="6">
        <f>SUM(C7:C11)</f>
        <v>142</v>
      </c>
      <c r="D12" s="7">
        <f>SUM(D7:D11)</f>
        <v>1</v>
      </c>
      <c r="F12" s="6" t="s">
        <v>28</v>
      </c>
      <c r="G12" s="6">
        <f>SUM(G7:G11)</f>
        <v>158</v>
      </c>
      <c r="H12" s="7">
        <f>SUM(H7:H11)</f>
        <v>1</v>
      </c>
    </row>
    <row r="14" spans="2:8" x14ac:dyDescent="0.3">
      <c r="C14" t="s">
        <v>15</v>
      </c>
      <c r="G14" t="s">
        <v>15</v>
      </c>
    </row>
    <row r="15" spans="2:8" x14ac:dyDescent="0.3">
      <c r="B15" t="s">
        <v>18</v>
      </c>
      <c r="C15" s="8">
        <f>(C10+C11)/C12</f>
        <v>1</v>
      </c>
      <c r="F15" t="s">
        <v>18</v>
      </c>
      <c r="G15" s="8">
        <f>(G10+G11)/G12</f>
        <v>0.99367088607594933</v>
      </c>
    </row>
    <row r="16" spans="2:8" x14ac:dyDescent="0.3">
      <c r="B16" t="s">
        <v>19</v>
      </c>
      <c r="C16" s="8">
        <f>(C7+C8+C9)/C12</f>
        <v>0</v>
      </c>
      <c r="F16" t="s">
        <v>19</v>
      </c>
      <c r="G16" s="8">
        <f>(G7+G8+G9)/G12</f>
        <v>6.3291139240506328E-3</v>
      </c>
    </row>
    <row r="19" spans="2:4" ht="15.6" x14ac:dyDescent="0.3">
      <c r="C19" s="9" t="s">
        <v>18</v>
      </c>
      <c r="D19" s="9" t="s">
        <v>19</v>
      </c>
    </row>
    <row r="20" spans="2:4" ht="18" x14ac:dyDescent="0.35">
      <c r="B20" s="10" t="s">
        <v>0</v>
      </c>
      <c r="C20" s="11">
        <f>C15</f>
        <v>1</v>
      </c>
      <c r="D20" s="11">
        <f>C16</f>
        <v>0</v>
      </c>
    </row>
    <row r="21" spans="2:4" ht="18" x14ac:dyDescent="0.35">
      <c r="B21" s="10" t="s">
        <v>1</v>
      </c>
      <c r="C21" s="11">
        <f>G15</f>
        <v>0.99367088607594933</v>
      </c>
      <c r="D21" s="11">
        <f>G16</f>
        <v>6.3291139240506328E-3</v>
      </c>
    </row>
  </sheetData>
  <mergeCells count="4"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2024-10-04T00:48:59Z</dcterms:modified>
</cp:coreProperties>
</file>