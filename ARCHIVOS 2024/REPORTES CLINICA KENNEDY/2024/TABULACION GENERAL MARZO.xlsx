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REPORTES CK\2024\MARZO\"/>
    </mc:Choice>
  </mc:AlternateContent>
  <bookViews>
    <workbookView xWindow="0" yWindow="0" windowWidth="17256" windowHeight="5772"/>
  </bookViews>
  <sheets>
    <sheet name="ADMISION" sheetId="2" r:id="rId1"/>
    <sheet name="LABORATORIO" sheetId="3" r:id="rId2"/>
    <sheet name="CMF" sheetId="4" r:id="rId3"/>
    <sheet name="CDI" sheetId="5" r:id="rId4"/>
    <sheet name="SAP" sheetId="6" r:id="rId5"/>
    <sheet name="CAJA" sheetId="7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7" i="5" l="1"/>
  <c r="L10" i="5"/>
  <c r="H17" i="5"/>
  <c r="H10" i="5"/>
  <c r="D10" i="5"/>
  <c r="D17" i="5"/>
  <c r="G23" i="3" l="1"/>
  <c r="C12" i="7" l="1"/>
  <c r="C10" i="5" l="1"/>
  <c r="C22" i="5" s="1"/>
  <c r="G17" i="3" l="1"/>
  <c r="G31" i="3" s="1"/>
  <c r="G10" i="3"/>
  <c r="G27" i="3" s="1"/>
  <c r="C23" i="3"/>
  <c r="C17" i="3"/>
  <c r="C31" i="3" s="1"/>
  <c r="C10" i="3"/>
  <c r="C27" i="3" s="1"/>
  <c r="K17" i="2" l="1"/>
  <c r="K10" i="2"/>
  <c r="K22" i="2" s="1"/>
  <c r="G17" i="2"/>
  <c r="G10" i="2"/>
  <c r="G22" i="2" s="1"/>
  <c r="C17" i="2"/>
  <c r="C10" i="2"/>
  <c r="C22" i="2" s="1"/>
  <c r="C21" i="2" l="1"/>
  <c r="C25" i="2" s="1"/>
  <c r="K12" i="7" l="1"/>
  <c r="G12" i="7"/>
  <c r="G16" i="4" l="1"/>
  <c r="O12" i="4" s="1"/>
  <c r="K16" i="7" l="1"/>
  <c r="K15" i="7"/>
  <c r="G16" i="7"/>
  <c r="G15" i="7"/>
  <c r="C16" i="7"/>
  <c r="C15" i="7"/>
  <c r="O11" i="4"/>
  <c r="G30" i="3"/>
  <c r="G26" i="3"/>
  <c r="C30" i="3"/>
  <c r="C26" i="3"/>
  <c r="K21" i="2"/>
  <c r="G21" i="2"/>
  <c r="K27" i="6" l="1"/>
  <c r="K19" i="6"/>
  <c r="K11" i="6"/>
  <c r="G27" i="6"/>
  <c r="G19" i="6"/>
  <c r="G11" i="6"/>
  <c r="C27" i="6"/>
  <c r="C19" i="6"/>
  <c r="C11" i="6"/>
  <c r="K40" i="6" l="1"/>
  <c r="K39" i="6"/>
  <c r="K36" i="6"/>
  <c r="K35" i="6"/>
  <c r="K32" i="6"/>
  <c r="K31" i="6"/>
  <c r="G40" i="6"/>
  <c r="G39" i="6"/>
  <c r="G35" i="6"/>
  <c r="G36" i="6"/>
  <c r="G32" i="6"/>
  <c r="G31" i="6"/>
  <c r="C40" i="6"/>
  <c r="C39" i="6"/>
  <c r="C36" i="6"/>
  <c r="C35" i="6"/>
  <c r="C32" i="6"/>
  <c r="C31" i="6"/>
  <c r="K17" i="5"/>
  <c r="K26" i="5" s="1"/>
  <c r="K10" i="5"/>
  <c r="K22" i="5" s="1"/>
  <c r="G17" i="5"/>
  <c r="G26" i="5" s="1"/>
  <c r="G10" i="5"/>
  <c r="G22" i="5" s="1"/>
  <c r="C17" i="5"/>
  <c r="C26" i="5" s="1"/>
  <c r="K25" i="5" l="1"/>
  <c r="K21" i="5"/>
  <c r="G25" i="5"/>
  <c r="G21" i="5"/>
  <c r="C25" i="5"/>
  <c r="C21" i="5"/>
  <c r="G23" i="4"/>
  <c r="O16" i="4" s="1"/>
  <c r="G9" i="4"/>
  <c r="C23" i="4"/>
  <c r="K16" i="4" s="1"/>
  <c r="C16" i="4"/>
  <c r="K12" i="4" s="1"/>
  <c r="C9" i="4"/>
  <c r="O15" i="4" l="1"/>
  <c r="O8" i="4"/>
  <c r="O7" i="4"/>
  <c r="K15" i="4"/>
  <c r="K11" i="4"/>
  <c r="K8" i="4"/>
  <c r="K7" i="4"/>
  <c r="C21" i="7"/>
  <c r="D22" i="7"/>
  <c r="D21" i="7"/>
  <c r="D20" i="7"/>
  <c r="C22" i="7"/>
  <c r="C20" i="7"/>
  <c r="D47" i="6"/>
  <c r="D45" i="6"/>
  <c r="C46" i="6"/>
  <c r="D32" i="5"/>
  <c r="C34" i="5"/>
  <c r="C32" i="5"/>
  <c r="D36" i="3"/>
  <c r="D35" i="3"/>
  <c r="C36" i="3"/>
  <c r="C35" i="3"/>
  <c r="D27" i="2"/>
  <c r="D26" i="2"/>
  <c r="D25" i="2"/>
  <c r="C27" i="2"/>
  <c r="C26" i="2"/>
  <c r="K20" i="4" l="1"/>
  <c r="L20" i="4"/>
  <c r="K21" i="4"/>
  <c r="L21" i="4"/>
  <c r="C47" i="6"/>
  <c r="D46" i="6"/>
  <c r="C45" i="6"/>
  <c r="D34" i="5"/>
  <c r="D33" i="5"/>
  <c r="C33" i="5"/>
</calcChain>
</file>

<file path=xl/sharedStrings.xml><?xml version="1.0" encoding="utf-8"?>
<sst xmlns="http://schemas.openxmlformats.org/spreadsheetml/2006/main" count="436" uniqueCount="45">
  <si>
    <t>ALBORADA</t>
  </si>
  <si>
    <t>KENNEDY</t>
  </si>
  <si>
    <t>SAMBORONDON</t>
  </si>
  <si>
    <t>4. La calidad de atención recibida durante la Admisión fue</t>
  </si>
  <si>
    <t>VARIABLES</t>
  </si>
  <si>
    <t>DATOS MASS</t>
  </si>
  <si>
    <t>%</t>
  </si>
  <si>
    <t>Excelente</t>
  </si>
  <si>
    <t>Normal</t>
  </si>
  <si>
    <t>Deficiente</t>
  </si>
  <si>
    <t>N/A</t>
  </si>
  <si>
    <t>TOTAL</t>
  </si>
  <si>
    <t>5. El tiempo (en minutos) que tuvo que esperar para que se le asigne habitación fue:</t>
  </si>
  <si>
    <t>Menos 30 min</t>
  </si>
  <si>
    <t>De 30 a 60 min</t>
  </si>
  <si>
    <t>Más de 60 min</t>
  </si>
  <si>
    <t>P1</t>
  </si>
  <si>
    <t>P2</t>
  </si>
  <si>
    <t>P3</t>
  </si>
  <si>
    <t>SATISFACCION</t>
  </si>
  <si>
    <t>INSATISFACCION</t>
  </si>
  <si>
    <t>4. La calidad de atención recibida por parte del Personal de Servicios al cliente al proporcionar información para la realización de (los) exámen (es) fue:</t>
  </si>
  <si>
    <t>5. El calidad de atención recibida del Personal de Laboratorio al momento de tomar la muestra fue:</t>
  </si>
  <si>
    <t>6. El tiempo de atención por parte del Personal de Laboratorio fue realizado en menos de 20 minutos</t>
  </si>
  <si>
    <t>SI</t>
  </si>
  <si>
    <t>NO</t>
  </si>
  <si>
    <t>3. Califique el tiempo de espera transcurrido desde que llegó a nuestras instalaciones hasta recibir la consulta médica</t>
  </si>
  <si>
    <t xml:space="preserve">Tiempo Adecuado (15 min) </t>
  </si>
  <si>
    <t>Fuera de tiempo ( Más de 20 min)</t>
  </si>
  <si>
    <t>Total</t>
  </si>
  <si>
    <t>P4</t>
  </si>
  <si>
    <t>P5</t>
  </si>
  <si>
    <t>VARIABLE</t>
  </si>
  <si>
    <t>3. Cómo califica la atención del personal clínico que le realizó el examen?</t>
  </si>
  <si>
    <t>4. ¿Cómo califica la atención del personal de Servicio al cliente?</t>
  </si>
  <si>
    <t>5. Califique la calidad de los servicios de imágenes - CDI</t>
  </si>
  <si>
    <t>6. Califique la calidad de los servicios de Laboratorio</t>
  </si>
  <si>
    <t>7. Como calificaría la limpieza de la habitación</t>
  </si>
  <si>
    <t>3. Califique su experiencia en el área de caja, ( del 1 al 5, donde el 1 es malo y 5 excelente)</t>
  </si>
  <si>
    <t>CALIFICACION 1</t>
  </si>
  <si>
    <t>CALIFICACION 2</t>
  </si>
  <si>
    <t>CALIFICACION 3</t>
  </si>
  <si>
    <t>CALIFICACION 4</t>
  </si>
  <si>
    <t>CALIFICACION 5</t>
  </si>
  <si>
    <t>4. Califique la Calidad de atención recibida en el area de Caja en la Consulta Externa.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</si>
</sst>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0" fontId="2" fillId="0" borderId="1" xfId="0" applyFont="1" applyBorder="1"/>
    <xf numFmtId="9" fontId="2" fillId="0" borderId="1" xfId="0" applyNumberFormat="1" applyFont="1" applyBorder="1"/>
    <xf numFmtId="9" fontId="0" fillId="0" borderId="0" xfId="1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9" fontId="6" fillId="0" borderId="1" xfId="1" applyFont="1" applyBorder="1"/>
    <xf numFmtId="0" fontId="5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9" fontId="0" fillId="0" borderId="1" xfId="1" applyFont="1" applyBorder="1"/>
    <xf numFmtId="0" fontId="2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3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ADMISION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ADMISION!$C$24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ADMISION!$B$25:$B$27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ADMISION!$C$25:$C$27</c:f>
              <c:numCache>
                <c:formatCode>0%</c:formatCode>
                <c:ptCount val="3"/>
                <c:pt idx="0">
                  <c:v>0.99435028248587576</c:v>
                </c:pt>
                <c:pt idx="1">
                  <c:v>1</c:v>
                </c:pt>
                <c:pt idx="2">
                  <c:v>0.98148148148148151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C-425B-A5A3-E9E712698265}"/>
            </c:ext>
          </c:extLst>
        </c:ser>
        <c:ser>
          <c:idx val="1"/>
          <c:order val="1"/>
          <c:tx>
            <c:strRef>
              <c:f>ADMISION!$D$24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ADMISION!$B$25:$B$27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ADMISION!$D$25:$D$27</c:f>
              <c:numCache>
                <c:formatCode>0%</c:formatCode>
                <c:ptCount val="3"/>
                <c:pt idx="0">
                  <c:v>5.6497175141242938E-3</c:v>
                </c:pt>
                <c:pt idx="1">
                  <c:v>0</c:v>
                </c:pt>
                <c:pt idx="2">
                  <c:v>1.8518518518518517E-2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FC-425B-A5A3-E9E7126982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15968"/>
        <c:axId val="724240096"/>
      </c:barChart>
      <c:catAx>
        <c:axId val="72421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40096"/>
        <c:crosses val="autoZero"/>
        <c:auto val="1"/>
        <c:lblAlgn val="ctr"/>
        <c:lblOffset val="100"/>
        <c:noMultiLvlLbl val="0"/>
      </c:catAx>
      <c:valAx>
        <c:axId val="7242400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LABORATORIO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LABORATORIO!$C$34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LABORATORIO!$B$35:$B$36</c:f>
              <c:strCache>
                <c:ptCount val="2"/>
                <c:pt idx="0">
                  <c:v>ALBORADA</c:v>
                </c:pt>
                <c:pt idx="1">
                  <c:v>SAMBORONDON</c:v>
                </c:pt>
              </c:strCache>
            </c:strRef>
          </c:cat>
          <c:val>
            <c:numRef>
              <c:f>LABORATORIO!$C$35:$C$36</c:f>
              <c:numCache>
                <c:formatCode>0%</c:formatCode>
                <c:ptCount val="2"/>
                <c:pt idx="0">
                  <c:v>0.99339207048458156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E-4722-ADDE-D39CABDD8CF4}"/>
            </c:ext>
          </c:extLst>
        </c:ser>
        <c:ser>
          <c:idx val="1"/>
          <c:order val="1"/>
          <c:tx>
            <c:strRef>
              <c:f>LABORATORIO!$D$34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LABORATORIO!$B$35:$B$36</c:f>
              <c:strCache>
                <c:ptCount val="2"/>
                <c:pt idx="0">
                  <c:v>ALBORADA</c:v>
                </c:pt>
                <c:pt idx="1">
                  <c:v>SAMBORONDON</c:v>
                </c:pt>
              </c:strCache>
            </c:strRef>
          </c:cat>
          <c:val>
            <c:numRef>
              <c:f>LABORATORIO!$D$35:$D$36</c:f>
              <c:numCache>
                <c:formatCode>0%</c:formatCode>
                <c:ptCount val="2"/>
                <c:pt idx="0">
                  <c:v>6.6079295154185024E-3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E-4722-ADDE-D39CABDD8C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25120"/>
        <c:axId val="724238848"/>
      </c:barChart>
      <c:catAx>
        <c:axId val="7242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8848"/>
        <c:crosses val="autoZero"/>
        <c:auto val="1"/>
        <c:lblAlgn val="ctr"/>
        <c:lblOffset val="100"/>
        <c:noMultiLvlLbl val="0"/>
      </c:catAx>
      <c:valAx>
        <c:axId val="7242388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CMF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CMF!$K$19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CMF!$J$20:$J$21</c:f>
              <c:strCache>
                <c:ptCount val="2"/>
                <c:pt idx="0">
                  <c:v>ALBORADA</c:v>
                </c:pt>
                <c:pt idx="1">
                  <c:v>KENNEDY</c:v>
                </c:pt>
              </c:strCache>
            </c:strRef>
          </c:cat>
          <c:val>
            <c:numRef>
              <c:f>CMF!$K$20:$K$21</c:f>
              <c:numCache>
                <c:formatCode>0%</c:formatCode>
                <c:ptCount val="2"/>
                <c:pt idx="0">
                  <c:v>0.92204301075268813</c:v>
                </c:pt>
                <c:pt idx="1">
                  <c:v>0.98181818181818181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B-4C5A-93EA-2F4DB0EF3BC3}"/>
            </c:ext>
          </c:extLst>
        </c:ser>
        <c:ser>
          <c:idx val="1"/>
          <c:order val="1"/>
          <c:tx>
            <c:strRef>
              <c:f>CMF!$L$19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CMF!$J$20:$J$21</c:f>
              <c:strCache>
                <c:ptCount val="2"/>
                <c:pt idx="0">
                  <c:v>ALBORADA</c:v>
                </c:pt>
                <c:pt idx="1">
                  <c:v>KENNEDY</c:v>
                </c:pt>
              </c:strCache>
            </c:strRef>
          </c:cat>
          <c:val>
            <c:numRef>
              <c:f>CMF!$L$20:$L$21</c:f>
              <c:numCache>
                <c:formatCode>0%</c:formatCode>
                <c:ptCount val="2"/>
                <c:pt idx="0">
                  <c:v>7.7956989247311828E-2</c:v>
                </c:pt>
                <c:pt idx="1">
                  <c:v>1.8181818181818181E-2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0B-4C5A-93EA-2F4DB0EF3B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25120"/>
        <c:axId val="724238848"/>
      </c:barChart>
      <c:catAx>
        <c:axId val="7242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8848"/>
        <c:crosses val="autoZero"/>
        <c:auto val="1"/>
        <c:lblAlgn val="ctr"/>
        <c:lblOffset val="100"/>
        <c:noMultiLvlLbl val="0"/>
      </c:catAx>
      <c:valAx>
        <c:axId val="7242388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CDI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CDI!$C$31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CDI!$B$32:$B$34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CDI!$C$32:$C$34</c:f>
              <c:numCache>
                <c:formatCode>0%</c:formatCode>
                <c:ptCount val="3"/>
                <c:pt idx="0">
                  <c:v>0.98626373626373631</c:v>
                </c:pt>
                <c:pt idx="1">
                  <c:v>0.99115044247787609</c:v>
                </c:pt>
                <c:pt idx="2">
                  <c:v>0.9916666666666667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B-4EEA-9E36-C16544639BA3}"/>
            </c:ext>
          </c:extLst>
        </c:ser>
        <c:ser>
          <c:idx val="1"/>
          <c:order val="1"/>
          <c:tx>
            <c:strRef>
              <c:f>CDI!$D$31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CDI!$B$32:$B$34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CDI!$D$32:$D$34</c:f>
              <c:numCache>
                <c:formatCode>0%</c:formatCode>
                <c:ptCount val="3"/>
                <c:pt idx="0">
                  <c:v>1.3736263736263736E-2</c:v>
                </c:pt>
                <c:pt idx="1">
                  <c:v>8.8495575221238937E-3</c:v>
                </c:pt>
                <c:pt idx="2">
                  <c:v>8.3333333333333332E-3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1B-4EEA-9E36-C16544639B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33856"/>
        <c:axId val="724235520"/>
      </c:barChart>
      <c:catAx>
        <c:axId val="72423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5520"/>
        <c:crosses val="autoZero"/>
        <c:auto val="1"/>
        <c:lblAlgn val="ctr"/>
        <c:lblOffset val="100"/>
        <c:noMultiLvlLbl val="0"/>
      </c:catAx>
      <c:valAx>
        <c:axId val="7242355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3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SERVICIO AL PACIENTE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SAP!$C$44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SAP!$B$45:$B$47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SAP!$C$45:$C$47</c:f>
              <c:numCache>
                <c:formatCode>0%</c:formatCode>
                <c:ptCount val="3"/>
                <c:pt idx="0">
                  <c:v>0.83064516129032262</c:v>
                </c:pt>
                <c:pt idx="1">
                  <c:v>0.75429553264604809</c:v>
                </c:pt>
                <c:pt idx="2">
                  <c:v>0.8306878306878307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F-4A36-BE19-353D5B4B8B26}"/>
            </c:ext>
          </c:extLst>
        </c:ser>
        <c:ser>
          <c:idx val="1"/>
          <c:order val="1"/>
          <c:tx>
            <c:strRef>
              <c:f>SAP!$D$44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SAP!$B$45:$B$47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SAP!$D$45:$D$47</c:f>
              <c:numCache>
                <c:formatCode>0%</c:formatCode>
                <c:ptCount val="3"/>
                <c:pt idx="0">
                  <c:v>0.16935483870967741</c:v>
                </c:pt>
                <c:pt idx="1">
                  <c:v>0.24570446735395191</c:v>
                </c:pt>
                <c:pt idx="2">
                  <c:v>0.1693121693121693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0F-4A36-BE19-353D5B4B8B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64496"/>
        <c:axId val="717470736"/>
      </c:barChart>
      <c:catAx>
        <c:axId val="71746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0736"/>
        <c:crosses val="autoZero"/>
        <c:auto val="1"/>
        <c:lblAlgn val="ctr"/>
        <c:lblOffset val="100"/>
        <c:noMultiLvlLbl val="0"/>
      </c:catAx>
      <c:valAx>
        <c:axId val="7174707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6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CAJA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CAJA!$C$19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CAJA!$B$20:$B$22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CAJA!$C$20:$C$22</c:f>
              <c:numCache>
                <c:formatCode>0%</c:formatCode>
                <c:ptCount val="3"/>
                <c:pt idx="0">
                  <c:v>0.9453125</c:v>
                </c:pt>
                <c:pt idx="1">
                  <c:v>0.95876288659793818</c:v>
                </c:pt>
                <c:pt idx="2">
                  <c:v>0.96216216216216222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A-4587-8D28-EA7158FE83A0}"/>
            </c:ext>
          </c:extLst>
        </c:ser>
        <c:ser>
          <c:idx val="1"/>
          <c:order val="1"/>
          <c:tx>
            <c:strRef>
              <c:f>CAJA!$D$19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CAJA!$B$20:$B$22</c:f>
              <c:strCache>
                <c:ptCount val="3"/>
                <c:pt idx="0">
                  <c:v>ALBORADA</c:v>
                </c:pt>
                <c:pt idx="1">
                  <c:v>KENNEDY</c:v>
                </c:pt>
                <c:pt idx="2">
                  <c:v>SAMBORONDON</c:v>
                </c:pt>
              </c:strCache>
            </c:strRef>
          </c:cat>
          <c:val>
            <c:numRef>
              <c:f>CAJA!$D$20:$D$22</c:f>
              <c:numCache>
                <c:formatCode>0%</c:formatCode>
                <c:ptCount val="3"/>
                <c:pt idx="0">
                  <c:v>5.46875E-2</c:v>
                </c:pt>
                <c:pt idx="1">
                  <c:v>4.1237113402061855E-2</c:v>
                </c:pt>
                <c:pt idx="2">
                  <c:v>3.783783783783784E-2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A-4587-8D28-EA7158FE83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73648"/>
        <c:axId val="717474480"/>
      </c:barChart>
      <c:catAx>
        <c:axId val="71747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4480"/>
        <c:crosses val="autoZero"/>
        <c:auto val="1"/>
        <c:lblAlgn val="ctr"/>
        <c:lblOffset val="100"/>
        <c:noMultiLvlLbl val="0"/>
      </c:catAx>
      <c:valAx>
        <c:axId val="7174744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7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183694</xdr:colOff>
      <xdr:row>25</xdr:row>
      <xdr:rowOff>2721</xdr:rowOff>
    </xdr:from>
    <xdr:to>
      <xdr:col>10</xdr:col>
      <xdr:colOff>476250</xdr:colOff>
      <xdr:row>48</xdr:row>
      <xdr:rowOff>122465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D9A57C-0E09-4B51-BC82-47077BF04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306160</xdr:colOff>
      <xdr:row>34</xdr:row>
      <xdr:rowOff>152399</xdr:rowOff>
    </xdr:from>
    <xdr:to>
      <xdr:col>9</xdr:col>
      <xdr:colOff>734786</xdr:colOff>
      <xdr:row>58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B4DFD2-2805-49F1-A67A-B069CCD05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22</xdr:row>
      <xdr:rowOff>0</xdr:rowOff>
    </xdr:from>
    <xdr:to>
      <xdr:col>14</xdr:col>
      <xdr:colOff>659948</xdr:colOff>
      <xdr:row>43</xdr:row>
      <xdr:rowOff>92530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A991CE-A2DC-46AD-A277-DA14AF8A3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31</xdr:row>
      <xdr:rowOff>179613</xdr:rowOff>
    </xdr:from>
    <xdr:to>
      <xdr:col>10</xdr:col>
      <xdr:colOff>612321</xdr:colOff>
      <xdr:row>55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272632-72F1-4831-A736-3FA6D2985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292552</xdr:colOff>
      <xdr:row>43</xdr:row>
      <xdr:rowOff>2721</xdr:rowOff>
    </xdr:from>
    <xdr:to>
      <xdr:col>11</xdr:col>
      <xdr:colOff>54428</xdr:colOff>
      <xdr:row>67</xdr:row>
      <xdr:rowOff>149679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9EBAB0-1D96-41F4-91B6-30F06476F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319766</xdr:colOff>
      <xdr:row>18</xdr:row>
      <xdr:rowOff>2720</xdr:rowOff>
    </xdr:from>
    <xdr:to>
      <xdr:col>10</xdr:col>
      <xdr:colOff>1251856</xdr:colOff>
      <xdr:row>38</xdr:row>
      <xdr:rowOff>176893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901EC0-FF64-43DF-88CD-7DB2829F2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7"/>
  <sheetViews>
    <sheetView tabSelected="1" zoomScale="70" zoomScaleNormal="70" workbookViewId="0">
      <selection activeCell="K14" sqref="K14:L16"/>
    </sheetView>
  </sheetViews>
  <sheetFormatPr baseColWidth="10" defaultRowHeight="14.4" x14ac:dyDescent="0.3"/>
  <cols>
    <col min="2" max="2" width="20.33203125" customWidth="1"/>
    <col min="3" max="3" width="21.109375" customWidth="1"/>
    <col min="4" max="4" width="17.88671875" customWidth="1"/>
    <col min="5" max="5" width="12.6640625" customWidth="1"/>
    <col min="6" max="6" width="15.33203125" customWidth="1"/>
    <col min="7" max="7" width="19.109375" customWidth="1"/>
    <col min="8" max="8" width="21.109375" customWidth="1"/>
    <col min="9" max="9" width="13.33203125" customWidth="1"/>
    <col min="10" max="10" width="14.5546875" customWidth="1"/>
    <col min="11" max="11" width="22.5546875" customWidth="1"/>
    <col min="12" max="12" width="17.109375" customWidth="1"/>
    <col min="13" max="13" width="16.109375" customWidth="1"/>
  </cols>
  <sheetData>
    <row r="2" spans="2:14" ht="15" customHeight="1" x14ac:dyDescent="0.6">
      <c r="B2" s="21" t="s">
        <v>0</v>
      </c>
      <c r="C2" s="21"/>
      <c r="D2" s="21"/>
      <c r="E2" s="1"/>
      <c r="F2" s="21" t="s">
        <v>1</v>
      </c>
      <c r="G2" s="21"/>
      <c r="H2" s="21"/>
      <c r="I2" s="1"/>
      <c r="J2" s="21" t="s">
        <v>2</v>
      </c>
      <c r="K2" s="21"/>
      <c r="L2" s="21"/>
      <c r="M2" s="1"/>
      <c r="N2" s="1"/>
    </row>
    <row r="3" spans="2:14" ht="15" customHeight="1" x14ac:dyDescent="0.6">
      <c r="B3" s="21"/>
      <c r="C3" s="21"/>
      <c r="D3" s="21"/>
      <c r="E3" s="1"/>
      <c r="F3" s="21"/>
      <c r="G3" s="21"/>
      <c r="H3" s="21"/>
      <c r="I3" s="1"/>
      <c r="J3" s="21"/>
      <c r="K3" s="21"/>
      <c r="L3" s="21"/>
      <c r="M3" s="1"/>
      <c r="N3" s="1"/>
    </row>
    <row r="5" spans="2:14" ht="30.75" customHeight="1" x14ac:dyDescent="0.3">
      <c r="B5" s="17" t="s">
        <v>3</v>
      </c>
      <c r="C5" s="17"/>
      <c r="D5" s="17"/>
      <c r="E5" s="2"/>
      <c r="F5" s="17" t="s">
        <v>3</v>
      </c>
      <c r="G5" s="17"/>
      <c r="H5" s="17"/>
      <c r="I5" s="2"/>
      <c r="J5" s="17" t="s">
        <v>3</v>
      </c>
      <c r="K5" s="17"/>
      <c r="L5" s="17"/>
      <c r="M5" s="2"/>
      <c r="N5" s="2"/>
    </row>
    <row r="6" spans="2:14" x14ac:dyDescent="0.3">
      <c r="B6" s="3" t="s">
        <v>4</v>
      </c>
      <c r="C6" s="3" t="s">
        <v>5</v>
      </c>
      <c r="D6" s="3" t="s">
        <v>6</v>
      </c>
      <c r="F6" s="3" t="s">
        <v>4</v>
      </c>
      <c r="G6" s="3" t="s">
        <v>5</v>
      </c>
      <c r="H6" s="3" t="s">
        <v>6</v>
      </c>
      <c r="J6" s="3" t="s">
        <v>4</v>
      </c>
      <c r="K6" s="3" t="s">
        <v>5</v>
      </c>
      <c r="L6" s="3" t="s">
        <v>6</v>
      </c>
    </row>
    <row r="7" spans="2:14" x14ac:dyDescent="0.3">
      <c r="B7" s="4" t="s">
        <v>7</v>
      </c>
      <c r="C7" s="4">
        <v>156</v>
      </c>
      <c r="D7" s="5">
        <v>0.88135593220338981</v>
      </c>
      <c r="F7" s="4" t="s">
        <v>7</v>
      </c>
      <c r="G7" s="4">
        <v>178</v>
      </c>
      <c r="H7" s="5">
        <v>0.93193717277486909</v>
      </c>
      <c r="J7" s="4" t="s">
        <v>7</v>
      </c>
      <c r="K7" s="4">
        <v>150</v>
      </c>
      <c r="L7" s="5">
        <v>0.92592592592592593</v>
      </c>
    </row>
    <row r="8" spans="2:14" x14ac:dyDescent="0.3">
      <c r="B8" s="4" t="s">
        <v>8</v>
      </c>
      <c r="C8" s="4">
        <v>20</v>
      </c>
      <c r="D8" s="5">
        <v>0.11299435028248588</v>
      </c>
      <c r="F8" s="4" t="s">
        <v>8</v>
      </c>
      <c r="G8" s="4">
        <v>13</v>
      </c>
      <c r="H8" s="5">
        <v>6.8062827225130892E-2</v>
      </c>
      <c r="J8" s="4" t="s">
        <v>8</v>
      </c>
      <c r="K8" s="4">
        <v>9</v>
      </c>
      <c r="L8" s="5">
        <v>5.5555555555555552E-2</v>
      </c>
    </row>
    <row r="9" spans="2:14" x14ac:dyDescent="0.3">
      <c r="B9" s="4" t="s">
        <v>9</v>
      </c>
      <c r="C9" s="4">
        <v>1</v>
      </c>
      <c r="D9" s="5">
        <v>5.6497175141242938E-3</v>
      </c>
      <c r="F9" s="4" t="s">
        <v>9</v>
      </c>
      <c r="G9" s="4">
        <v>0</v>
      </c>
      <c r="H9" s="5">
        <v>0</v>
      </c>
      <c r="J9" s="4" t="s">
        <v>9</v>
      </c>
      <c r="K9" s="4">
        <v>3</v>
      </c>
      <c r="L9" s="5">
        <v>1.8518518518518517E-2</v>
      </c>
    </row>
    <row r="10" spans="2:14" x14ac:dyDescent="0.3">
      <c r="B10" s="6" t="s">
        <v>11</v>
      </c>
      <c r="C10" s="6">
        <f>SUM(C7:C9)</f>
        <v>177</v>
      </c>
      <c r="D10" s="7">
        <v>1</v>
      </c>
      <c r="F10" s="6" t="s">
        <v>11</v>
      </c>
      <c r="G10" s="6">
        <f>SUM(G7:G9)</f>
        <v>191</v>
      </c>
      <c r="H10" s="7">
        <v>1</v>
      </c>
      <c r="J10" s="6" t="s">
        <v>11</v>
      </c>
      <c r="K10" s="6">
        <f>SUM(K7:K9)</f>
        <v>162</v>
      </c>
      <c r="L10" s="7">
        <v>1</v>
      </c>
    </row>
    <row r="12" spans="2:14" x14ac:dyDescent="0.3">
      <c r="B12" s="17" t="s">
        <v>12</v>
      </c>
      <c r="C12" s="17"/>
      <c r="D12" s="17"/>
      <c r="F12" s="18" t="s">
        <v>12</v>
      </c>
      <c r="G12" s="19"/>
      <c r="H12" s="20"/>
      <c r="J12" s="17" t="s">
        <v>12</v>
      </c>
      <c r="K12" s="17"/>
      <c r="L12" s="17"/>
    </row>
    <row r="13" spans="2:14" ht="33" customHeight="1" x14ac:dyDescent="0.3">
      <c r="B13" s="3" t="s">
        <v>4</v>
      </c>
      <c r="C13" s="3" t="s">
        <v>5</v>
      </c>
      <c r="D13" s="3" t="s">
        <v>6</v>
      </c>
      <c r="E13" s="2"/>
      <c r="F13" s="3" t="s">
        <v>4</v>
      </c>
      <c r="G13" s="3" t="s">
        <v>5</v>
      </c>
      <c r="H13" s="3" t="s">
        <v>6</v>
      </c>
      <c r="I13" s="2"/>
      <c r="J13" s="3" t="s">
        <v>4</v>
      </c>
      <c r="K13" s="3" t="s">
        <v>5</v>
      </c>
      <c r="L13" s="3" t="s">
        <v>6</v>
      </c>
      <c r="M13" s="2"/>
      <c r="N13" s="2"/>
    </row>
    <row r="14" spans="2:14" ht="15" customHeight="1" x14ac:dyDescent="0.3">
      <c r="B14" s="4" t="s">
        <v>13</v>
      </c>
      <c r="C14" s="4">
        <v>132</v>
      </c>
      <c r="D14" s="5">
        <v>0.76744186046511631</v>
      </c>
      <c r="F14" s="4" t="s">
        <v>13</v>
      </c>
      <c r="G14" s="4">
        <v>169</v>
      </c>
      <c r="H14" s="5">
        <v>0.90860215053763438</v>
      </c>
      <c r="J14" s="4" t="s">
        <v>13</v>
      </c>
      <c r="K14" s="4">
        <v>142</v>
      </c>
      <c r="L14" s="5">
        <v>0.91612903225806452</v>
      </c>
    </row>
    <row r="15" spans="2:14" x14ac:dyDescent="0.3">
      <c r="B15" s="4" t="s">
        <v>14</v>
      </c>
      <c r="C15" s="4">
        <v>29</v>
      </c>
      <c r="D15" s="5">
        <v>0.16860465116279069</v>
      </c>
      <c r="F15" s="4" t="s">
        <v>14</v>
      </c>
      <c r="G15" s="4">
        <v>15</v>
      </c>
      <c r="H15" s="5">
        <v>8.0645161290322578E-2</v>
      </c>
      <c r="J15" s="4" t="s">
        <v>14</v>
      </c>
      <c r="K15" s="4">
        <v>9</v>
      </c>
      <c r="L15" s="5">
        <v>5.8064516129032261E-2</v>
      </c>
    </row>
    <row r="16" spans="2:14" x14ac:dyDescent="0.3">
      <c r="B16" s="4" t="s">
        <v>15</v>
      </c>
      <c r="C16" s="4">
        <v>11</v>
      </c>
      <c r="D16" s="5">
        <v>6.3953488372093026E-2</v>
      </c>
      <c r="F16" s="4" t="s">
        <v>15</v>
      </c>
      <c r="G16" s="4">
        <v>2</v>
      </c>
      <c r="H16" s="5">
        <v>1.0752688172043012E-2</v>
      </c>
      <c r="J16" s="4" t="s">
        <v>15</v>
      </c>
      <c r="K16" s="4">
        <v>4</v>
      </c>
      <c r="L16" s="5">
        <v>2.5806451612903226E-2</v>
      </c>
    </row>
    <row r="17" spans="2:12" x14ac:dyDescent="0.3">
      <c r="B17" s="6" t="s">
        <v>11</v>
      </c>
      <c r="C17" s="6">
        <f>SUM(C14:C16)</f>
        <v>172</v>
      </c>
      <c r="D17" s="7">
        <v>1</v>
      </c>
      <c r="F17" s="6" t="s">
        <v>11</v>
      </c>
      <c r="G17" s="6">
        <f>SUM(G14:G16)</f>
        <v>186</v>
      </c>
      <c r="H17" s="7">
        <v>1</v>
      </c>
      <c r="J17" s="6" t="s">
        <v>11</v>
      </c>
      <c r="K17" s="6">
        <f>SUM(K14:K16)</f>
        <v>155</v>
      </c>
      <c r="L17" s="7">
        <v>1</v>
      </c>
    </row>
    <row r="20" spans="2:12" x14ac:dyDescent="0.3">
      <c r="C20" t="s">
        <v>16</v>
      </c>
      <c r="G20" t="s">
        <v>17</v>
      </c>
      <c r="K20" t="s">
        <v>18</v>
      </c>
    </row>
    <row r="21" spans="2:12" x14ac:dyDescent="0.3">
      <c r="B21" t="s">
        <v>19</v>
      </c>
      <c r="C21" s="8">
        <f>(C7+C8)/C10</f>
        <v>0.99435028248587576</v>
      </c>
      <c r="F21" t="s">
        <v>19</v>
      </c>
      <c r="G21" s="8">
        <f>(G7+G8)/G10</f>
        <v>1</v>
      </c>
      <c r="J21" t="s">
        <v>19</v>
      </c>
      <c r="K21" s="8">
        <f>(K7+K8)/K10</f>
        <v>0.98148148148148151</v>
      </c>
    </row>
    <row r="22" spans="2:12" x14ac:dyDescent="0.3">
      <c r="B22" t="s">
        <v>20</v>
      </c>
      <c r="C22" s="8">
        <f>(C9)/C10</f>
        <v>5.6497175141242938E-3</v>
      </c>
      <c r="F22" t="s">
        <v>20</v>
      </c>
      <c r="G22" s="8">
        <f>(G9)/G10</f>
        <v>0</v>
      </c>
      <c r="J22" t="s">
        <v>20</v>
      </c>
      <c r="K22" s="8">
        <f>(K9)/K10</f>
        <v>1.8518518518518517E-2</v>
      </c>
    </row>
    <row r="24" spans="2:12" ht="15.6" x14ac:dyDescent="0.3">
      <c r="C24" s="9" t="s">
        <v>19</v>
      </c>
      <c r="D24" s="9" t="s">
        <v>20</v>
      </c>
    </row>
    <row r="25" spans="2:12" ht="18" x14ac:dyDescent="0.35">
      <c r="B25" s="10" t="s">
        <v>0</v>
      </c>
      <c r="C25" s="11">
        <f>(C21)</f>
        <v>0.99435028248587576</v>
      </c>
      <c r="D25" s="11">
        <f>(C22)</f>
        <v>5.6497175141242938E-3</v>
      </c>
      <c r="G25" s="12"/>
      <c r="K25" s="12"/>
    </row>
    <row r="26" spans="2:12" ht="18" x14ac:dyDescent="0.35">
      <c r="B26" s="10" t="s">
        <v>1</v>
      </c>
      <c r="C26" s="11">
        <f>(G21)</f>
        <v>1</v>
      </c>
      <c r="D26" s="11">
        <f>(G22)</f>
        <v>0</v>
      </c>
      <c r="F26" s="13"/>
      <c r="J26" s="13"/>
    </row>
    <row r="27" spans="2:12" ht="18" x14ac:dyDescent="0.35">
      <c r="B27" s="10" t="s">
        <v>2</v>
      </c>
      <c r="C27" s="11">
        <f>(K21)</f>
        <v>0.98148148148148151</v>
      </c>
      <c r="D27" s="11">
        <f>(K22)</f>
        <v>1.8518518518518517E-2</v>
      </c>
      <c r="F27" s="13"/>
      <c r="J27" s="13"/>
    </row>
  </sheetData>
  <mergeCells count="9">
    <mergeCell ref="B12:D12"/>
    <mergeCell ref="F12:H12"/>
    <mergeCell ref="J12:L12"/>
    <mergeCell ref="B2:D3"/>
    <mergeCell ref="F2:H3"/>
    <mergeCell ref="J2:L3"/>
    <mergeCell ref="B5:D5"/>
    <mergeCell ref="F5:H5"/>
    <mergeCell ref="J5:L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6"/>
  <sheetViews>
    <sheetView zoomScale="70" zoomScaleNormal="70" workbookViewId="0">
      <selection activeCell="G24" sqref="G24"/>
    </sheetView>
  </sheetViews>
  <sheetFormatPr baseColWidth="10" defaultRowHeight="14.4" x14ac:dyDescent="0.3"/>
  <cols>
    <col min="2" max="2" width="20.88671875" customWidth="1"/>
    <col min="3" max="3" width="18.5546875" customWidth="1"/>
    <col min="4" max="4" width="23.44140625" customWidth="1"/>
    <col min="5" max="5" width="13.6640625" customWidth="1"/>
    <col min="6" max="6" width="20.44140625" customWidth="1"/>
    <col min="7" max="7" width="18" customWidth="1"/>
    <col min="8" max="8" width="23.88671875" customWidth="1"/>
    <col min="9" max="9" width="12.6640625" customWidth="1"/>
  </cols>
  <sheetData>
    <row r="2" spans="2:10" ht="15" customHeight="1" x14ac:dyDescent="0.6">
      <c r="B2" s="21" t="s">
        <v>0</v>
      </c>
      <c r="C2" s="21"/>
      <c r="D2" s="21"/>
      <c r="E2" s="1"/>
      <c r="F2" s="21" t="s">
        <v>2</v>
      </c>
      <c r="G2" s="21"/>
      <c r="H2" s="21"/>
      <c r="I2" s="1"/>
      <c r="J2" s="1"/>
    </row>
    <row r="3" spans="2:10" ht="15" customHeight="1" x14ac:dyDescent="0.6">
      <c r="B3" s="21"/>
      <c r="C3" s="21"/>
      <c r="D3" s="21"/>
      <c r="E3" s="1"/>
      <c r="F3" s="21"/>
      <c r="G3" s="21"/>
      <c r="H3" s="21"/>
      <c r="I3" s="1"/>
      <c r="J3" s="1"/>
    </row>
    <row r="5" spans="2:10" ht="45" customHeight="1" x14ac:dyDescent="0.3">
      <c r="B5" s="18" t="s">
        <v>21</v>
      </c>
      <c r="C5" s="19"/>
      <c r="D5" s="20"/>
      <c r="E5" s="2"/>
      <c r="F5" s="17" t="s">
        <v>21</v>
      </c>
      <c r="G5" s="17"/>
      <c r="H5" s="17"/>
      <c r="I5" s="2"/>
      <c r="J5" s="2"/>
    </row>
    <row r="6" spans="2:10" x14ac:dyDescent="0.3">
      <c r="B6" s="3" t="s">
        <v>4</v>
      </c>
      <c r="C6" s="3" t="s">
        <v>5</v>
      </c>
      <c r="D6" s="3" t="s">
        <v>6</v>
      </c>
      <c r="F6" s="3" t="s">
        <v>4</v>
      </c>
      <c r="G6" s="3" t="s">
        <v>5</v>
      </c>
      <c r="H6" s="3" t="s">
        <v>6</v>
      </c>
    </row>
    <row r="7" spans="2:10" x14ac:dyDescent="0.3">
      <c r="B7" s="4" t="s">
        <v>7</v>
      </c>
      <c r="C7" s="4">
        <v>214</v>
      </c>
      <c r="D7" s="5">
        <v>0.94273127753303965</v>
      </c>
      <c r="F7" s="4" t="s">
        <v>7</v>
      </c>
      <c r="G7" s="4">
        <v>360</v>
      </c>
      <c r="H7" s="5">
        <v>1</v>
      </c>
    </row>
    <row r="8" spans="2:10" x14ac:dyDescent="0.3">
      <c r="B8" s="4" t="s">
        <v>8</v>
      </c>
      <c r="C8" s="4">
        <v>10</v>
      </c>
      <c r="D8" s="5">
        <v>4.405286343612335E-2</v>
      </c>
      <c r="F8" s="4" t="s">
        <v>8</v>
      </c>
      <c r="G8" s="4">
        <v>0</v>
      </c>
      <c r="H8" s="5">
        <v>0</v>
      </c>
    </row>
    <row r="9" spans="2:10" x14ac:dyDescent="0.3">
      <c r="B9" s="4" t="s">
        <v>9</v>
      </c>
      <c r="C9" s="4">
        <v>3</v>
      </c>
      <c r="D9" s="5">
        <v>1.3215859030837005E-2</v>
      </c>
      <c r="F9" s="4" t="s">
        <v>9</v>
      </c>
      <c r="G9" s="4">
        <v>0</v>
      </c>
      <c r="H9" s="5">
        <v>0</v>
      </c>
    </row>
    <row r="10" spans="2:10" x14ac:dyDescent="0.3">
      <c r="B10" s="6" t="s">
        <v>11</v>
      </c>
      <c r="C10" s="6">
        <f>SUM(C7:C9)</f>
        <v>227</v>
      </c>
      <c r="D10" s="7">
        <v>1</v>
      </c>
      <c r="F10" s="6" t="s">
        <v>11</v>
      </c>
      <c r="G10" s="6">
        <f>SUM(G7:G9)</f>
        <v>360</v>
      </c>
      <c r="H10" s="7">
        <v>1</v>
      </c>
    </row>
    <row r="12" spans="2:10" x14ac:dyDescent="0.3">
      <c r="B12" s="17" t="s">
        <v>22</v>
      </c>
      <c r="C12" s="17"/>
      <c r="D12" s="17"/>
      <c r="F12" s="17" t="s">
        <v>22</v>
      </c>
      <c r="G12" s="17"/>
      <c r="H12" s="17"/>
    </row>
    <row r="13" spans="2:10" ht="31.5" customHeight="1" x14ac:dyDescent="0.3">
      <c r="B13" s="3" t="s">
        <v>4</v>
      </c>
      <c r="C13" s="3" t="s">
        <v>5</v>
      </c>
      <c r="D13" s="3" t="s">
        <v>6</v>
      </c>
      <c r="E13" s="2"/>
      <c r="F13" s="3" t="s">
        <v>4</v>
      </c>
      <c r="G13" s="3" t="s">
        <v>5</v>
      </c>
      <c r="H13" s="3" t="s">
        <v>6</v>
      </c>
      <c r="I13" s="2"/>
      <c r="J13" s="2"/>
    </row>
    <row r="14" spans="2:10" x14ac:dyDescent="0.3">
      <c r="B14" s="4" t="s">
        <v>7</v>
      </c>
      <c r="C14" s="4">
        <v>213</v>
      </c>
      <c r="D14" s="5">
        <v>0.98156682027649766</v>
      </c>
      <c r="F14" s="4" t="s">
        <v>7</v>
      </c>
      <c r="G14" s="4">
        <v>313</v>
      </c>
      <c r="H14" s="5">
        <v>1</v>
      </c>
    </row>
    <row r="15" spans="2:10" x14ac:dyDescent="0.3">
      <c r="B15" s="4" t="s">
        <v>8</v>
      </c>
      <c r="C15" s="4">
        <v>4</v>
      </c>
      <c r="D15" s="5">
        <v>1.8433179723502304E-2</v>
      </c>
      <c r="F15" s="4" t="s">
        <v>8</v>
      </c>
      <c r="G15" s="4">
        <v>0</v>
      </c>
      <c r="H15" s="5">
        <v>0</v>
      </c>
    </row>
    <row r="16" spans="2:10" x14ac:dyDescent="0.3">
      <c r="B16" s="4" t="s">
        <v>9</v>
      </c>
      <c r="C16" s="4">
        <v>0</v>
      </c>
      <c r="D16" s="5">
        <v>0</v>
      </c>
      <c r="F16" s="4" t="s">
        <v>9</v>
      </c>
      <c r="G16" s="4">
        <v>0</v>
      </c>
      <c r="H16" s="5">
        <v>0</v>
      </c>
    </row>
    <row r="17" spans="2:10" x14ac:dyDescent="0.3">
      <c r="B17" s="6" t="s">
        <v>11</v>
      </c>
      <c r="C17" s="6">
        <f>SUM(C14:C16)</f>
        <v>217</v>
      </c>
      <c r="D17" s="7">
        <v>1</v>
      </c>
      <c r="F17" s="6" t="s">
        <v>11</v>
      </c>
      <c r="G17" s="6">
        <f>SUM(G14:G16)</f>
        <v>313</v>
      </c>
      <c r="H17" s="7">
        <v>1</v>
      </c>
    </row>
    <row r="19" spans="2:10" x14ac:dyDescent="0.3">
      <c r="B19" s="17" t="s">
        <v>23</v>
      </c>
      <c r="C19" s="17"/>
      <c r="D19" s="17"/>
      <c r="F19" s="17" t="s">
        <v>23</v>
      </c>
      <c r="G19" s="17"/>
      <c r="H19" s="17"/>
    </row>
    <row r="20" spans="2:10" x14ac:dyDescent="0.3">
      <c r="B20" s="3" t="s">
        <v>4</v>
      </c>
      <c r="C20" s="3" t="s">
        <v>5</v>
      </c>
      <c r="D20" s="3" t="s">
        <v>6</v>
      </c>
      <c r="F20" s="3" t="s">
        <v>4</v>
      </c>
      <c r="G20" s="3" t="s">
        <v>5</v>
      </c>
      <c r="H20" s="3" t="s">
        <v>6</v>
      </c>
    </row>
    <row r="21" spans="2:10" ht="30.75" customHeight="1" x14ac:dyDescent="0.3">
      <c r="B21" s="4" t="s">
        <v>24</v>
      </c>
      <c r="C21" s="4">
        <v>223</v>
      </c>
      <c r="D21" s="5">
        <v>0.98237885462555063</v>
      </c>
      <c r="E21" s="2"/>
      <c r="F21" s="4" t="s">
        <v>24</v>
      </c>
      <c r="G21" s="4">
        <v>360</v>
      </c>
      <c r="H21" s="5">
        <v>1</v>
      </c>
      <c r="I21" s="2"/>
      <c r="J21" s="2"/>
    </row>
    <row r="22" spans="2:10" x14ac:dyDescent="0.3">
      <c r="B22" s="4" t="s">
        <v>25</v>
      </c>
      <c r="C22" s="4">
        <v>4</v>
      </c>
      <c r="D22" s="5">
        <v>1.7621145374449341E-2</v>
      </c>
      <c r="F22" s="4" t="s">
        <v>25</v>
      </c>
      <c r="G22" s="4">
        <v>0</v>
      </c>
      <c r="H22" s="5">
        <v>0</v>
      </c>
    </row>
    <row r="23" spans="2:10" x14ac:dyDescent="0.3">
      <c r="B23" s="6" t="s">
        <v>11</v>
      </c>
      <c r="C23" s="6">
        <f>SUM(C21:C22)</f>
        <v>227</v>
      </c>
      <c r="D23" s="7">
        <v>1</v>
      </c>
      <c r="F23" s="6" t="s">
        <v>11</v>
      </c>
      <c r="G23" s="6">
        <f>SUM(G21:G22)</f>
        <v>360</v>
      </c>
      <c r="H23" s="7">
        <v>1</v>
      </c>
    </row>
    <row r="25" spans="2:10" x14ac:dyDescent="0.3">
      <c r="C25" t="s">
        <v>16</v>
      </c>
      <c r="G25" t="s">
        <v>16</v>
      </c>
    </row>
    <row r="26" spans="2:10" x14ac:dyDescent="0.3">
      <c r="B26" t="s">
        <v>19</v>
      </c>
      <c r="C26" s="8">
        <f>(C7+C8)/C10</f>
        <v>0.986784140969163</v>
      </c>
      <c r="F26" t="s">
        <v>19</v>
      </c>
      <c r="G26" s="8">
        <f>(G7+G8)/G10</f>
        <v>1</v>
      </c>
    </row>
    <row r="27" spans="2:10" x14ac:dyDescent="0.3">
      <c r="B27" t="s">
        <v>20</v>
      </c>
      <c r="C27" s="8">
        <f>(C9)/C10</f>
        <v>1.3215859030837005E-2</v>
      </c>
      <c r="F27" t="s">
        <v>20</v>
      </c>
      <c r="G27" s="8">
        <f>(G9)/G10</f>
        <v>0</v>
      </c>
    </row>
    <row r="29" spans="2:10" x14ac:dyDescent="0.3">
      <c r="C29" t="s">
        <v>17</v>
      </c>
      <c r="G29" t="s">
        <v>17</v>
      </c>
    </row>
    <row r="30" spans="2:10" x14ac:dyDescent="0.3">
      <c r="B30" t="s">
        <v>19</v>
      </c>
      <c r="C30" s="8">
        <f>(C14+C15)/C17</f>
        <v>1</v>
      </c>
      <c r="F30" t="s">
        <v>19</v>
      </c>
      <c r="G30" s="8">
        <f>(G14+G15)/G17</f>
        <v>1</v>
      </c>
    </row>
    <row r="31" spans="2:10" x14ac:dyDescent="0.3">
      <c r="B31" t="s">
        <v>20</v>
      </c>
      <c r="C31" s="8">
        <f>(C16)/C17</f>
        <v>0</v>
      </c>
      <c r="F31" t="s">
        <v>20</v>
      </c>
      <c r="G31" s="8">
        <f>(G16)/G17</f>
        <v>0</v>
      </c>
    </row>
    <row r="34" spans="2:7" ht="15.6" x14ac:dyDescent="0.3">
      <c r="C34" s="9" t="s">
        <v>19</v>
      </c>
      <c r="D34" s="9" t="s">
        <v>20</v>
      </c>
    </row>
    <row r="35" spans="2:7" ht="18" x14ac:dyDescent="0.35">
      <c r="B35" s="10" t="s">
        <v>0</v>
      </c>
      <c r="C35" s="11">
        <f>(C26+C30)/2</f>
        <v>0.99339207048458156</v>
      </c>
      <c r="D35" s="11">
        <f>(C27+C31)/2</f>
        <v>6.6079295154185024E-3</v>
      </c>
      <c r="G35" s="12"/>
    </row>
    <row r="36" spans="2:7" ht="18" x14ac:dyDescent="0.35">
      <c r="B36" s="10" t="s">
        <v>2</v>
      </c>
      <c r="C36" s="11">
        <f>(G26+G30)/2</f>
        <v>1</v>
      </c>
      <c r="D36" s="11">
        <f>(G27+G31)/2</f>
        <v>0</v>
      </c>
      <c r="F36" s="13"/>
    </row>
  </sheetData>
  <mergeCells count="8">
    <mergeCell ref="B19:D19"/>
    <mergeCell ref="F19:H19"/>
    <mergeCell ref="B2:D3"/>
    <mergeCell ref="F2:H3"/>
    <mergeCell ref="B5:D5"/>
    <mergeCell ref="F5:H5"/>
    <mergeCell ref="B12:D12"/>
    <mergeCell ref="F12:H1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6"/>
  <sheetViews>
    <sheetView zoomScale="70" zoomScaleNormal="70" workbookViewId="0">
      <selection activeCell="E3" sqref="E3"/>
    </sheetView>
  </sheetViews>
  <sheetFormatPr baseColWidth="10" defaultRowHeight="14.4" x14ac:dyDescent="0.3"/>
  <cols>
    <col min="2" max="2" width="14.44140625" customWidth="1"/>
    <col min="3" max="3" width="18" customWidth="1"/>
    <col min="4" max="4" width="23.6640625" customWidth="1"/>
    <col min="5" max="5" width="13.6640625" customWidth="1"/>
    <col min="6" max="6" width="14.44140625" customWidth="1"/>
    <col min="7" max="7" width="17.6640625" customWidth="1"/>
    <col min="8" max="8" width="20.44140625" customWidth="1"/>
    <col min="10" max="10" width="20.44140625" customWidth="1"/>
    <col min="11" max="11" width="15.33203125" customWidth="1"/>
    <col min="12" max="12" width="18.5546875" customWidth="1"/>
    <col min="14" max="14" width="19.44140625" customWidth="1"/>
  </cols>
  <sheetData>
    <row r="2" spans="2:15" ht="15" customHeight="1" x14ac:dyDescent="0.6">
      <c r="B2" s="21" t="s">
        <v>0</v>
      </c>
      <c r="C2" s="21"/>
      <c r="D2" s="21"/>
      <c r="E2" s="1"/>
      <c r="F2" s="21" t="s">
        <v>1</v>
      </c>
      <c r="G2" s="21"/>
      <c r="H2" s="21"/>
    </row>
    <row r="3" spans="2:15" ht="15" customHeight="1" x14ac:dyDescent="0.6">
      <c r="B3" s="21"/>
      <c r="C3" s="21"/>
      <c r="D3" s="21"/>
      <c r="E3" s="1"/>
      <c r="F3" s="21"/>
      <c r="G3" s="21"/>
      <c r="H3" s="21"/>
    </row>
    <row r="4" spans="2:15" ht="15" customHeight="1" x14ac:dyDescent="0.6">
      <c r="B4" s="14"/>
      <c r="C4" s="14"/>
      <c r="D4" s="14"/>
      <c r="E4" s="1"/>
      <c r="F4" s="14"/>
      <c r="G4" s="14"/>
      <c r="H4" s="14"/>
    </row>
    <row r="5" spans="2:15" ht="30.75" customHeight="1" x14ac:dyDescent="0.3">
      <c r="B5" s="18" t="s">
        <v>26</v>
      </c>
      <c r="C5" s="19"/>
      <c r="D5" s="20"/>
      <c r="E5" s="2"/>
      <c r="F5" s="18" t="s">
        <v>26</v>
      </c>
      <c r="G5" s="19"/>
      <c r="H5" s="20"/>
    </row>
    <row r="6" spans="2:15" ht="15" customHeight="1" x14ac:dyDescent="0.3">
      <c r="B6" s="3" t="s">
        <v>4</v>
      </c>
      <c r="C6" s="3" t="s">
        <v>5</v>
      </c>
      <c r="D6" s="3" t="s">
        <v>6</v>
      </c>
      <c r="F6" s="15" t="s">
        <v>4</v>
      </c>
      <c r="G6" s="15" t="s">
        <v>5</v>
      </c>
      <c r="H6" s="15" t="s">
        <v>6</v>
      </c>
      <c r="K6" t="s">
        <v>16</v>
      </c>
      <c r="O6" t="s">
        <v>16</v>
      </c>
    </row>
    <row r="7" spans="2:15" ht="15" customHeight="1" x14ac:dyDescent="0.3">
      <c r="B7" s="4" t="s">
        <v>27</v>
      </c>
      <c r="C7" s="4">
        <v>96</v>
      </c>
      <c r="D7" s="5">
        <v>0.77419354838709675</v>
      </c>
      <c r="F7" s="4" t="s">
        <v>27</v>
      </c>
      <c r="G7" s="4">
        <v>106</v>
      </c>
      <c r="H7" s="5">
        <v>0.96363636363636362</v>
      </c>
      <c r="J7" t="s">
        <v>19</v>
      </c>
      <c r="K7" s="8">
        <f>(C7)/C9</f>
        <v>0.77419354838709675</v>
      </c>
      <c r="N7" t="s">
        <v>19</v>
      </c>
      <c r="O7" s="8">
        <f>(G7)/G9</f>
        <v>0.96363636363636362</v>
      </c>
    </row>
    <row r="8" spans="2:15" ht="15" customHeight="1" x14ac:dyDescent="0.3">
      <c r="B8" s="4" t="s">
        <v>28</v>
      </c>
      <c r="C8" s="4">
        <v>28</v>
      </c>
      <c r="D8" s="5">
        <v>0.22580645161290322</v>
      </c>
      <c r="F8" s="4" t="s">
        <v>28</v>
      </c>
      <c r="G8" s="4">
        <v>4</v>
      </c>
      <c r="H8" s="5">
        <v>3.6363636363636362E-2</v>
      </c>
      <c r="J8" t="s">
        <v>20</v>
      </c>
      <c r="K8" s="8">
        <f>(C8)/C9</f>
        <v>0.22580645161290322</v>
      </c>
      <c r="N8" t="s">
        <v>20</v>
      </c>
      <c r="O8" s="8">
        <f>(G8)/G9</f>
        <v>3.6363636363636362E-2</v>
      </c>
    </row>
    <row r="9" spans="2:15" ht="15" customHeight="1" x14ac:dyDescent="0.3">
      <c r="B9" s="6" t="s">
        <v>29</v>
      </c>
      <c r="C9" s="6">
        <f>SUM(C7:C8)</f>
        <v>124</v>
      </c>
      <c r="D9" s="7">
        <v>1</v>
      </c>
      <c r="F9" s="6" t="s">
        <v>29</v>
      </c>
      <c r="G9" s="6">
        <f>SUM(G7:G8)</f>
        <v>110</v>
      </c>
      <c r="H9" s="7">
        <v>1</v>
      </c>
    </row>
    <row r="10" spans="2:15" ht="18" customHeight="1" x14ac:dyDescent="0.6">
      <c r="B10" s="14"/>
      <c r="C10" s="14"/>
      <c r="D10" s="14"/>
      <c r="E10" s="1"/>
      <c r="F10" s="14"/>
      <c r="G10" s="14"/>
      <c r="H10" s="14"/>
      <c r="K10" t="s">
        <v>17</v>
      </c>
      <c r="O10" t="s">
        <v>17</v>
      </c>
    </row>
    <row r="11" spans="2:15" ht="31.5" customHeight="1" x14ac:dyDescent="0.3">
      <c r="B11" s="17" t="s">
        <v>44</v>
      </c>
      <c r="C11" s="17"/>
      <c r="D11" s="17"/>
      <c r="E11" s="2"/>
      <c r="F11" s="17" t="s">
        <v>44</v>
      </c>
      <c r="G11" s="17"/>
      <c r="H11" s="17"/>
      <c r="J11" t="s">
        <v>19</v>
      </c>
      <c r="K11" s="8">
        <f>(C13+C14)/C16</f>
        <v>1</v>
      </c>
      <c r="N11" t="s">
        <v>19</v>
      </c>
      <c r="O11" s="8">
        <f>(G13+G14)/G16</f>
        <v>1</v>
      </c>
    </row>
    <row r="12" spans="2:15" x14ac:dyDescent="0.3">
      <c r="B12" s="3" t="s">
        <v>4</v>
      </c>
      <c r="C12" s="3" t="s">
        <v>5</v>
      </c>
      <c r="D12" s="3" t="s">
        <v>6</v>
      </c>
      <c r="F12" s="15" t="s">
        <v>4</v>
      </c>
      <c r="G12" s="15" t="s">
        <v>5</v>
      </c>
      <c r="H12" s="15" t="s">
        <v>6</v>
      </c>
      <c r="J12" t="s">
        <v>20</v>
      </c>
      <c r="K12" s="8">
        <f>(C15)/C16</f>
        <v>0</v>
      </c>
      <c r="N12" t="s">
        <v>20</v>
      </c>
      <c r="O12" s="8">
        <f>(G15)/G16</f>
        <v>0</v>
      </c>
    </row>
    <row r="13" spans="2:15" x14ac:dyDescent="0.3">
      <c r="B13" s="4" t="s">
        <v>7</v>
      </c>
      <c r="C13" s="4">
        <v>95</v>
      </c>
      <c r="D13" s="5">
        <v>0.7661290322580645</v>
      </c>
      <c r="F13" s="4" t="s">
        <v>7</v>
      </c>
      <c r="G13" s="4">
        <v>103</v>
      </c>
      <c r="H13" s="5">
        <v>0.9363636363636364</v>
      </c>
    </row>
    <row r="14" spans="2:15" x14ac:dyDescent="0.3">
      <c r="B14" s="4" t="s">
        <v>8</v>
      </c>
      <c r="C14" s="4">
        <v>29</v>
      </c>
      <c r="D14" s="5">
        <v>0.23387096774193547</v>
      </c>
      <c r="F14" s="4" t="s">
        <v>8</v>
      </c>
      <c r="G14" s="4">
        <v>7</v>
      </c>
      <c r="H14" s="5">
        <v>6.363636363636363E-2</v>
      </c>
      <c r="K14" t="s">
        <v>18</v>
      </c>
      <c r="O14" t="s">
        <v>30</v>
      </c>
    </row>
    <row r="15" spans="2:15" x14ac:dyDescent="0.3">
      <c r="B15" s="4" t="s">
        <v>9</v>
      </c>
      <c r="C15" s="4">
        <v>0</v>
      </c>
      <c r="D15" s="5">
        <v>0</v>
      </c>
      <c r="F15" s="4" t="s">
        <v>9</v>
      </c>
      <c r="G15" s="4">
        <v>0</v>
      </c>
      <c r="H15" s="5">
        <v>0</v>
      </c>
      <c r="J15" t="s">
        <v>19</v>
      </c>
      <c r="K15" s="8">
        <f>(C20+C21)/C23</f>
        <v>0.99193548387096775</v>
      </c>
      <c r="N15" t="s">
        <v>19</v>
      </c>
      <c r="O15" s="8">
        <f>(G20+G21)/G23</f>
        <v>0.98181818181818181</v>
      </c>
    </row>
    <row r="16" spans="2:15" x14ac:dyDescent="0.3">
      <c r="B16" s="6" t="s">
        <v>11</v>
      </c>
      <c r="C16" s="6">
        <f>SUM(C13:C15)</f>
        <v>124</v>
      </c>
      <c r="D16" s="7">
        <v>1</v>
      </c>
      <c r="F16" s="6" t="s">
        <v>29</v>
      </c>
      <c r="G16" s="6">
        <f>SUM(G13:G15)</f>
        <v>110</v>
      </c>
      <c r="H16" s="7">
        <v>1</v>
      </c>
      <c r="J16" t="s">
        <v>20</v>
      </c>
      <c r="K16" s="8">
        <f>(C22)/C23</f>
        <v>8.0645161290322578E-3</v>
      </c>
      <c r="N16" t="s">
        <v>20</v>
      </c>
      <c r="O16" s="8">
        <f>(G22)/G23</f>
        <v>1.8181818181818181E-2</v>
      </c>
    </row>
    <row r="18" spans="2:15" x14ac:dyDescent="0.3">
      <c r="B18" s="18" t="s">
        <v>23</v>
      </c>
      <c r="C18" s="19"/>
      <c r="D18" s="20"/>
      <c r="F18" s="18" t="s">
        <v>23</v>
      </c>
      <c r="G18" s="19"/>
      <c r="H18" s="20"/>
    </row>
    <row r="19" spans="2:15" ht="49.5" customHeight="1" x14ac:dyDescent="0.3">
      <c r="B19" s="3" t="s">
        <v>32</v>
      </c>
      <c r="C19" s="3" t="s">
        <v>5</v>
      </c>
      <c r="D19" s="3" t="s">
        <v>6</v>
      </c>
      <c r="E19" s="2"/>
      <c r="F19" s="15" t="s">
        <v>32</v>
      </c>
      <c r="G19" s="15" t="s">
        <v>5</v>
      </c>
      <c r="H19" s="15" t="s">
        <v>6</v>
      </c>
      <c r="K19" s="9" t="s">
        <v>19</v>
      </c>
      <c r="L19" s="9" t="s">
        <v>20</v>
      </c>
      <c r="O19" s="8"/>
    </row>
    <row r="20" spans="2:15" ht="18" x14ac:dyDescent="0.35">
      <c r="B20" s="4" t="s">
        <v>7</v>
      </c>
      <c r="C20" s="4">
        <v>97</v>
      </c>
      <c r="D20" s="5">
        <v>0.782258064516129</v>
      </c>
      <c r="F20" s="4" t="s">
        <v>7</v>
      </c>
      <c r="G20" s="4">
        <v>101</v>
      </c>
      <c r="H20" s="5">
        <v>0.91818181818181821</v>
      </c>
      <c r="J20" s="10" t="s">
        <v>0</v>
      </c>
      <c r="K20" s="11">
        <f>(K7+K11+K15)/3</f>
        <v>0.92204301075268813</v>
      </c>
      <c r="L20" s="11">
        <f>(K8+K12+K16)/3</f>
        <v>7.7956989247311828E-2</v>
      </c>
      <c r="O20" s="8"/>
    </row>
    <row r="21" spans="2:15" ht="18" x14ac:dyDescent="0.35">
      <c r="B21" s="4" t="s">
        <v>8</v>
      </c>
      <c r="C21" s="4">
        <v>26</v>
      </c>
      <c r="D21" s="5">
        <v>0.20967741935483872</v>
      </c>
      <c r="F21" s="4" t="s">
        <v>8</v>
      </c>
      <c r="G21" s="4">
        <v>7</v>
      </c>
      <c r="H21" s="5">
        <v>6.363636363636363E-2</v>
      </c>
      <c r="J21" s="10" t="s">
        <v>1</v>
      </c>
      <c r="K21" s="11">
        <f>(O7+O11+O15)/3</f>
        <v>0.98181818181818181</v>
      </c>
      <c r="L21" s="11">
        <f>(O8+O12+O16)/3</f>
        <v>1.8181818181818181E-2</v>
      </c>
    </row>
    <row r="22" spans="2:15" x14ac:dyDescent="0.3">
      <c r="B22" s="4" t="s">
        <v>9</v>
      </c>
      <c r="C22" s="4">
        <v>1</v>
      </c>
      <c r="D22" s="5">
        <v>8.0645161290322578E-3</v>
      </c>
      <c r="F22" s="4" t="s">
        <v>9</v>
      </c>
      <c r="G22" s="4">
        <v>2</v>
      </c>
      <c r="H22" s="5">
        <v>1.8181818181818181E-2</v>
      </c>
    </row>
    <row r="23" spans="2:15" x14ac:dyDescent="0.3">
      <c r="B23" s="6" t="s">
        <v>11</v>
      </c>
      <c r="C23" s="6">
        <f>SUM(C20:C22)</f>
        <v>124</v>
      </c>
      <c r="D23" s="7">
        <v>1</v>
      </c>
      <c r="F23" s="6" t="s">
        <v>11</v>
      </c>
      <c r="G23" s="6">
        <f>SUM(G20:G22)</f>
        <v>110</v>
      </c>
      <c r="H23" s="7">
        <v>1</v>
      </c>
    </row>
    <row r="27" spans="2:15" ht="33" customHeight="1" x14ac:dyDescent="0.3"/>
    <row r="30" spans="2:15" ht="15" customHeight="1" x14ac:dyDescent="0.3"/>
    <row r="35" ht="32.25" customHeight="1" x14ac:dyDescent="0.3"/>
    <row r="46" ht="15" customHeight="1" x14ac:dyDescent="0.3"/>
  </sheetData>
  <mergeCells count="8">
    <mergeCell ref="B18:D18"/>
    <mergeCell ref="F18:H18"/>
    <mergeCell ref="B2:D3"/>
    <mergeCell ref="F2:H3"/>
    <mergeCell ref="B5:D5"/>
    <mergeCell ref="F5:H5"/>
    <mergeCell ref="B11:D11"/>
    <mergeCell ref="F11:H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4"/>
  <sheetViews>
    <sheetView zoomScale="70" zoomScaleNormal="70" workbookViewId="0">
      <selection activeCell="L18" sqref="L18"/>
    </sheetView>
  </sheetViews>
  <sheetFormatPr baseColWidth="10" defaultRowHeight="14.4" x14ac:dyDescent="0.3"/>
  <cols>
    <col min="2" max="2" width="21.44140625" customWidth="1"/>
    <col min="3" max="3" width="19" customWidth="1"/>
    <col min="4" max="4" width="20.44140625" customWidth="1"/>
    <col min="6" max="6" width="19.109375" customWidth="1"/>
    <col min="7" max="7" width="22.33203125" customWidth="1"/>
    <col min="10" max="10" width="20.109375" customWidth="1"/>
    <col min="11" max="11" width="19.44140625" customWidth="1"/>
    <col min="12" max="12" width="19.5546875" customWidth="1"/>
  </cols>
  <sheetData>
    <row r="2" spans="2:12" x14ac:dyDescent="0.3">
      <c r="B2" s="21" t="s">
        <v>0</v>
      </c>
      <c r="C2" s="21"/>
      <c r="D2" s="21"/>
      <c r="F2" s="21" t="s">
        <v>1</v>
      </c>
      <c r="G2" s="21"/>
      <c r="H2" s="21"/>
      <c r="J2" s="21" t="s">
        <v>2</v>
      </c>
      <c r="K2" s="21"/>
      <c r="L2" s="21"/>
    </row>
    <row r="3" spans="2:12" x14ac:dyDescent="0.3">
      <c r="B3" s="21"/>
      <c r="C3" s="21"/>
      <c r="D3" s="21"/>
      <c r="F3" s="21"/>
      <c r="G3" s="21"/>
      <c r="H3" s="21"/>
      <c r="J3" s="21"/>
      <c r="K3" s="21"/>
      <c r="L3" s="21"/>
    </row>
    <row r="5" spans="2:12" ht="30" customHeight="1" x14ac:dyDescent="0.3">
      <c r="B5" s="18" t="s">
        <v>33</v>
      </c>
      <c r="C5" s="19"/>
      <c r="D5" s="20"/>
      <c r="F5" s="18" t="s">
        <v>33</v>
      </c>
      <c r="G5" s="19"/>
      <c r="H5" s="20"/>
      <c r="J5" s="18" t="s">
        <v>33</v>
      </c>
      <c r="K5" s="19"/>
      <c r="L5" s="20"/>
    </row>
    <row r="6" spans="2:12" x14ac:dyDescent="0.3">
      <c r="B6" s="15" t="s">
        <v>4</v>
      </c>
      <c r="C6" s="15" t="s">
        <v>5</v>
      </c>
      <c r="D6" s="15" t="s">
        <v>6</v>
      </c>
      <c r="F6" s="15" t="s">
        <v>4</v>
      </c>
      <c r="G6" s="15" t="s">
        <v>5</v>
      </c>
      <c r="H6" s="15" t="s">
        <v>6</v>
      </c>
      <c r="J6" s="15" t="s">
        <v>4</v>
      </c>
      <c r="K6" s="15" t="s">
        <v>5</v>
      </c>
      <c r="L6" s="15" t="s">
        <v>6</v>
      </c>
    </row>
    <row r="7" spans="2:12" x14ac:dyDescent="0.3">
      <c r="B7" s="4" t="s">
        <v>7</v>
      </c>
      <c r="C7" s="4">
        <v>169</v>
      </c>
      <c r="D7" s="5">
        <v>0.9285714285714286</v>
      </c>
      <c r="F7" s="4" t="s">
        <v>7</v>
      </c>
      <c r="G7" s="4">
        <v>210</v>
      </c>
      <c r="H7" s="5">
        <v>0.92920353982300885</v>
      </c>
      <c r="J7" s="4" t="s">
        <v>7</v>
      </c>
      <c r="K7" s="4">
        <v>280</v>
      </c>
      <c r="L7" s="5">
        <v>0.93333333333333335</v>
      </c>
    </row>
    <row r="8" spans="2:12" x14ac:dyDescent="0.3">
      <c r="B8" s="4" t="s">
        <v>8</v>
      </c>
      <c r="C8" s="4">
        <v>13</v>
      </c>
      <c r="D8" s="5">
        <v>7.1428571428571425E-2</v>
      </c>
      <c r="F8" s="4" t="s">
        <v>8</v>
      </c>
      <c r="G8" s="4">
        <v>13</v>
      </c>
      <c r="H8" s="5">
        <v>5.7522123893805309E-2</v>
      </c>
      <c r="J8" s="4" t="s">
        <v>8</v>
      </c>
      <c r="K8" s="4">
        <v>18</v>
      </c>
      <c r="L8" s="5">
        <v>0.06</v>
      </c>
    </row>
    <row r="9" spans="2:12" x14ac:dyDescent="0.3">
      <c r="B9" s="4" t="s">
        <v>9</v>
      </c>
      <c r="C9" s="4">
        <v>0</v>
      </c>
      <c r="D9" s="5">
        <v>0</v>
      </c>
      <c r="F9" s="4" t="s">
        <v>9</v>
      </c>
      <c r="G9" s="4">
        <v>3</v>
      </c>
      <c r="H9" s="5">
        <v>1.3274336283185841E-2</v>
      </c>
      <c r="J9" s="4" t="s">
        <v>9</v>
      </c>
      <c r="K9" s="4">
        <v>2</v>
      </c>
      <c r="L9" s="5">
        <v>6.6666666666666671E-3</v>
      </c>
    </row>
    <row r="10" spans="2:12" x14ac:dyDescent="0.3">
      <c r="B10" s="6" t="s">
        <v>29</v>
      </c>
      <c r="C10" s="6">
        <f>SUM(C7:C9)</f>
        <v>182</v>
      </c>
      <c r="D10" s="7">
        <f>SUM(D7:D9)</f>
        <v>1</v>
      </c>
      <c r="F10" s="6" t="s">
        <v>29</v>
      </c>
      <c r="G10" s="6">
        <f>SUM(G7:G9)</f>
        <v>226</v>
      </c>
      <c r="H10" s="7">
        <f>SUM(H7:H9)</f>
        <v>1</v>
      </c>
      <c r="J10" s="6" t="s">
        <v>29</v>
      </c>
      <c r="K10" s="6">
        <f>SUM(K7:K9)</f>
        <v>300</v>
      </c>
      <c r="L10" s="7">
        <f>SUM(L7:L9)</f>
        <v>1</v>
      </c>
    </row>
    <row r="12" spans="2:12" x14ac:dyDescent="0.3">
      <c r="B12" s="18" t="s">
        <v>34</v>
      </c>
      <c r="C12" s="19"/>
      <c r="D12" s="20"/>
      <c r="F12" s="18" t="s">
        <v>34</v>
      </c>
      <c r="G12" s="19"/>
      <c r="H12" s="20"/>
      <c r="J12" s="18" t="s">
        <v>34</v>
      </c>
      <c r="K12" s="19"/>
      <c r="L12" s="20"/>
    </row>
    <row r="13" spans="2:12" ht="30.75" customHeight="1" x14ac:dyDescent="0.3">
      <c r="B13" s="15" t="s">
        <v>4</v>
      </c>
      <c r="C13" s="15" t="s">
        <v>5</v>
      </c>
      <c r="D13" s="15" t="s">
        <v>6</v>
      </c>
      <c r="F13" s="15" t="s">
        <v>4</v>
      </c>
      <c r="G13" s="15" t="s">
        <v>5</v>
      </c>
      <c r="H13" s="15" t="s">
        <v>6</v>
      </c>
      <c r="J13" s="15" t="s">
        <v>4</v>
      </c>
      <c r="K13" s="15" t="s">
        <v>5</v>
      </c>
      <c r="L13" s="15" t="s">
        <v>6</v>
      </c>
    </row>
    <row r="14" spans="2:12" ht="15" customHeight="1" x14ac:dyDescent="0.3">
      <c r="B14" s="4" t="s">
        <v>7</v>
      </c>
      <c r="C14" s="4">
        <v>161</v>
      </c>
      <c r="D14" s="5">
        <v>0.88461538461538458</v>
      </c>
      <c r="F14" s="4" t="s">
        <v>7</v>
      </c>
      <c r="G14" s="4">
        <v>213</v>
      </c>
      <c r="H14" s="5">
        <v>0.94247787610619471</v>
      </c>
      <c r="J14" s="4" t="s">
        <v>7</v>
      </c>
      <c r="K14" s="4">
        <v>278</v>
      </c>
      <c r="L14" s="5">
        <v>0.92666666666666664</v>
      </c>
    </row>
    <row r="15" spans="2:12" x14ac:dyDescent="0.3">
      <c r="B15" s="4" t="s">
        <v>8</v>
      </c>
      <c r="C15" s="4">
        <v>16</v>
      </c>
      <c r="D15" s="5">
        <v>8.7912087912087919E-2</v>
      </c>
      <c r="F15" s="4" t="s">
        <v>8</v>
      </c>
      <c r="G15" s="4">
        <v>12</v>
      </c>
      <c r="H15" s="5">
        <v>5.3097345132743362E-2</v>
      </c>
      <c r="J15" s="4" t="s">
        <v>8</v>
      </c>
      <c r="K15" s="4">
        <v>19</v>
      </c>
      <c r="L15" s="5">
        <v>6.3333333333333339E-2</v>
      </c>
    </row>
    <row r="16" spans="2:12" x14ac:dyDescent="0.3">
      <c r="B16" s="4" t="s">
        <v>9</v>
      </c>
      <c r="C16" s="4">
        <v>5</v>
      </c>
      <c r="D16" s="5">
        <v>2.7472527472527472E-2</v>
      </c>
      <c r="F16" s="4" t="s">
        <v>9</v>
      </c>
      <c r="G16" s="4">
        <v>1</v>
      </c>
      <c r="H16" s="5">
        <v>4.4247787610619468E-3</v>
      </c>
      <c r="J16" s="4" t="s">
        <v>9</v>
      </c>
      <c r="K16" s="4">
        <v>3</v>
      </c>
      <c r="L16" s="5">
        <v>0.01</v>
      </c>
    </row>
    <row r="17" spans="2:12" x14ac:dyDescent="0.3">
      <c r="B17" s="6" t="s">
        <v>29</v>
      </c>
      <c r="C17" s="6">
        <f>SUM(C14:C16)</f>
        <v>182</v>
      </c>
      <c r="D17" s="7">
        <f>SUM(D14:D16)</f>
        <v>1</v>
      </c>
      <c r="F17" s="6" t="s">
        <v>29</v>
      </c>
      <c r="G17" s="6">
        <f>SUM(G14:G16)</f>
        <v>226</v>
      </c>
      <c r="H17" s="7">
        <f>SUM(H14:H16)</f>
        <v>1</v>
      </c>
      <c r="J17" s="6" t="s">
        <v>29</v>
      </c>
      <c r="K17" s="6">
        <f>SUM(K14:K16)</f>
        <v>300</v>
      </c>
      <c r="L17" s="7">
        <f>SUM(L14:L16)</f>
        <v>1</v>
      </c>
    </row>
    <row r="20" spans="2:12" x14ac:dyDescent="0.3">
      <c r="C20" t="s">
        <v>16</v>
      </c>
      <c r="G20" t="s">
        <v>16</v>
      </c>
      <c r="K20" t="s">
        <v>30</v>
      </c>
    </row>
    <row r="21" spans="2:12" x14ac:dyDescent="0.3">
      <c r="B21" t="s">
        <v>19</v>
      </c>
      <c r="C21" s="8">
        <f>(C7+C8)/C10</f>
        <v>1</v>
      </c>
      <c r="F21" t="s">
        <v>19</v>
      </c>
      <c r="G21" s="8">
        <f>(G7+G8)/G10</f>
        <v>0.98672566371681414</v>
      </c>
      <c r="J21" t="s">
        <v>19</v>
      </c>
      <c r="K21" s="8">
        <f>(K7+K8)/K10</f>
        <v>0.99333333333333329</v>
      </c>
    </row>
    <row r="22" spans="2:12" x14ac:dyDescent="0.3">
      <c r="B22" t="s">
        <v>20</v>
      </c>
      <c r="C22" s="8">
        <f>(C9)/C10</f>
        <v>0</v>
      </c>
      <c r="F22" t="s">
        <v>20</v>
      </c>
      <c r="G22" s="8">
        <f>(G9)/G10</f>
        <v>1.3274336283185841E-2</v>
      </c>
      <c r="J22" t="s">
        <v>20</v>
      </c>
      <c r="K22" s="8">
        <f>(K9)/K10</f>
        <v>6.6666666666666671E-3</v>
      </c>
    </row>
    <row r="24" spans="2:12" x14ac:dyDescent="0.3">
      <c r="C24" t="s">
        <v>17</v>
      </c>
      <c r="G24" t="s">
        <v>17</v>
      </c>
      <c r="K24" t="s">
        <v>31</v>
      </c>
    </row>
    <row r="25" spans="2:12" x14ac:dyDescent="0.3">
      <c r="B25" t="s">
        <v>19</v>
      </c>
      <c r="C25" s="8">
        <f>(C14+C15)/C17</f>
        <v>0.97252747252747251</v>
      </c>
      <c r="F25" t="s">
        <v>19</v>
      </c>
      <c r="G25" s="8">
        <f>(G14+G15)/G17</f>
        <v>0.99557522123893805</v>
      </c>
      <c r="J25" t="s">
        <v>19</v>
      </c>
      <c r="K25" s="8">
        <f>(K14+K15)/K17</f>
        <v>0.99</v>
      </c>
    </row>
    <row r="26" spans="2:12" x14ac:dyDescent="0.3">
      <c r="B26" t="s">
        <v>20</v>
      </c>
      <c r="C26" s="8">
        <f>(C16)/C17</f>
        <v>2.7472527472527472E-2</v>
      </c>
      <c r="F26" t="s">
        <v>20</v>
      </c>
      <c r="G26" s="8">
        <f>(G16)/G17</f>
        <v>4.4247787610619468E-3</v>
      </c>
      <c r="J26" t="s">
        <v>20</v>
      </c>
      <c r="K26" s="8">
        <f>(K16)/K17</f>
        <v>0.01</v>
      </c>
    </row>
    <row r="31" spans="2:12" ht="15.6" x14ac:dyDescent="0.3">
      <c r="C31" s="9" t="s">
        <v>19</v>
      </c>
      <c r="D31" s="9" t="s">
        <v>20</v>
      </c>
    </row>
    <row r="32" spans="2:12" ht="18" x14ac:dyDescent="0.35">
      <c r="B32" s="10" t="s">
        <v>0</v>
      </c>
      <c r="C32" s="11">
        <f>(C21+C25)/2</f>
        <v>0.98626373626373631</v>
      </c>
      <c r="D32" s="11">
        <f>(C22+C26)/2</f>
        <v>1.3736263736263736E-2</v>
      </c>
    </row>
    <row r="33" spans="2:4" ht="18" x14ac:dyDescent="0.35">
      <c r="B33" s="10" t="s">
        <v>1</v>
      </c>
      <c r="C33" s="11">
        <f>(G21+G25)/2</f>
        <v>0.99115044247787609</v>
      </c>
      <c r="D33" s="11">
        <f>(G22+G26)/2</f>
        <v>8.8495575221238937E-3</v>
      </c>
    </row>
    <row r="34" spans="2:4" ht="18" x14ac:dyDescent="0.35">
      <c r="B34" s="10" t="s">
        <v>2</v>
      </c>
      <c r="C34" s="11">
        <f>(K21+K25)/2</f>
        <v>0.9916666666666667</v>
      </c>
      <c r="D34" s="11">
        <f>(K22+K26)/2</f>
        <v>8.3333333333333332E-3</v>
      </c>
    </row>
  </sheetData>
  <mergeCells count="9">
    <mergeCell ref="B12:D12"/>
    <mergeCell ref="F12:H12"/>
    <mergeCell ref="J12:L12"/>
    <mergeCell ref="B2:D3"/>
    <mergeCell ref="F2:H3"/>
    <mergeCell ref="J2:L3"/>
    <mergeCell ref="B5:D5"/>
    <mergeCell ref="F5:H5"/>
    <mergeCell ref="J5:L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7"/>
  <sheetViews>
    <sheetView zoomScale="70" zoomScaleNormal="70" workbookViewId="0">
      <selection activeCell="N19" sqref="N19"/>
    </sheetView>
  </sheetViews>
  <sheetFormatPr baseColWidth="10" defaultRowHeight="14.4" x14ac:dyDescent="0.3"/>
  <cols>
    <col min="2" max="2" width="20" customWidth="1"/>
    <col min="3" max="3" width="17.6640625" customWidth="1"/>
    <col min="4" max="4" width="18.44140625" customWidth="1"/>
    <col min="5" max="5" width="7.5546875" customWidth="1"/>
    <col min="6" max="7" width="19.33203125" customWidth="1"/>
    <col min="8" max="8" width="15.109375" customWidth="1"/>
    <col min="9" max="9" width="8.109375" customWidth="1"/>
    <col min="10" max="10" width="18.88671875" customWidth="1"/>
    <col min="11" max="11" width="21.88671875" customWidth="1"/>
    <col min="12" max="12" width="14.5546875" customWidth="1"/>
  </cols>
  <sheetData>
    <row r="2" spans="2:12" x14ac:dyDescent="0.3">
      <c r="B2" s="21" t="s">
        <v>0</v>
      </c>
      <c r="C2" s="21"/>
      <c r="D2" s="21"/>
      <c r="F2" s="21" t="s">
        <v>1</v>
      </c>
      <c r="G2" s="21"/>
      <c r="H2" s="21"/>
      <c r="J2" s="21" t="s">
        <v>2</v>
      </c>
      <c r="K2" s="21"/>
      <c r="L2" s="21"/>
    </row>
    <row r="3" spans="2:12" x14ac:dyDescent="0.3">
      <c r="B3" s="21"/>
      <c r="C3" s="21"/>
      <c r="D3" s="21"/>
      <c r="F3" s="21"/>
      <c r="G3" s="21"/>
      <c r="H3" s="21"/>
      <c r="J3" s="21"/>
      <c r="K3" s="21"/>
      <c r="L3" s="21"/>
    </row>
    <row r="5" spans="2:12" ht="30" customHeight="1" x14ac:dyDescent="0.3">
      <c r="B5" s="18" t="s">
        <v>35</v>
      </c>
      <c r="C5" s="19"/>
      <c r="D5" s="20"/>
      <c r="F5" s="18" t="s">
        <v>35</v>
      </c>
      <c r="G5" s="19"/>
      <c r="H5" s="20"/>
      <c r="J5" s="18" t="s">
        <v>35</v>
      </c>
      <c r="K5" s="19"/>
      <c r="L5" s="20"/>
    </row>
    <row r="6" spans="2:12" x14ac:dyDescent="0.3">
      <c r="B6" s="15" t="s">
        <v>4</v>
      </c>
      <c r="C6" s="15" t="s">
        <v>5</v>
      </c>
      <c r="D6" s="15" t="s">
        <v>6</v>
      </c>
      <c r="F6" s="15" t="s">
        <v>4</v>
      </c>
      <c r="G6" s="15" t="s">
        <v>5</v>
      </c>
      <c r="H6" s="15" t="s">
        <v>6</v>
      </c>
      <c r="J6" s="15" t="s">
        <v>4</v>
      </c>
      <c r="K6" s="15" t="s">
        <v>5</v>
      </c>
      <c r="L6" s="15" t="s">
        <v>6</v>
      </c>
    </row>
    <row r="7" spans="2:12" x14ac:dyDescent="0.3">
      <c r="B7" s="4" t="s">
        <v>7</v>
      </c>
      <c r="C7" s="4">
        <v>79</v>
      </c>
      <c r="D7" s="5">
        <v>0.63709677419354838</v>
      </c>
      <c r="F7" s="4" t="s">
        <v>7</v>
      </c>
      <c r="G7" s="4">
        <v>125</v>
      </c>
      <c r="H7" s="5">
        <v>0.64432989690721654</v>
      </c>
      <c r="J7" s="4" t="s">
        <v>7</v>
      </c>
      <c r="K7" s="4">
        <v>118</v>
      </c>
      <c r="L7" s="5">
        <v>0.6243386243386243</v>
      </c>
    </row>
    <row r="8" spans="2:12" x14ac:dyDescent="0.3">
      <c r="B8" s="4" t="s">
        <v>8</v>
      </c>
      <c r="C8" s="4">
        <v>9</v>
      </c>
      <c r="D8" s="5">
        <v>7.2580645161290328E-2</v>
      </c>
      <c r="F8" s="4" t="s">
        <v>8</v>
      </c>
      <c r="G8" s="4">
        <v>5</v>
      </c>
      <c r="H8" s="5">
        <v>2.5773195876288658E-2</v>
      </c>
      <c r="J8" s="4" t="s">
        <v>8</v>
      </c>
      <c r="K8" s="4">
        <v>20</v>
      </c>
      <c r="L8" s="5">
        <v>0.10582010582010581</v>
      </c>
    </row>
    <row r="9" spans="2:12" x14ac:dyDescent="0.3">
      <c r="B9" s="4" t="s">
        <v>9</v>
      </c>
      <c r="C9" s="4">
        <v>1</v>
      </c>
      <c r="D9" s="5">
        <v>8.0645161290322578E-3</v>
      </c>
      <c r="F9" s="4" t="s">
        <v>9</v>
      </c>
      <c r="G9" s="4">
        <v>0</v>
      </c>
      <c r="H9" s="5">
        <v>0</v>
      </c>
      <c r="J9" s="4" t="s">
        <v>9</v>
      </c>
      <c r="K9" s="4">
        <v>4</v>
      </c>
      <c r="L9" s="5">
        <v>2.1164021164021163E-2</v>
      </c>
    </row>
    <row r="10" spans="2:12" x14ac:dyDescent="0.3">
      <c r="B10" s="4" t="s">
        <v>10</v>
      </c>
      <c r="C10" s="4">
        <v>35</v>
      </c>
      <c r="D10" s="5">
        <v>0.28225806451612906</v>
      </c>
      <c r="F10" s="4" t="s">
        <v>10</v>
      </c>
      <c r="G10" s="4">
        <v>64</v>
      </c>
      <c r="H10" s="5">
        <v>0.32989690721649484</v>
      </c>
      <c r="J10" s="4" t="s">
        <v>10</v>
      </c>
      <c r="K10" s="4">
        <v>47</v>
      </c>
      <c r="L10" s="5">
        <v>0.24867724867724866</v>
      </c>
    </row>
    <row r="11" spans="2:12" x14ac:dyDescent="0.3">
      <c r="B11" s="6" t="s">
        <v>29</v>
      </c>
      <c r="C11" s="6">
        <f>SUM(C7:C10)</f>
        <v>124</v>
      </c>
      <c r="D11" s="7">
        <v>0.99999999999999989</v>
      </c>
      <c r="F11" s="6" t="s">
        <v>29</v>
      </c>
      <c r="G11" s="6">
        <f>SUM(G7:G10)</f>
        <v>194</v>
      </c>
      <c r="H11" s="7">
        <v>1</v>
      </c>
      <c r="J11" s="6" t="s">
        <v>29</v>
      </c>
      <c r="K11" s="6">
        <f>SUM(K7:K10)</f>
        <v>189</v>
      </c>
      <c r="L11" s="7">
        <v>1</v>
      </c>
    </row>
    <row r="13" spans="2:12" ht="34.5" customHeight="1" x14ac:dyDescent="0.3">
      <c r="B13" s="18" t="s">
        <v>36</v>
      </c>
      <c r="C13" s="19"/>
      <c r="D13" s="20"/>
      <c r="F13" s="18" t="s">
        <v>36</v>
      </c>
      <c r="G13" s="19"/>
      <c r="H13" s="20"/>
      <c r="J13" s="18" t="s">
        <v>36</v>
      </c>
      <c r="K13" s="19"/>
      <c r="L13" s="20"/>
    </row>
    <row r="14" spans="2:12" x14ac:dyDescent="0.3">
      <c r="B14" s="15" t="s">
        <v>4</v>
      </c>
      <c r="C14" s="15" t="s">
        <v>5</v>
      </c>
      <c r="D14" s="15" t="s">
        <v>6</v>
      </c>
      <c r="F14" s="15" t="s">
        <v>4</v>
      </c>
      <c r="G14" s="15" t="s">
        <v>5</v>
      </c>
      <c r="H14" s="15" t="s">
        <v>6</v>
      </c>
      <c r="J14" s="15" t="s">
        <v>4</v>
      </c>
      <c r="K14" s="15" t="s">
        <v>5</v>
      </c>
      <c r="L14" s="15" t="s">
        <v>6</v>
      </c>
    </row>
    <row r="15" spans="2:12" x14ac:dyDescent="0.3">
      <c r="B15" s="4" t="s">
        <v>7</v>
      </c>
      <c r="C15" s="4">
        <v>90</v>
      </c>
      <c r="D15" s="5">
        <v>0.72580645161290325</v>
      </c>
      <c r="F15" s="4" t="s">
        <v>7</v>
      </c>
      <c r="G15" s="4">
        <v>133</v>
      </c>
      <c r="H15" s="5">
        <v>0.68556701030927836</v>
      </c>
      <c r="J15" s="4" t="s">
        <v>7</v>
      </c>
      <c r="K15" s="4">
        <v>131</v>
      </c>
      <c r="L15" s="5">
        <v>0.69312169312169314</v>
      </c>
    </row>
    <row r="16" spans="2:12" x14ac:dyDescent="0.3">
      <c r="B16" s="4" t="s">
        <v>8</v>
      </c>
      <c r="C16" s="4">
        <v>12</v>
      </c>
      <c r="D16" s="5">
        <v>9.6774193548387094E-2</v>
      </c>
      <c r="F16" s="4" t="s">
        <v>8</v>
      </c>
      <c r="G16" s="4">
        <v>6</v>
      </c>
      <c r="H16" s="5">
        <v>3.0927835051546393E-2</v>
      </c>
      <c r="J16" s="4" t="s">
        <v>8</v>
      </c>
      <c r="K16" s="4">
        <v>26</v>
      </c>
      <c r="L16" s="5">
        <v>0.13756613756613756</v>
      </c>
    </row>
    <row r="17" spans="2:12" x14ac:dyDescent="0.3">
      <c r="B17" s="4" t="s">
        <v>9</v>
      </c>
      <c r="C17" s="4">
        <v>3</v>
      </c>
      <c r="D17" s="5">
        <v>2.4193548387096774E-2</v>
      </c>
      <c r="F17" s="4" t="s">
        <v>9</v>
      </c>
      <c r="G17" s="4">
        <v>1</v>
      </c>
      <c r="H17" s="5">
        <v>5.1546391752577319E-3</v>
      </c>
      <c r="J17" s="4" t="s">
        <v>9</v>
      </c>
      <c r="K17" s="4">
        <v>1</v>
      </c>
      <c r="L17" s="5">
        <v>5.2910052910052907E-3</v>
      </c>
    </row>
    <row r="18" spans="2:12" x14ac:dyDescent="0.3">
      <c r="B18" s="4" t="s">
        <v>10</v>
      </c>
      <c r="C18" s="4">
        <v>19</v>
      </c>
      <c r="D18" s="5">
        <v>0.15322580645161291</v>
      </c>
      <c r="F18" s="4" t="s">
        <v>10</v>
      </c>
      <c r="G18" s="4">
        <v>54</v>
      </c>
      <c r="H18" s="5">
        <v>0.27835051546391754</v>
      </c>
      <c r="J18" s="4" t="s">
        <v>10</v>
      </c>
      <c r="K18" s="4">
        <v>31</v>
      </c>
      <c r="L18" s="5">
        <v>0.16402116402116401</v>
      </c>
    </row>
    <row r="19" spans="2:12" x14ac:dyDescent="0.3">
      <c r="B19" s="6" t="s">
        <v>29</v>
      </c>
      <c r="C19" s="6">
        <f>SUM(C15:C18)</f>
        <v>124</v>
      </c>
      <c r="D19" s="7">
        <v>1</v>
      </c>
      <c r="F19" s="6" t="s">
        <v>29</v>
      </c>
      <c r="G19" s="6">
        <f>SUM(G15:G18)</f>
        <v>194</v>
      </c>
      <c r="H19" s="7">
        <v>1</v>
      </c>
      <c r="J19" s="6" t="s">
        <v>29</v>
      </c>
      <c r="K19" s="6">
        <f>SUM(K15:K18)</f>
        <v>189</v>
      </c>
      <c r="L19" s="7">
        <v>1</v>
      </c>
    </row>
    <row r="21" spans="2:12" ht="30" customHeight="1" x14ac:dyDescent="0.3">
      <c r="B21" s="18" t="s">
        <v>37</v>
      </c>
      <c r="C21" s="19"/>
      <c r="D21" s="20"/>
      <c r="F21" s="18" t="s">
        <v>37</v>
      </c>
      <c r="G21" s="19"/>
      <c r="H21" s="20"/>
      <c r="J21" s="18" t="s">
        <v>37</v>
      </c>
      <c r="K21" s="19"/>
      <c r="L21" s="20"/>
    </row>
    <row r="22" spans="2:12" x14ac:dyDescent="0.3">
      <c r="B22" s="15" t="s">
        <v>4</v>
      </c>
      <c r="C22" s="15" t="s">
        <v>5</v>
      </c>
      <c r="D22" s="15" t="s">
        <v>6</v>
      </c>
      <c r="F22" s="15" t="s">
        <v>4</v>
      </c>
      <c r="G22" s="15" t="s">
        <v>5</v>
      </c>
      <c r="H22" s="15" t="s">
        <v>6</v>
      </c>
      <c r="J22" s="15" t="s">
        <v>4</v>
      </c>
      <c r="K22" s="15" t="s">
        <v>5</v>
      </c>
      <c r="L22" s="15" t="s">
        <v>6</v>
      </c>
    </row>
    <row r="23" spans="2:12" x14ac:dyDescent="0.3">
      <c r="B23" s="4" t="s">
        <v>7</v>
      </c>
      <c r="C23" s="4">
        <v>105</v>
      </c>
      <c r="D23" s="5">
        <v>0.84677419354838712</v>
      </c>
      <c r="F23" s="4" t="s">
        <v>7</v>
      </c>
      <c r="G23" s="4">
        <v>162</v>
      </c>
      <c r="H23" s="5">
        <v>0.83505154639175261</v>
      </c>
      <c r="J23" s="4" t="s">
        <v>7</v>
      </c>
      <c r="K23" s="4">
        <v>151</v>
      </c>
      <c r="L23" s="5">
        <v>0.79894179894179895</v>
      </c>
    </row>
    <row r="24" spans="2:12" x14ac:dyDescent="0.3">
      <c r="B24" s="4" t="s">
        <v>8</v>
      </c>
      <c r="C24" s="4">
        <v>14</v>
      </c>
      <c r="D24" s="5">
        <v>0.11290322580645161</v>
      </c>
      <c r="F24" s="4" t="s">
        <v>8</v>
      </c>
      <c r="G24" s="4">
        <v>8</v>
      </c>
      <c r="H24" s="5">
        <v>4.1237113402061855E-2</v>
      </c>
      <c r="J24" s="4" t="s">
        <v>8</v>
      </c>
      <c r="K24" s="4">
        <v>25</v>
      </c>
      <c r="L24" s="5">
        <v>0.13227513227513227</v>
      </c>
    </row>
    <row r="25" spans="2:12" x14ac:dyDescent="0.3">
      <c r="B25" s="4" t="s">
        <v>9</v>
      </c>
      <c r="C25" s="4">
        <v>1</v>
      </c>
      <c r="D25" s="5">
        <v>8.0645161290322578E-3</v>
      </c>
      <c r="F25" s="4" t="s">
        <v>9</v>
      </c>
      <c r="G25" s="4">
        <v>0</v>
      </c>
      <c r="H25" s="5">
        <v>0</v>
      </c>
      <c r="J25" s="4" t="s">
        <v>9</v>
      </c>
      <c r="K25" s="4">
        <v>2</v>
      </c>
      <c r="L25" s="5">
        <v>1.0582010582010581E-2</v>
      </c>
    </row>
    <row r="26" spans="2:12" x14ac:dyDescent="0.3">
      <c r="B26" s="4" t="s">
        <v>10</v>
      </c>
      <c r="C26" s="4">
        <v>4</v>
      </c>
      <c r="D26" s="5">
        <v>3.2258064516129031E-2</v>
      </c>
      <c r="F26" s="4" t="s">
        <v>10</v>
      </c>
      <c r="G26" s="4">
        <v>24</v>
      </c>
      <c r="H26" s="5">
        <v>0.12371134020618557</v>
      </c>
      <c r="J26" s="4" t="s">
        <v>10</v>
      </c>
      <c r="K26" s="4">
        <v>11</v>
      </c>
      <c r="L26" s="5">
        <v>5.8201058201058198E-2</v>
      </c>
    </row>
    <row r="27" spans="2:12" x14ac:dyDescent="0.3">
      <c r="B27" s="6" t="s">
        <v>29</v>
      </c>
      <c r="C27" s="6">
        <f>SUM(C23:C26)</f>
        <v>124</v>
      </c>
      <c r="D27" s="7">
        <v>0.99999999999999989</v>
      </c>
      <c r="F27" s="6" t="s">
        <v>29</v>
      </c>
      <c r="G27" s="6">
        <f>SUM(G23:G26)</f>
        <v>194</v>
      </c>
      <c r="H27" s="7">
        <v>1</v>
      </c>
      <c r="J27" s="6" t="s">
        <v>29</v>
      </c>
      <c r="K27" s="6">
        <f>SUM(K23:K26)</f>
        <v>189</v>
      </c>
      <c r="L27" s="7">
        <v>1</v>
      </c>
    </row>
    <row r="30" spans="2:12" x14ac:dyDescent="0.3">
      <c r="C30" t="s">
        <v>16</v>
      </c>
      <c r="G30" t="s">
        <v>16</v>
      </c>
      <c r="K30" t="s">
        <v>30</v>
      </c>
    </row>
    <row r="31" spans="2:12" x14ac:dyDescent="0.3">
      <c r="B31" t="s">
        <v>19</v>
      </c>
      <c r="C31" s="8">
        <f>(C7+C8)/C11</f>
        <v>0.70967741935483875</v>
      </c>
      <c r="F31" t="s">
        <v>19</v>
      </c>
      <c r="G31" s="8">
        <f>(G7+G8)/G11</f>
        <v>0.67010309278350511</v>
      </c>
      <c r="J31" t="s">
        <v>19</v>
      </c>
      <c r="K31" s="8">
        <f>(K7+K8)/K11</f>
        <v>0.73015873015873012</v>
      </c>
    </row>
    <row r="32" spans="2:12" x14ac:dyDescent="0.3">
      <c r="B32" t="s">
        <v>20</v>
      </c>
      <c r="C32" s="8">
        <f>(C9+C10)/C11</f>
        <v>0.29032258064516131</v>
      </c>
      <c r="F32" t="s">
        <v>20</v>
      </c>
      <c r="G32" s="8">
        <f>(G9+G10)/G11</f>
        <v>0.32989690721649484</v>
      </c>
      <c r="J32" t="s">
        <v>20</v>
      </c>
      <c r="K32" s="8">
        <f>(K9+K10)/K11</f>
        <v>0.26984126984126983</v>
      </c>
    </row>
    <row r="34" spans="2:11" x14ac:dyDescent="0.3">
      <c r="C34" t="s">
        <v>17</v>
      </c>
      <c r="G34" t="s">
        <v>17</v>
      </c>
      <c r="K34" t="s">
        <v>31</v>
      </c>
    </row>
    <row r="35" spans="2:11" x14ac:dyDescent="0.3">
      <c r="B35" t="s">
        <v>19</v>
      </c>
      <c r="C35" s="8">
        <f>(C15+C16)/C19</f>
        <v>0.82258064516129037</v>
      </c>
      <c r="F35" t="s">
        <v>19</v>
      </c>
      <c r="G35" s="8">
        <f>(G15+G16)/G19</f>
        <v>0.71649484536082475</v>
      </c>
      <c r="J35" t="s">
        <v>19</v>
      </c>
      <c r="K35" s="8">
        <f>(K15+K16)/K19</f>
        <v>0.8306878306878307</v>
      </c>
    </row>
    <row r="36" spans="2:11" x14ac:dyDescent="0.3">
      <c r="B36" t="s">
        <v>20</v>
      </c>
      <c r="C36" s="8">
        <f>(C17+C18)/C19</f>
        <v>0.17741935483870969</v>
      </c>
      <c r="F36" t="s">
        <v>20</v>
      </c>
      <c r="G36" s="8">
        <f>(G17+G18)/G19</f>
        <v>0.28350515463917525</v>
      </c>
      <c r="J36" t="s">
        <v>20</v>
      </c>
      <c r="K36" s="8">
        <f>(K17+K18)/K19</f>
        <v>0.1693121693121693</v>
      </c>
    </row>
    <row r="38" spans="2:11" x14ac:dyDescent="0.3">
      <c r="C38" t="s">
        <v>17</v>
      </c>
      <c r="G38" t="s">
        <v>17</v>
      </c>
      <c r="K38" t="s">
        <v>31</v>
      </c>
    </row>
    <row r="39" spans="2:11" x14ac:dyDescent="0.3">
      <c r="B39" t="s">
        <v>19</v>
      </c>
      <c r="C39" s="8">
        <f>(C23+C24)/C27</f>
        <v>0.95967741935483875</v>
      </c>
      <c r="F39" t="s">
        <v>19</v>
      </c>
      <c r="G39" s="8">
        <f>(G23+G24)/G27</f>
        <v>0.87628865979381443</v>
      </c>
      <c r="J39" t="s">
        <v>19</v>
      </c>
      <c r="K39" s="8">
        <f>(K23+K24)/K27</f>
        <v>0.93121693121693117</v>
      </c>
    </row>
    <row r="40" spans="2:11" x14ac:dyDescent="0.3">
      <c r="B40" t="s">
        <v>20</v>
      </c>
      <c r="C40" s="8">
        <f>(C25+C26)/C27</f>
        <v>4.0322580645161289E-2</v>
      </c>
      <c r="F40" t="s">
        <v>20</v>
      </c>
      <c r="G40" s="8">
        <f>(G25+G26)/G27</f>
        <v>0.12371134020618557</v>
      </c>
      <c r="J40" t="s">
        <v>20</v>
      </c>
      <c r="K40" s="8">
        <f>(K25+K26)/K27</f>
        <v>6.8783068783068779E-2</v>
      </c>
    </row>
    <row r="44" spans="2:11" ht="15.6" x14ac:dyDescent="0.3">
      <c r="C44" s="9" t="s">
        <v>19</v>
      </c>
      <c r="D44" s="9" t="s">
        <v>20</v>
      </c>
    </row>
    <row r="45" spans="2:11" ht="18" x14ac:dyDescent="0.35">
      <c r="B45" s="10" t="s">
        <v>0</v>
      </c>
      <c r="C45" s="11">
        <f>(C31+C35+C39)/3</f>
        <v>0.83064516129032262</v>
      </c>
      <c r="D45" s="11">
        <f>(C32+C36+C40)/3</f>
        <v>0.16935483870967741</v>
      </c>
    </row>
    <row r="46" spans="2:11" ht="18" x14ac:dyDescent="0.35">
      <c r="B46" s="10" t="s">
        <v>1</v>
      </c>
      <c r="C46" s="11">
        <f>(G31+G35+G39)/3</f>
        <v>0.75429553264604809</v>
      </c>
      <c r="D46" s="11">
        <f>(G32+G36+G40)/3</f>
        <v>0.24570446735395191</v>
      </c>
    </row>
    <row r="47" spans="2:11" ht="18" x14ac:dyDescent="0.35">
      <c r="B47" s="10" t="s">
        <v>2</v>
      </c>
      <c r="C47" s="11">
        <f>(K31+K35+K39)/3</f>
        <v>0.8306878306878307</v>
      </c>
      <c r="D47" s="11">
        <f>(K32+K36+K40)/3</f>
        <v>0.1693121693121693</v>
      </c>
    </row>
  </sheetData>
  <mergeCells count="12">
    <mergeCell ref="B2:D3"/>
    <mergeCell ref="F2:H3"/>
    <mergeCell ref="J2:L3"/>
    <mergeCell ref="B5:D5"/>
    <mergeCell ref="F5:H5"/>
    <mergeCell ref="J5:L5"/>
    <mergeCell ref="B13:D13"/>
    <mergeCell ref="F13:H13"/>
    <mergeCell ref="J13:L13"/>
    <mergeCell ref="B21:D21"/>
    <mergeCell ref="F21:H21"/>
    <mergeCell ref="J21:L2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2"/>
  <sheetViews>
    <sheetView zoomScale="70" zoomScaleNormal="70" workbookViewId="0">
      <selection activeCell="M23" sqref="M23"/>
    </sheetView>
  </sheetViews>
  <sheetFormatPr baseColWidth="10" defaultRowHeight="14.4" x14ac:dyDescent="0.3"/>
  <cols>
    <col min="2" max="2" width="19.88671875" customWidth="1"/>
    <col min="3" max="3" width="20.33203125" customWidth="1"/>
    <col min="4" max="4" width="17.109375" customWidth="1"/>
    <col min="5" max="5" width="7.5546875" customWidth="1"/>
    <col min="6" max="6" width="18.33203125" customWidth="1"/>
    <col min="7" max="7" width="19.33203125" customWidth="1"/>
    <col min="8" max="8" width="15.109375" customWidth="1"/>
    <col min="9" max="9" width="8.109375" customWidth="1"/>
    <col min="10" max="10" width="19.44140625" customWidth="1"/>
    <col min="11" max="11" width="21.88671875" customWidth="1"/>
    <col min="12" max="12" width="14.5546875" customWidth="1"/>
  </cols>
  <sheetData>
    <row r="2" spans="2:12" x14ac:dyDescent="0.3">
      <c r="B2" s="21" t="s">
        <v>0</v>
      </c>
      <c r="C2" s="21"/>
      <c r="D2" s="21"/>
      <c r="F2" s="21" t="s">
        <v>1</v>
      </c>
      <c r="G2" s="21"/>
      <c r="H2" s="21"/>
      <c r="J2" s="21" t="s">
        <v>2</v>
      </c>
      <c r="K2" s="21"/>
      <c r="L2" s="21"/>
    </row>
    <row r="3" spans="2:12" x14ac:dyDescent="0.3">
      <c r="B3" s="21"/>
      <c r="C3" s="21"/>
      <c r="D3" s="21"/>
      <c r="F3" s="21"/>
      <c r="G3" s="21"/>
      <c r="H3" s="21"/>
      <c r="J3" s="21"/>
      <c r="K3" s="21"/>
      <c r="L3" s="21"/>
    </row>
    <row r="5" spans="2:12" ht="29.25" customHeight="1" x14ac:dyDescent="0.3">
      <c r="B5" s="18" t="s">
        <v>38</v>
      </c>
      <c r="C5" s="19"/>
      <c r="D5" s="20"/>
      <c r="F5" s="18" t="s">
        <v>38</v>
      </c>
      <c r="G5" s="19"/>
      <c r="H5" s="20"/>
      <c r="J5" s="18" t="s">
        <v>38</v>
      </c>
      <c r="K5" s="19"/>
      <c r="L5" s="20"/>
    </row>
    <row r="6" spans="2:12" x14ac:dyDescent="0.3">
      <c r="B6" s="15" t="s">
        <v>4</v>
      </c>
      <c r="C6" s="15" t="s">
        <v>5</v>
      </c>
      <c r="D6" s="15" t="s">
        <v>6</v>
      </c>
      <c r="F6" s="15" t="s">
        <v>4</v>
      </c>
      <c r="G6" s="15" t="s">
        <v>5</v>
      </c>
      <c r="H6" s="15" t="s">
        <v>6</v>
      </c>
      <c r="J6" s="15" t="s">
        <v>4</v>
      </c>
      <c r="K6" s="15" t="s">
        <v>5</v>
      </c>
      <c r="L6" s="15" t="s">
        <v>6</v>
      </c>
    </row>
    <row r="7" spans="2:12" x14ac:dyDescent="0.3">
      <c r="B7" s="4" t="s">
        <v>39</v>
      </c>
      <c r="C7" s="4">
        <v>2</v>
      </c>
      <c r="D7" s="5">
        <v>1.5625E-2</v>
      </c>
      <c r="F7" s="4" t="s">
        <v>39</v>
      </c>
      <c r="G7" s="4">
        <v>3</v>
      </c>
      <c r="H7" s="5">
        <v>1.5463917525773196E-2</v>
      </c>
      <c r="J7" s="4" t="s">
        <v>39</v>
      </c>
      <c r="K7" s="4">
        <v>0</v>
      </c>
      <c r="L7" s="5">
        <v>0</v>
      </c>
    </row>
    <row r="8" spans="2:12" x14ac:dyDescent="0.3">
      <c r="B8" s="4" t="s">
        <v>40</v>
      </c>
      <c r="C8" s="4">
        <v>1</v>
      </c>
      <c r="D8" s="5">
        <v>7.8125E-3</v>
      </c>
      <c r="F8" s="4" t="s">
        <v>40</v>
      </c>
      <c r="G8" s="4">
        <v>2</v>
      </c>
      <c r="H8" s="5">
        <v>1.0309278350515464E-2</v>
      </c>
      <c r="J8" s="4" t="s">
        <v>40</v>
      </c>
      <c r="K8" s="4">
        <v>1</v>
      </c>
      <c r="L8" s="5">
        <v>5.4054054054054057E-3</v>
      </c>
    </row>
    <row r="9" spans="2:12" x14ac:dyDescent="0.3">
      <c r="B9" s="4" t="s">
        <v>41</v>
      </c>
      <c r="C9" s="4">
        <v>4</v>
      </c>
      <c r="D9" s="5">
        <v>3.125E-2</v>
      </c>
      <c r="F9" s="4" t="s">
        <v>41</v>
      </c>
      <c r="G9" s="4">
        <v>3</v>
      </c>
      <c r="H9" s="5">
        <v>1.5463917525773196E-2</v>
      </c>
      <c r="J9" s="4" t="s">
        <v>41</v>
      </c>
      <c r="K9" s="4">
        <v>6</v>
      </c>
      <c r="L9" s="5">
        <v>3.2432432432432434E-2</v>
      </c>
    </row>
    <row r="10" spans="2:12" x14ac:dyDescent="0.3">
      <c r="B10" s="4" t="s">
        <v>42</v>
      </c>
      <c r="C10" s="4">
        <v>19</v>
      </c>
      <c r="D10" s="5">
        <v>0.1484375</v>
      </c>
      <c r="F10" s="4" t="s">
        <v>42</v>
      </c>
      <c r="G10" s="4">
        <v>62</v>
      </c>
      <c r="H10" s="5">
        <v>0.31958762886597936</v>
      </c>
      <c r="J10" s="4" t="s">
        <v>42</v>
      </c>
      <c r="K10" s="4">
        <v>13</v>
      </c>
      <c r="L10" s="5">
        <v>7.0270270270270274E-2</v>
      </c>
    </row>
    <row r="11" spans="2:12" x14ac:dyDescent="0.3">
      <c r="B11" s="4" t="s">
        <v>43</v>
      </c>
      <c r="C11" s="4">
        <v>102</v>
      </c>
      <c r="D11" s="5">
        <v>0.796875</v>
      </c>
      <c r="F11" s="4" t="s">
        <v>43</v>
      </c>
      <c r="G11" s="4">
        <v>124</v>
      </c>
      <c r="H11" s="5">
        <v>0.63917525773195871</v>
      </c>
      <c r="J11" s="4" t="s">
        <v>43</v>
      </c>
      <c r="K11" s="4">
        <v>165</v>
      </c>
      <c r="L11" s="5">
        <v>0.89189189189189189</v>
      </c>
    </row>
    <row r="12" spans="2:12" x14ac:dyDescent="0.3">
      <c r="B12" s="6" t="s">
        <v>29</v>
      </c>
      <c r="C12" s="6">
        <f>SUM(C7:C11)</f>
        <v>128</v>
      </c>
      <c r="D12" s="7">
        <v>1</v>
      </c>
      <c r="F12" s="6" t="s">
        <v>29</v>
      </c>
      <c r="G12" s="6">
        <f>SUM(G7:G11)</f>
        <v>194</v>
      </c>
      <c r="H12" s="7">
        <v>1</v>
      </c>
      <c r="J12" s="6" t="s">
        <v>29</v>
      </c>
      <c r="K12" s="6">
        <f>SUM(K7:K11)</f>
        <v>185</v>
      </c>
      <c r="L12" s="7">
        <v>1</v>
      </c>
    </row>
    <row r="14" spans="2:12" x14ac:dyDescent="0.3">
      <c r="C14" t="s">
        <v>16</v>
      </c>
      <c r="G14" t="s">
        <v>16</v>
      </c>
      <c r="K14" t="s">
        <v>16</v>
      </c>
    </row>
    <row r="15" spans="2:12" x14ac:dyDescent="0.3">
      <c r="B15" t="s">
        <v>19</v>
      </c>
      <c r="C15" s="8">
        <f>(C10+C11)/C12</f>
        <v>0.9453125</v>
      </c>
      <c r="F15" t="s">
        <v>19</v>
      </c>
      <c r="G15" s="8">
        <f>(G10+G11)/G12</f>
        <v>0.95876288659793818</v>
      </c>
      <c r="J15" t="s">
        <v>19</v>
      </c>
      <c r="K15" s="8">
        <f>(K10+K11)/K12</f>
        <v>0.96216216216216222</v>
      </c>
    </row>
    <row r="16" spans="2:12" x14ac:dyDescent="0.3">
      <c r="B16" t="s">
        <v>20</v>
      </c>
      <c r="C16" s="8">
        <f>(C7+C8+C9)/C12</f>
        <v>5.46875E-2</v>
      </c>
      <c r="F16" t="s">
        <v>20</v>
      </c>
      <c r="G16" s="8">
        <f>(G7+G8+G9)/G12</f>
        <v>4.1237113402061855E-2</v>
      </c>
      <c r="J16" t="s">
        <v>20</v>
      </c>
      <c r="K16" s="8">
        <f>(K7+K8+K9)/K12</f>
        <v>3.783783783783784E-2</v>
      </c>
    </row>
    <row r="19" spans="2:4" ht="15.6" x14ac:dyDescent="0.3">
      <c r="C19" s="9" t="s">
        <v>19</v>
      </c>
      <c r="D19" s="9" t="s">
        <v>20</v>
      </c>
    </row>
    <row r="20" spans="2:4" ht="18" x14ac:dyDescent="0.35">
      <c r="B20" s="10" t="s">
        <v>0</v>
      </c>
      <c r="C20" s="16">
        <f>C15</f>
        <v>0.9453125</v>
      </c>
      <c r="D20" s="11">
        <f>C16</f>
        <v>5.46875E-2</v>
      </c>
    </row>
    <row r="21" spans="2:4" ht="18" x14ac:dyDescent="0.35">
      <c r="B21" s="10" t="s">
        <v>1</v>
      </c>
      <c r="C21" s="11">
        <f>G15</f>
        <v>0.95876288659793818</v>
      </c>
      <c r="D21" s="11">
        <f>G16</f>
        <v>4.1237113402061855E-2</v>
      </c>
    </row>
    <row r="22" spans="2:4" ht="18" x14ac:dyDescent="0.35">
      <c r="B22" s="10" t="s">
        <v>2</v>
      </c>
      <c r="C22" s="11">
        <f>K15</f>
        <v>0.96216216216216222</v>
      </c>
      <c r="D22" s="11">
        <f>K16</f>
        <v>3.783783783783784E-2</v>
      </c>
    </row>
  </sheetData>
  <mergeCells count="6">
    <mergeCell ref="B2:D3"/>
    <mergeCell ref="F2:H3"/>
    <mergeCell ref="J2:L3"/>
    <mergeCell ref="B5:D5"/>
    <mergeCell ref="F5:H5"/>
    <mergeCell ref="J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ADMISION</vt:lpstr>
      <vt:lpstr>LABORATORIO</vt:lpstr>
      <vt:lpstr>CMF</vt:lpstr>
      <vt:lpstr>CDI</vt:lpstr>
      <vt:lpstr>SAP</vt:lpstr>
      <vt:lpstr>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MassVision</dc:creator>
  <cp:lastModifiedBy>USER</cp:lastModifiedBy>
  <dcterms:created xsi:type="dcterms:W3CDTF">2024-01-04T15:55:32Z</dcterms:created>
  <dcterms:modified xsi:type="dcterms:W3CDTF">2024-04-01T22:36:42Z</dcterms:modified>
</cp:coreProperties>
</file>