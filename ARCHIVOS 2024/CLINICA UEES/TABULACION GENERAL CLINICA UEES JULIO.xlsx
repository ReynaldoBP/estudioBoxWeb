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CLINICA UEES\"/>
    </mc:Choice>
  </mc:AlternateContent>
  <bookViews>
    <workbookView xWindow="0" yWindow="0" windowWidth="17256" windowHeight="5772"/>
  </bookViews>
  <sheets>
    <sheet name="CLINICA UEE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2" i="2" l="1"/>
  <c r="C32" i="2"/>
  <c r="D31" i="2"/>
  <c r="C31" i="2"/>
  <c r="M36" i="2"/>
  <c r="L36" i="2"/>
  <c r="K36" i="2"/>
  <c r="J36" i="2"/>
  <c r="N36" i="2"/>
  <c r="N29" i="2"/>
  <c r="M29" i="2"/>
  <c r="K29" i="2"/>
  <c r="J29" i="2"/>
  <c r="U20" i="2"/>
  <c r="T20" i="2"/>
  <c r="S20" i="2"/>
  <c r="R20" i="2"/>
  <c r="Q20" i="2"/>
  <c r="N18" i="2"/>
  <c r="M18" i="2"/>
  <c r="L18" i="2"/>
  <c r="K18" i="2"/>
  <c r="J18" i="2"/>
  <c r="G21" i="2"/>
  <c r="F21" i="2"/>
  <c r="D29" i="2" s="1"/>
  <c r="C21" i="2"/>
  <c r="D21" i="2"/>
  <c r="E21" i="2"/>
  <c r="G12" i="2"/>
  <c r="F12" i="2"/>
  <c r="E12" i="2"/>
  <c r="D12" i="2"/>
  <c r="C12" i="2"/>
  <c r="D30" i="2" l="1"/>
  <c r="C30" i="2"/>
  <c r="C29" i="2"/>
  <c r="R11" i="2"/>
  <c r="T11" i="2"/>
  <c r="U11" i="2"/>
  <c r="Q11" i="2"/>
  <c r="K9" i="2"/>
  <c r="M9" i="2"/>
  <c r="N9" i="2"/>
  <c r="J9" i="2"/>
</calcChain>
</file>

<file path=xl/sharedStrings.xml><?xml version="1.0" encoding="utf-8"?>
<sst xmlns="http://schemas.openxmlformats.org/spreadsheetml/2006/main" count="102" uniqueCount="30">
  <si>
    <t>TOTAL</t>
  </si>
  <si>
    <t>SATISFACCION</t>
  </si>
  <si>
    <t>INSATISFACCION</t>
  </si>
  <si>
    <t>PREGUNTAS</t>
  </si>
  <si>
    <t>1.Indica su nivel de satisfacción con el proceso de reserva de una cita con tu médico</t>
  </si>
  <si>
    <t>2.¿Cómo calificaría la profesionalidad de nuestro personal médico y administrativo?</t>
  </si>
  <si>
    <t>3.Calidad de tiempo que el médico mantuvo con usted:</t>
  </si>
  <si>
    <t>4.¿Califique la calidad del servicio recibido en nuestras instalaciones?</t>
  </si>
  <si>
    <t>5.¿Califique la satisfacción con el médico que se le asignó?</t>
  </si>
  <si>
    <t>6.¿Qué tan eficiente y completo fue el proceso de facturación?</t>
  </si>
  <si>
    <t>CALIFICACION 1</t>
  </si>
  <si>
    <t>CALIFICACION 2</t>
  </si>
  <si>
    <t>CALIFICACION 3</t>
  </si>
  <si>
    <t>CALIFICACION 4</t>
  </si>
  <si>
    <t>CALIFICACION 5</t>
  </si>
  <si>
    <t>CDI</t>
  </si>
  <si>
    <t>CLINICA UEES</t>
  </si>
  <si>
    <t>ADMISION</t>
  </si>
  <si>
    <t>1.Calidad del servicio recibido en nuestras instalaciones</t>
  </si>
  <si>
    <t>2.Califique la atención del personal administrativo</t>
  </si>
  <si>
    <t>HOSPITALIZACION</t>
  </si>
  <si>
    <t>1.Califique la profesionalidad de nuestro personal de enfermeras</t>
  </si>
  <si>
    <t>2.Califique la atención brindada por nuestro personal médico</t>
  </si>
  <si>
    <t>3.Califique la calidad de su estadía en nuestras instalaciones</t>
  </si>
  <si>
    <t>4.Califique la limpieza e higiene en nuestro centro médico</t>
  </si>
  <si>
    <t>5.Califique en función de nuestra preocupación por su privacidad y transparencia.</t>
  </si>
  <si>
    <t>FARMACIA</t>
  </si>
  <si>
    <t>1.Califique la calidad del servicio recibido en nuestra farmacia</t>
  </si>
  <si>
    <t>2.Califique la cordialidad de nuestro personal</t>
  </si>
  <si>
    <t>3.Califique las instalaciones de la clínica: sala espera, pasillos y consultorios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</si>
</sst>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9" fontId="5" fillId="0" borderId="1" xfId="1" applyFont="1" applyBorder="1"/>
    <xf numFmtId="0" fontId="4" fillId="0" borderId="0" xfId="0" applyFont="1"/>
    <xf numFmtId="9" fontId="2" fillId="0" borderId="0" xfId="0" applyNumberFormat="1" applyFont="1" applyBorder="1"/>
    <xf numFmtId="0" fontId="4" fillId="0" borderId="0" xfId="0" applyFont="1" applyBorder="1"/>
    <xf numFmtId="9" fontId="5" fillId="0" borderId="0" xfId="1" applyFont="1" applyBorder="1"/>
    <xf numFmtId="0" fontId="0" fillId="0" borderId="0" xfId="0" applyBorder="1"/>
    <xf numFmtId="0" fontId="2" fillId="0" borderId="0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9" fontId="0" fillId="0" borderId="1" xfId="0" applyNumberFormat="1" applyFont="1" applyBorder="1" applyAlignment="1">
      <alignment horizontal="right"/>
    </xf>
    <xf numFmtId="0" fontId="4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right"/>
    </xf>
    <xf numFmtId="9" fontId="0" fillId="0" borderId="1" xfId="1" applyFont="1" applyBorder="1" applyAlignment="1">
      <alignment horizontal="right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1" applyNumberFormat="1" applyFont="1" applyBorder="1" applyAlignment="1">
      <alignment horizontal="center"/>
    </xf>
    <xf numFmtId="9" fontId="5" fillId="0" borderId="0" xfId="0" applyNumberFormat="1" applyFont="1" applyBorder="1"/>
    <xf numFmtId="0" fontId="6" fillId="0" borderId="1" xfId="0" applyFont="1" applyBorder="1" applyAlignment="1">
      <alignment horizontal="center" vertical="center" wrapText="1"/>
    </xf>
    <xf numFmtId="9" fontId="4" fillId="0" borderId="0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'CLINICA UEES'!$C$28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'CLINICA UEES'!$B$29:$B$32</c:f>
              <c:strCache>
                <c:ptCount val="4"/>
                <c:pt idx="0">
                  <c:v>CDI</c:v>
                </c:pt>
                <c:pt idx="1">
                  <c:v>ADMISION</c:v>
                </c:pt>
                <c:pt idx="2">
                  <c:v>HOSPITALIZACION</c:v>
                </c:pt>
                <c:pt idx="3">
                  <c:v>ADMISION</c:v>
                </c:pt>
              </c:strCache>
            </c:strRef>
          </c:cat>
          <c:val>
            <c:numRef>
              <c:f>'CLINICA UEES'!$C$29:$C$32</c:f>
              <c:numCache>
                <c:formatCode>0%</c:formatCode>
                <c:ptCount val="4"/>
                <c:pt idx="0">
                  <c:v>0</c:v>
                </c:pt>
                <c:pt idx="1">
                  <c:v>0.33333333333333326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'CLINICA UEES'!$D$28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'CLINICA UEES'!$B$29:$B$32</c:f>
              <c:strCache>
                <c:ptCount val="4"/>
                <c:pt idx="0">
                  <c:v>CDI</c:v>
                </c:pt>
                <c:pt idx="1">
                  <c:v>ADMISION</c:v>
                </c:pt>
                <c:pt idx="2">
                  <c:v>HOSPITALIZACION</c:v>
                </c:pt>
                <c:pt idx="3">
                  <c:v>ADMISION</c:v>
                </c:pt>
              </c:strCache>
            </c:strRef>
          </c:cat>
          <c:val>
            <c:numRef>
              <c:f>'CLINICA UEES'!$D$29:$D$32</c:f>
              <c:numCache>
                <c:formatCode>0%</c:formatCode>
                <c:ptCount val="4"/>
                <c:pt idx="0">
                  <c:v>1</c:v>
                </c:pt>
                <c:pt idx="1">
                  <c:v>0.66666666666666663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1368422</xdr:colOff>
      <xdr:row>39</xdr:row>
      <xdr:rowOff>164192</xdr:rowOff>
    </xdr:from>
    <xdr:to>
      <xdr:col>13</xdr:col>
      <xdr:colOff>1066800</xdr:colOff>
      <xdr:row>71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6"/>
  <sheetViews>
    <sheetView tabSelected="1" zoomScale="50" zoomScaleNormal="50" workbookViewId="0">
      <selection activeCell="S52" sqref="S52"/>
    </sheetView>
  </sheetViews>
  <sheetFormatPr baseColWidth="10" defaultRowHeight="14.4" x14ac:dyDescent="0.3"/>
  <cols>
    <col min="1" max="1" width="6.109375" customWidth="1"/>
    <col min="2" max="2" width="25.44140625" customWidth="1"/>
    <col min="3" max="3" width="20.21875" customWidth="1"/>
    <col min="4" max="4" width="23.44140625" customWidth="1"/>
    <col min="5" max="5" width="17.44140625" customWidth="1"/>
    <col min="6" max="6" width="16.5546875" customWidth="1"/>
    <col min="7" max="7" width="17.109375" customWidth="1"/>
    <col min="8" max="8" width="12.33203125" customWidth="1"/>
    <col min="9" max="9" width="24" customWidth="1"/>
    <col min="10" max="10" width="17.77734375" customWidth="1"/>
    <col min="11" max="11" width="17" customWidth="1"/>
    <col min="12" max="12" width="17.88671875" customWidth="1"/>
    <col min="13" max="13" width="17.6640625" customWidth="1"/>
    <col min="14" max="14" width="17.44140625" customWidth="1"/>
    <col min="15" max="15" width="13.33203125" customWidth="1"/>
    <col min="16" max="16" width="17.109375" customWidth="1"/>
    <col min="17" max="17" width="16.77734375" customWidth="1"/>
    <col min="18" max="18" width="18.21875" customWidth="1"/>
    <col min="19" max="19" width="18" customWidth="1"/>
    <col min="20" max="20" width="17" customWidth="1"/>
    <col min="21" max="21" width="17.77734375" customWidth="1"/>
  </cols>
  <sheetData>
    <row r="2" spans="2:21" ht="15" customHeight="1" x14ac:dyDescent="0.6">
      <c r="B2" s="24" t="s">
        <v>15</v>
      </c>
      <c r="C2" s="24"/>
      <c r="D2" s="24"/>
      <c r="E2" s="24"/>
      <c r="F2" s="24"/>
      <c r="G2" s="24"/>
      <c r="H2" s="1"/>
      <c r="I2" s="24" t="s">
        <v>17</v>
      </c>
      <c r="J2" s="24"/>
      <c r="K2" s="24"/>
      <c r="L2" s="24"/>
      <c r="M2" s="24"/>
      <c r="N2" s="24"/>
      <c r="O2" s="1"/>
      <c r="P2" s="24" t="s">
        <v>20</v>
      </c>
      <c r="Q2" s="24"/>
      <c r="R2" s="24"/>
      <c r="S2" s="24"/>
      <c r="T2" s="24"/>
      <c r="U2" s="24"/>
    </row>
    <row r="3" spans="2:21" ht="15" customHeight="1" x14ac:dyDescent="0.6">
      <c r="B3" s="24"/>
      <c r="C3" s="24"/>
      <c r="D3" s="24"/>
      <c r="E3" s="24"/>
      <c r="F3" s="24"/>
      <c r="G3" s="24"/>
      <c r="H3" s="1"/>
      <c r="I3" s="24"/>
      <c r="J3" s="24"/>
      <c r="K3" s="24"/>
      <c r="L3" s="24"/>
      <c r="M3" s="24"/>
      <c r="N3" s="24"/>
      <c r="O3" s="1"/>
      <c r="P3" s="24"/>
      <c r="Q3" s="24"/>
      <c r="R3" s="24"/>
      <c r="S3" s="24"/>
      <c r="T3" s="24"/>
      <c r="U3" s="24"/>
    </row>
    <row r="5" spans="2:21" ht="27.6" customHeight="1" x14ac:dyDescent="0.3">
      <c r="B5" s="13" t="s">
        <v>3</v>
      </c>
      <c r="C5" s="28" t="s">
        <v>10</v>
      </c>
      <c r="D5" s="28" t="s">
        <v>11</v>
      </c>
      <c r="E5" s="28" t="s">
        <v>12</v>
      </c>
      <c r="F5" s="28" t="s">
        <v>13</v>
      </c>
      <c r="G5" s="28" t="s">
        <v>14</v>
      </c>
      <c r="H5" s="2"/>
      <c r="I5" s="13" t="s">
        <v>3</v>
      </c>
      <c r="J5" s="28" t="s">
        <v>10</v>
      </c>
      <c r="K5" s="28" t="s">
        <v>11</v>
      </c>
      <c r="L5" s="28" t="s">
        <v>12</v>
      </c>
      <c r="M5" s="28" t="s">
        <v>13</v>
      </c>
      <c r="N5" s="28" t="s">
        <v>14</v>
      </c>
      <c r="O5" s="2"/>
      <c r="P5" s="13" t="s">
        <v>3</v>
      </c>
      <c r="Q5" s="28" t="s">
        <v>10</v>
      </c>
      <c r="R5" s="28" t="s">
        <v>11</v>
      </c>
      <c r="S5" s="28" t="s">
        <v>12</v>
      </c>
      <c r="T5" s="28" t="s">
        <v>13</v>
      </c>
      <c r="U5" s="28" t="s">
        <v>14</v>
      </c>
    </row>
    <row r="6" spans="2:21" x14ac:dyDescent="0.3">
      <c r="B6" s="14" t="s">
        <v>4</v>
      </c>
      <c r="C6" s="15">
        <v>0</v>
      </c>
      <c r="D6" s="15">
        <v>0</v>
      </c>
      <c r="E6" s="15">
        <v>0</v>
      </c>
      <c r="F6" s="15">
        <v>0</v>
      </c>
      <c r="G6" s="15">
        <v>5</v>
      </c>
      <c r="I6" s="14" t="s">
        <v>18</v>
      </c>
      <c r="J6" s="15">
        <v>2</v>
      </c>
      <c r="K6" s="15">
        <v>0</v>
      </c>
      <c r="L6" s="15">
        <v>0</v>
      </c>
      <c r="M6" s="15">
        <v>1</v>
      </c>
      <c r="N6" s="15">
        <v>3</v>
      </c>
      <c r="P6" s="14" t="s">
        <v>21</v>
      </c>
      <c r="Q6" s="15">
        <v>0</v>
      </c>
      <c r="R6" s="15">
        <v>0</v>
      </c>
      <c r="S6" s="15">
        <v>0</v>
      </c>
      <c r="T6" s="15">
        <v>0</v>
      </c>
      <c r="U6" s="15">
        <v>6</v>
      </c>
    </row>
    <row r="7" spans="2:21" x14ac:dyDescent="0.3">
      <c r="B7" s="14" t="s">
        <v>5</v>
      </c>
      <c r="C7" s="15">
        <v>0</v>
      </c>
      <c r="D7" s="15">
        <v>0</v>
      </c>
      <c r="E7" s="15">
        <v>0</v>
      </c>
      <c r="F7" s="15">
        <v>0</v>
      </c>
      <c r="G7" s="15">
        <v>4</v>
      </c>
      <c r="I7" s="14" t="s">
        <v>19</v>
      </c>
      <c r="J7" s="15">
        <v>1</v>
      </c>
      <c r="K7" s="15">
        <v>1</v>
      </c>
      <c r="L7" s="15">
        <v>0</v>
      </c>
      <c r="M7" s="15">
        <v>0</v>
      </c>
      <c r="N7" s="15">
        <v>4</v>
      </c>
      <c r="P7" s="14" t="s">
        <v>22</v>
      </c>
      <c r="Q7" s="15">
        <v>0</v>
      </c>
      <c r="R7" s="15">
        <v>0</v>
      </c>
      <c r="S7" s="15">
        <v>0</v>
      </c>
      <c r="T7" s="15">
        <v>0</v>
      </c>
      <c r="U7" s="15">
        <v>6</v>
      </c>
    </row>
    <row r="8" spans="2:21" x14ac:dyDescent="0.3">
      <c r="B8" s="14" t="s">
        <v>6</v>
      </c>
      <c r="C8" s="15">
        <v>0</v>
      </c>
      <c r="D8" s="15">
        <v>0</v>
      </c>
      <c r="E8" s="15">
        <v>0</v>
      </c>
      <c r="F8" s="15">
        <v>1</v>
      </c>
      <c r="G8" s="15">
        <v>4</v>
      </c>
      <c r="I8" s="14" t="s">
        <v>9</v>
      </c>
      <c r="J8" s="15">
        <v>2</v>
      </c>
      <c r="K8" s="15">
        <v>0</v>
      </c>
      <c r="L8" s="15">
        <v>0</v>
      </c>
      <c r="M8" s="15">
        <v>0</v>
      </c>
      <c r="N8" s="15">
        <v>4</v>
      </c>
      <c r="P8" s="14" t="s">
        <v>23</v>
      </c>
      <c r="Q8" s="15">
        <v>0</v>
      </c>
      <c r="R8" s="15">
        <v>0</v>
      </c>
      <c r="S8" s="15">
        <v>0</v>
      </c>
      <c r="T8" s="15">
        <v>0</v>
      </c>
      <c r="U8" s="15">
        <v>6</v>
      </c>
    </row>
    <row r="9" spans="2:21" x14ac:dyDescent="0.3">
      <c r="B9" s="14" t="s">
        <v>7</v>
      </c>
      <c r="C9" s="15">
        <v>0</v>
      </c>
      <c r="D9" s="15">
        <v>0</v>
      </c>
      <c r="E9" s="15">
        <v>0</v>
      </c>
      <c r="F9" s="15">
        <v>0</v>
      </c>
      <c r="G9" s="15">
        <v>4</v>
      </c>
      <c r="I9" s="3" t="s">
        <v>0</v>
      </c>
      <c r="J9" s="16">
        <f>SUM(J6:J8)</f>
        <v>5</v>
      </c>
      <c r="K9" s="16">
        <f>SUM(K6:K8)</f>
        <v>1</v>
      </c>
      <c r="L9" s="16"/>
      <c r="M9" s="16">
        <f>SUM(M6:M8)</f>
        <v>1</v>
      </c>
      <c r="N9" s="16">
        <f>SUM(N6:N8)</f>
        <v>11</v>
      </c>
      <c r="P9" s="14" t="s">
        <v>24</v>
      </c>
      <c r="Q9" s="15">
        <v>0</v>
      </c>
      <c r="R9" s="15">
        <v>0</v>
      </c>
      <c r="S9" s="15">
        <v>0</v>
      </c>
      <c r="T9" s="15">
        <v>0</v>
      </c>
      <c r="U9" s="15">
        <v>6</v>
      </c>
    </row>
    <row r="10" spans="2:21" x14ac:dyDescent="0.3">
      <c r="B10" s="14" t="s">
        <v>8</v>
      </c>
      <c r="C10" s="15">
        <v>0</v>
      </c>
      <c r="D10" s="15">
        <v>0</v>
      </c>
      <c r="E10" s="15">
        <v>0</v>
      </c>
      <c r="F10" s="15">
        <v>0</v>
      </c>
      <c r="G10" s="15">
        <v>4</v>
      </c>
      <c r="J10" s="12"/>
      <c r="K10" s="8"/>
      <c r="L10" s="8"/>
      <c r="M10" s="8"/>
      <c r="N10" s="8"/>
      <c r="P10" s="14" t="s">
        <v>25</v>
      </c>
      <c r="Q10" s="15">
        <v>0</v>
      </c>
      <c r="R10" s="15">
        <v>0</v>
      </c>
      <c r="S10" s="15">
        <v>0</v>
      </c>
      <c r="T10" s="15">
        <v>0</v>
      </c>
      <c r="U10" s="15">
        <v>6</v>
      </c>
    </row>
    <row r="11" spans="2:21" x14ac:dyDescent="0.3">
      <c r="B11" s="14" t="s">
        <v>9</v>
      </c>
      <c r="C11" s="15">
        <v>0</v>
      </c>
      <c r="D11" s="15">
        <v>0</v>
      </c>
      <c r="E11" s="15">
        <v>0</v>
      </c>
      <c r="F11" s="15">
        <v>0</v>
      </c>
      <c r="G11" s="15">
        <v>4</v>
      </c>
      <c r="I11" s="12"/>
      <c r="J11" s="12"/>
      <c r="K11" s="8"/>
      <c r="L11" s="8"/>
      <c r="M11" s="8"/>
      <c r="N11" s="8"/>
      <c r="P11" s="3" t="s">
        <v>0</v>
      </c>
      <c r="Q11" s="16">
        <f>SUM(Q6:Q10)</f>
        <v>0</v>
      </c>
      <c r="R11" s="16">
        <f>SUM(R6:R10)</f>
        <v>0</v>
      </c>
      <c r="S11" s="16"/>
      <c r="T11" s="16">
        <f>SUM(T6:T10)</f>
        <v>0</v>
      </c>
      <c r="U11" s="16">
        <f>SUM(U6:U10)</f>
        <v>30</v>
      </c>
    </row>
    <row r="12" spans="2:21" x14ac:dyDescent="0.3">
      <c r="B12" s="3" t="s">
        <v>0</v>
      </c>
      <c r="C12" s="16">
        <f>SUM(C6:C11)</f>
        <v>0</v>
      </c>
      <c r="D12" s="16">
        <f>SUM(D6:D11)</f>
        <v>0</v>
      </c>
      <c r="E12" s="16">
        <f>SUM(E6:E11)</f>
        <v>0</v>
      </c>
      <c r="F12" s="16">
        <f>SUM(F6:F11)</f>
        <v>1</v>
      </c>
      <c r="G12" s="16">
        <f>SUM(G6:G11)</f>
        <v>25</v>
      </c>
      <c r="P12" s="12"/>
      <c r="Q12" s="12"/>
      <c r="R12" s="8"/>
      <c r="S12" s="8"/>
    </row>
    <row r="13" spans="2:21" x14ac:dyDescent="0.3">
      <c r="B13" s="12"/>
      <c r="C13" s="12"/>
      <c r="D13" s="8"/>
      <c r="E13" s="8"/>
      <c r="F13" s="8"/>
      <c r="G13" s="8"/>
      <c r="P13" s="11"/>
      <c r="Q13" s="11"/>
      <c r="R13" s="11"/>
      <c r="S13" s="11"/>
    </row>
    <row r="14" spans="2:21" ht="28.8" customHeight="1" x14ac:dyDescent="0.3">
      <c r="B14" s="13" t="s">
        <v>3</v>
      </c>
      <c r="C14" s="28" t="s">
        <v>10</v>
      </c>
      <c r="D14" s="28" t="s">
        <v>11</v>
      </c>
      <c r="E14" s="28" t="s">
        <v>12</v>
      </c>
      <c r="F14" s="28" t="s">
        <v>13</v>
      </c>
      <c r="G14" s="28" t="s">
        <v>14</v>
      </c>
      <c r="I14" s="13" t="s">
        <v>3</v>
      </c>
      <c r="J14" s="28" t="s">
        <v>10</v>
      </c>
      <c r="K14" s="28" t="s">
        <v>11</v>
      </c>
      <c r="L14" s="28" t="s">
        <v>12</v>
      </c>
      <c r="M14" s="28" t="s">
        <v>13</v>
      </c>
      <c r="N14" s="28" t="s">
        <v>14</v>
      </c>
      <c r="P14" s="13" t="s">
        <v>3</v>
      </c>
      <c r="Q14" s="28" t="s">
        <v>10</v>
      </c>
      <c r="R14" s="28" t="s">
        <v>11</v>
      </c>
      <c r="S14" s="28" t="s">
        <v>12</v>
      </c>
      <c r="T14" s="28" t="s">
        <v>13</v>
      </c>
      <c r="U14" s="28" t="s">
        <v>14</v>
      </c>
    </row>
    <row r="15" spans="2:21" x14ac:dyDescent="0.3">
      <c r="B15" s="14" t="s">
        <v>4</v>
      </c>
      <c r="C15" s="17">
        <v>0</v>
      </c>
      <c r="D15" s="17">
        <v>0</v>
      </c>
      <c r="E15" s="17">
        <v>0</v>
      </c>
      <c r="F15" s="17">
        <v>0</v>
      </c>
      <c r="G15" s="17">
        <v>1</v>
      </c>
      <c r="I15" s="14" t="s">
        <v>18</v>
      </c>
      <c r="J15" s="17">
        <v>0.33333333333333331</v>
      </c>
      <c r="K15" s="17">
        <v>0</v>
      </c>
      <c r="L15" s="17">
        <v>0</v>
      </c>
      <c r="M15" s="17">
        <v>0.16666666666666666</v>
      </c>
      <c r="N15" s="17">
        <v>0.5</v>
      </c>
      <c r="P15" s="14" t="s">
        <v>21</v>
      </c>
      <c r="Q15" s="19">
        <v>0</v>
      </c>
      <c r="R15" s="19">
        <v>0</v>
      </c>
      <c r="S15" s="19">
        <v>0</v>
      </c>
      <c r="T15" s="20">
        <v>0</v>
      </c>
      <c r="U15" s="20">
        <v>1</v>
      </c>
    </row>
    <row r="16" spans="2:21" x14ac:dyDescent="0.3">
      <c r="B16" s="14" t="s">
        <v>5</v>
      </c>
      <c r="C16" s="17">
        <v>0</v>
      </c>
      <c r="D16" s="17">
        <v>0</v>
      </c>
      <c r="E16" s="17">
        <v>0</v>
      </c>
      <c r="F16" s="17">
        <v>0</v>
      </c>
      <c r="G16" s="17">
        <v>1</v>
      </c>
      <c r="I16" s="14" t="s">
        <v>19</v>
      </c>
      <c r="J16" s="17">
        <v>0.16666666666666666</v>
      </c>
      <c r="K16" s="17">
        <v>0.16666666666666666</v>
      </c>
      <c r="L16" s="17">
        <v>0</v>
      </c>
      <c r="M16" s="17">
        <v>0</v>
      </c>
      <c r="N16" s="17">
        <v>0.66666666666666663</v>
      </c>
      <c r="P16" s="14" t="s">
        <v>22</v>
      </c>
      <c r="Q16" s="19">
        <v>0</v>
      </c>
      <c r="R16" s="19">
        <v>0</v>
      </c>
      <c r="S16" s="19">
        <v>0</v>
      </c>
      <c r="T16" s="19">
        <v>0</v>
      </c>
      <c r="U16" s="19">
        <v>1</v>
      </c>
    </row>
    <row r="17" spans="2:21" x14ac:dyDescent="0.3">
      <c r="B17" s="14" t="s">
        <v>6</v>
      </c>
      <c r="C17" s="17">
        <v>0</v>
      </c>
      <c r="D17" s="17">
        <v>0</v>
      </c>
      <c r="E17" s="17">
        <v>0</v>
      </c>
      <c r="F17" s="17">
        <v>0.2</v>
      </c>
      <c r="G17" s="17">
        <v>0.8</v>
      </c>
      <c r="I17" s="14" t="s">
        <v>9</v>
      </c>
      <c r="J17" s="17">
        <v>0.33333333333333331</v>
      </c>
      <c r="K17" s="17">
        <v>0</v>
      </c>
      <c r="L17" s="17">
        <v>0</v>
      </c>
      <c r="M17" s="17">
        <v>0</v>
      </c>
      <c r="N17" s="17">
        <v>0.66666666666666663</v>
      </c>
      <c r="P17" s="14" t="s">
        <v>23</v>
      </c>
      <c r="Q17" s="19">
        <v>0</v>
      </c>
      <c r="R17" s="19">
        <v>0</v>
      </c>
      <c r="S17" s="19">
        <v>0</v>
      </c>
      <c r="T17" s="19">
        <v>0</v>
      </c>
      <c r="U17" s="19">
        <v>1</v>
      </c>
    </row>
    <row r="18" spans="2:21" x14ac:dyDescent="0.3">
      <c r="B18" s="14" t="s">
        <v>7</v>
      </c>
      <c r="C18" s="17">
        <v>0</v>
      </c>
      <c r="D18" s="17">
        <v>0</v>
      </c>
      <c r="E18" s="17">
        <v>0</v>
      </c>
      <c r="F18" s="17">
        <v>0</v>
      </c>
      <c r="G18" s="17">
        <v>1</v>
      </c>
      <c r="H18" s="2"/>
      <c r="I18" s="3" t="s">
        <v>0</v>
      </c>
      <c r="J18" s="4">
        <f>SUM(J15:J17)/3</f>
        <v>0.27777777777777773</v>
      </c>
      <c r="K18" s="4">
        <f>SUM(K15:K17)/3</f>
        <v>5.5555555555555552E-2</v>
      </c>
      <c r="L18" s="4">
        <f>SUM(L15:L17)/3</f>
        <v>0</v>
      </c>
      <c r="M18" s="4">
        <f>SUM(M15:M17)/3</f>
        <v>5.5555555555555552E-2</v>
      </c>
      <c r="N18" s="4">
        <f>SUM(N15:N17)/3</f>
        <v>0.61111111111111105</v>
      </c>
      <c r="O18" s="2"/>
      <c r="P18" s="14" t="s">
        <v>24</v>
      </c>
      <c r="Q18" s="19">
        <v>0</v>
      </c>
      <c r="R18" s="19">
        <v>0</v>
      </c>
      <c r="S18" s="19">
        <v>0</v>
      </c>
      <c r="T18" s="19">
        <v>0</v>
      </c>
      <c r="U18" s="19">
        <v>1</v>
      </c>
    </row>
    <row r="19" spans="2:21" ht="15" customHeight="1" x14ac:dyDescent="0.3">
      <c r="B19" s="14" t="s">
        <v>8</v>
      </c>
      <c r="C19" s="17">
        <v>0</v>
      </c>
      <c r="D19" s="17">
        <v>0</v>
      </c>
      <c r="E19" s="17">
        <v>0</v>
      </c>
      <c r="F19" s="17">
        <v>0</v>
      </c>
      <c r="G19" s="17">
        <v>1</v>
      </c>
      <c r="P19" s="14" t="s">
        <v>25</v>
      </c>
      <c r="Q19" s="19">
        <v>0</v>
      </c>
      <c r="R19" s="19">
        <v>0</v>
      </c>
      <c r="S19" s="19">
        <v>0</v>
      </c>
      <c r="T19" s="19">
        <v>0</v>
      </c>
      <c r="U19" s="19">
        <v>1</v>
      </c>
    </row>
    <row r="20" spans="2:21" x14ac:dyDescent="0.3">
      <c r="B20" s="14" t="s">
        <v>9</v>
      </c>
      <c r="C20" s="17">
        <v>0</v>
      </c>
      <c r="D20" s="17">
        <v>0</v>
      </c>
      <c r="E20" s="17">
        <v>0</v>
      </c>
      <c r="F20" s="17">
        <v>0</v>
      </c>
      <c r="G20" s="17">
        <v>1</v>
      </c>
      <c r="P20" s="3" t="s">
        <v>0</v>
      </c>
      <c r="Q20" s="4">
        <f>SUM(Q15:Q19)/5</f>
        <v>0</v>
      </c>
      <c r="R20" s="4">
        <f>SUM(R15:R19)/5</f>
        <v>0</v>
      </c>
      <c r="S20" s="4">
        <f>SUM(S15:S19)/5</f>
        <v>0</v>
      </c>
      <c r="T20" s="4">
        <f>SUM(T15:T19)/5</f>
        <v>0</v>
      </c>
      <c r="U20" s="4">
        <f>SUM(U15:U19)/5</f>
        <v>1</v>
      </c>
    </row>
    <row r="21" spans="2:21" x14ac:dyDescent="0.3">
      <c r="B21" s="3" t="s">
        <v>0</v>
      </c>
      <c r="C21" s="4">
        <f>SUM(C15:C20)/6</f>
        <v>0</v>
      </c>
      <c r="D21" s="4">
        <f>SUM(D15:D20)/6</f>
        <v>0</v>
      </c>
      <c r="E21" s="4">
        <f>SUM(E15:E20)/6</f>
        <v>0</v>
      </c>
      <c r="F21" s="4">
        <f>SUM(F15:F20)/6</f>
        <v>3.3333333333333333E-2</v>
      </c>
      <c r="G21" s="4">
        <f>SUM(G15:G20)/6</f>
        <v>0.96666666666666667</v>
      </c>
      <c r="J21" s="5"/>
      <c r="Q21" s="5"/>
    </row>
    <row r="22" spans="2:21" x14ac:dyDescent="0.3">
      <c r="I22" s="24" t="s">
        <v>26</v>
      </c>
      <c r="J22" s="24"/>
      <c r="K22" s="24"/>
      <c r="L22" s="24"/>
      <c r="M22" s="24"/>
      <c r="N22" s="24"/>
    </row>
    <row r="23" spans="2:21" x14ac:dyDescent="0.3">
      <c r="I23" s="24"/>
      <c r="J23" s="24"/>
      <c r="K23" s="24"/>
      <c r="L23" s="24"/>
      <c r="M23" s="24"/>
      <c r="N23" s="24"/>
    </row>
    <row r="24" spans="2:21" x14ac:dyDescent="0.3">
      <c r="B24" s="12"/>
    </row>
    <row r="25" spans="2:21" ht="28.8" customHeight="1" x14ac:dyDescent="0.3">
      <c r="C25" s="5"/>
      <c r="I25" s="13" t="s">
        <v>3</v>
      </c>
      <c r="J25" s="28" t="s">
        <v>10</v>
      </c>
      <c r="K25" s="28" t="s">
        <v>11</v>
      </c>
      <c r="L25" s="28" t="s">
        <v>12</v>
      </c>
      <c r="M25" s="28" t="s">
        <v>13</v>
      </c>
      <c r="N25" s="28" t="s">
        <v>14</v>
      </c>
      <c r="P25" s="7"/>
    </row>
    <row r="26" spans="2:21" ht="15.6" x14ac:dyDescent="0.3">
      <c r="I26" s="14" t="s">
        <v>27</v>
      </c>
      <c r="J26" s="15">
        <v>0</v>
      </c>
      <c r="K26" s="15">
        <v>0</v>
      </c>
      <c r="L26" s="15">
        <v>0</v>
      </c>
      <c r="M26" s="15">
        <v>0</v>
      </c>
      <c r="N26" s="15">
        <v>37</v>
      </c>
      <c r="P26" s="7"/>
    </row>
    <row r="27" spans="2:21" ht="15.6" x14ac:dyDescent="0.3">
      <c r="C27" s="22" t="s">
        <v>16</v>
      </c>
      <c r="D27" s="23"/>
      <c r="E27" s="25"/>
      <c r="F27" s="9"/>
      <c r="I27" s="14" t="s">
        <v>28</v>
      </c>
      <c r="J27" s="15">
        <v>0</v>
      </c>
      <c r="K27" s="15">
        <v>0</v>
      </c>
      <c r="L27" s="15">
        <v>0</v>
      </c>
      <c r="M27" s="15">
        <v>0</v>
      </c>
      <c r="N27" s="15">
        <v>37</v>
      </c>
    </row>
    <row r="28" spans="2:21" ht="15.6" x14ac:dyDescent="0.3">
      <c r="B28" s="13" t="s">
        <v>3</v>
      </c>
      <c r="C28" s="18" t="s">
        <v>1</v>
      </c>
      <c r="D28" s="18" t="s">
        <v>2</v>
      </c>
      <c r="E28" s="26"/>
      <c r="F28" s="10"/>
      <c r="I28" s="14" t="s">
        <v>29</v>
      </c>
      <c r="J28" s="15">
        <v>0</v>
      </c>
      <c r="K28" s="15">
        <v>0</v>
      </c>
      <c r="L28" s="15">
        <v>0</v>
      </c>
      <c r="M28" s="15">
        <v>0</v>
      </c>
      <c r="N28" s="15">
        <v>37</v>
      </c>
    </row>
    <row r="29" spans="2:21" ht="15.6" x14ac:dyDescent="0.3">
      <c r="B29" s="21" t="s">
        <v>15</v>
      </c>
      <c r="C29" s="6">
        <f>SUM(C21:E21)</f>
        <v>0</v>
      </c>
      <c r="D29" s="6">
        <f>SUM(F21:G21)</f>
        <v>1</v>
      </c>
      <c r="E29" s="10"/>
      <c r="I29" s="3" t="s">
        <v>0</v>
      </c>
      <c r="J29" s="16">
        <f>SUM(J26:J28)</f>
        <v>0</v>
      </c>
      <c r="K29" s="16">
        <f>SUM(K26:K28)</f>
        <v>0</v>
      </c>
      <c r="L29" s="16"/>
      <c r="M29" s="16">
        <f>SUM(M26:M28)</f>
        <v>0</v>
      </c>
      <c r="N29" s="16">
        <f>SUM(N26:N28)</f>
        <v>111</v>
      </c>
      <c r="P29" s="12"/>
    </row>
    <row r="30" spans="2:21" ht="15.6" x14ac:dyDescent="0.3">
      <c r="B30" s="21" t="s">
        <v>17</v>
      </c>
      <c r="C30" s="6">
        <f>SUM(J18:L18)</f>
        <v>0.33333333333333326</v>
      </c>
      <c r="D30" s="6">
        <f>SUM(M18:N18)</f>
        <v>0.66666666666666663</v>
      </c>
      <c r="E30" s="10"/>
      <c r="J30" s="12"/>
      <c r="K30" s="8"/>
      <c r="L30" s="8"/>
      <c r="M30" s="8"/>
      <c r="N30" s="8"/>
      <c r="P30" s="29"/>
    </row>
    <row r="31" spans="2:21" ht="15.6" x14ac:dyDescent="0.3">
      <c r="B31" s="21" t="s">
        <v>20</v>
      </c>
      <c r="C31" s="6">
        <f>SUM(Q20:S20)</f>
        <v>0</v>
      </c>
      <c r="D31" s="6">
        <f>SUM(T20:U20)</f>
        <v>1</v>
      </c>
      <c r="E31" s="27"/>
      <c r="I31" s="12"/>
      <c r="J31" s="12"/>
      <c r="K31" s="8"/>
      <c r="L31" s="8"/>
      <c r="M31" s="8"/>
      <c r="N31" s="8"/>
      <c r="P31" s="29"/>
    </row>
    <row r="32" spans="2:21" ht="31.2" customHeight="1" x14ac:dyDescent="0.3">
      <c r="B32" s="21" t="s">
        <v>17</v>
      </c>
      <c r="C32" s="6">
        <f>SUM(J36:L36)</f>
        <v>0</v>
      </c>
      <c r="D32" s="6">
        <f>SUM(M36:N36)</f>
        <v>1</v>
      </c>
      <c r="E32" s="27"/>
      <c r="I32" s="13" t="s">
        <v>3</v>
      </c>
      <c r="J32" s="28" t="s">
        <v>10</v>
      </c>
      <c r="K32" s="28" t="s">
        <v>11</v>
      </c>
      <c r="L32" s="28" t="s">
        <v>12</v>
      </c>
      <c r="M32" s="28" t="s">
        <v>13</v>
      </c>
      <c r="N32" s="28" t="s">
        <v>14</v>
      </c>
      <c r="P32" s="29"/>
    </row>
    <row r="33" spans="5:14" ht="15.6" x14ac:dyDescent="0.3">
      <c r="E33" s="27"/>
      <c r="I33" s="14" t="s">
        <v>18</v>
      </c>
      <c r="J33" s="17">
        <v>0</v>
      </c>
      <c r="K33" s="17">
        <v>0</v>
      </c>
      <c r="L33" s="17">
        <v>0</v>
      </c>
      <c r="M33" s="17">
        <v>0</v>
      </c>
      <c r="N33" s="17">
        <v>1</v>
      </c>
    </row>
    <row r="34" spans="5:14" ht="15.6" x14ac:dyDescent="0.3">
      <c r="E34" s="27"/>
      <c r="I34" s="14" t="s">
        <v>19</v>
      </c>
      <c r="J34" s="17">
        <v>0</v>
      </c>
      <c r="K34" s="17">
        <v>0</v>
      </c>
      <c r="L34" s="17">
        <v>0</v>
      </c>
      <c r="M34" s="17">
        <v>0</v>
      </c>
      <c r="N34" s="17">
        <v>1</v>
      </c>
    </row>
    <row r="35" spans="5:14" ht="15.6" x14ac:dyDescent="0.3">
      <c r="E35" s="27"/>
      <c r="I35" s="14" t="s">
        <v>9</v>
      </c>
      <c r="J35" s="17">
        <v>0</v>
      </c>
      <c r="K35" s="17">
        <v>0</v>
      </c>
      <c r="L35" s="17">
        <v>0</v>
      </c>
      <c r="M35" s="17">
        <v>0</v>
      </c>
      <c r="N35" s="17">
        <v>1</v>
      </c>
    </row>
    <row r="36" spans="5:14" x14ac:dyDescent="0.3">
      <c r="I36" s="3" t="s">
        <v>0</v>
      </c>
      <c r="J36" s="4">
        <f>SUM(J33:J35)/3</f>
        <v>0</v>
      </c>
      <c r="K36" s="4">
        <f>SUM(K33:K35)/3</f>
        <v>0</v>
      </c>
      <c r="L36" s="4">
        <f>SUM(L33:L35)/3</f>
        <v>0</v>
      </c>
      <c r="M36" s="4">
        <f>SUM(M33:M35)/3</f>
        <v>0</v>
      </c>
      <c r="N36" s="4">
        <f>SUM(N33:N35)/3</f>
        <v>1</v>
      </c>
    </row>
  </sheetData>
  <mergeCells count="5">
    <mergeCell ref="C27:D27"/>
    <mergeCell ref="I2:N3"/>
    <mergeCell ref="P2:U3"/>
    <mergeCell ref="B2:G3"/>
    <mergeCell ref="I22:N23"/>
  </mergeCells>
  <pageMargins left="0.7" right="0.7" top="0.75" bottom="0.75" header="0.3" footer="0.3"/>
  <pageSetup paperSize="9" orientation="portrait" r:id="rId1"/>
  <ignoredErrors>
    <ignoredError sqref="C12:D1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CLINICA UEES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2024-08-17T02:30:43Z</dcterms:modified>
</cp:coreProperties>
</file>