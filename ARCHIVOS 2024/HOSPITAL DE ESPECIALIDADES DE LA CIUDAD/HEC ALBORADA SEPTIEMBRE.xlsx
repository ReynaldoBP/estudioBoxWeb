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REPORTES CK\2024\SEPTIEMBRE\ALBORADA\SEPTIEMBRE\"/>
    </mc:Choice>
  </mc:AlternateContent>
  <bookViews>
    <workbookView xWindow="0" yWindow="0" windowWidth="17256" windowHeight="5772"/>
  </bookViews>
  <sheets>
    <sheet name="ALBORADA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39" i="2" l="1"/>
  <c r="AA35" i="2"/>
  <c r="AA17" i="2"/>
  <c r="AB15" i="2" s="1"/>
  <c r="AA31" i="2"/>
  <c r="AB29" i="2" s="1"/>
  <c r="AA24" i="2"/>
  <c r="AA10" i="2"/>
  <c r="AB8" i="2" s="1"/>
  <c r="AA43" i="2" l="1"/>
  <c r="AB14" i="2"/>
  <c r="AB16" i="2"/>
  <c r="AB17" i="2" s="1"/>
  <c r="AB28" i="2"/>
  <c r="AB30" i="2"/>
  <c r="AB21" i="2"/>
  <c r="AA42" i="2"/>
  <c r="AA34" i="2"/>
  <c r="AB7" i="2"/>
  <c r="AB9" i="2"/>
  <c r="AB22" i="2"/>
  <c r="AB23" i="2"/>
  <c r="AA38" i="2"/>
  <c r="AB31" i="2" l="1"/>
  <c r="AA48" i="2"/>
  <c r="AB10" i="2"/>
  <c r="AB24" i="2"/>
  <c r="AB48" i="2"/>
  <c r="W12" i="2"/>
  <c r="W15" i="2" l="1"/>
  <c r="W20" i="2" s="1"/>
  <c r="X11" i="2"/>
  <c r="X7" i="2"/>
  <c r="X10" i="2"/>
  <c r="X9" i="2"/>
  <c r="X8" i="2"/>
  <c r="W16" i="2"/>
  <c r="X20" i="2" s="1"/>
  <c r="S27" i="2"/>
  <c r="S19" i="2"/>
  <c r="S11" i="2"/>
  <c r="T10" i="2" s="1"/>
  <c r="O17" i="2"/>
  <c r="O25" i="2" s="1"/>
  <c r="O10" i="2"/>
  <c r="P8" i="2" s="1"/>
  <c r="T9" i="2" l="1"/>
  <c r="T24" i="2"/>
  <c r="S39" i="2"/>
  <c r="S38" i="2"/>
  <c r="T8" i="2"/>
  <c r="S31" i="2"/>
  <c r="S30" i="2"/>
  <c r="S35" i="2"/>
  <c r="S34" i="2"/>
  <c r="X12" i="2"/>
  <c r="T7" i="2"/>
  <c r="T23" i="2"/>
  <c r="T25" i="2"/>
  <c r="T26" i="2"/>
  <c r="T15" i="2"/>
  <c r="T17" i="2"/>
  <c r="T16" i="2"/>
  <c r="T18" i="2"/>
  <c r="O20" i="2"/>
  <c r="O24" i="2"/>
  <c r="O21" i="2"/>
  <c r="P29" i="2" s="1"/>
  <c r="P9" i="2"/>
  <c r="P15" i="2"/>
  <c r="P16" i="2"/>
  <c r="P7" i="2"/>
  <c r="P14" i="2"/>
  <c r="T27" i="2" l="1"/>
  <c r="T44" i="2"/>
  <c r="T11" i="2"/>
  <c r="S44" i="2"/>
  <c r="O29" i="2"/>
  <c r="P17" i="2"/>
  <c r="T19" i="2"/>
  <c r="P10" i="2"/>
  <c r="K23" i="2" l="1"/>
  <c r="L20" i="2" s="1"/>
  <c r="K16" i="2"/>
  <c r="L14" i="2" s="1"/>
  <c r="K9" i="2"/>
  <c r="L8" i="2" s="1"/>
  <c r="K26" i="2" l="1"/>
  <c r="L21" i="2"/>
  <c r="K31" i="2"/>
  <c r="L22" i="2"/>
  <c r="K34" i="2"/>
  <c r="K35" i="2"/>
  <c r="K27" i="2"/>
  <c r="L39" i="2" s="1"/>
  <c r="K30" i="2"/>
  <c r="L15" i="2"/>
  <c r="L7" i="2"/>
  <c r="L9" i="2" s="1"/>
  <c r="L13" i="2"/>
  <c r="L23" i="2" l="1"/>
  <c r="K39" i="2"/>
  <c r="L16" i="2"/>
  <c r="G23" i="2" l="1"/>
  <c r="G17" i="2"/>
  <c r="G10" i="2"/>
  <c r="H22" i="2" l="1"/>
  <c r="H21" i="2"/>
  <c r="G26" i="2"/>
  <c r="H7" i="2"/>
  <c r="H9" i="2"/>
  <c r="H8" i="2"/>
  <c r="G27" i="2"/>
  <c r="H15" i="2"/>
  <c r="G31" i="2"/>
  <c r="H14" i="2"/>
  <c r="G30" i="2"/>
  <c r="H16" i="2"/>
  <c r="H35" i="2" l="1"/>
  <c r="H10" i="2"/>
  <c r="H17" i="2"/>
  <c r="G35" i="2"/>
  <c r="H23" i="2"/>
  <c r="C17" i="2" l="1"/>
  <c r="D15" i="2" l="1"/>
  <c r="D14" i="2"/>
  <c r="D16" i="2"/>
  <c r="D17" i="2" l="1"/>
  <c r="C10" i="2" l="1"/>
  <c r="D7" i="2" l="1"/>
  <c r="D9" i="2"/>
  <c r="D8" i="2"/>
  <c r="C21" i="2"/>
  <c r="C20" i="2"/>
  <c r="D10" i="2" l="1"/>
  <c r="D24" i="2" l="1"/>
  <c r="C24" i="2"/>
</calcChain>
</file>

<file path=xl/sharedStrings.xml><?xml version="1.0" encoding="utf-8"?>
<sst xmlns="http://schemas.openxmlformats.org/spreadsheetml/2006/main" count="220" uniqueCount="51">
  <si>
    <t>4. La calidad de atención recibida durante la Admisión fue</t>
  </si>
  <si>
    <t>VARIABLES</t>
  </si>
  <si>
    <t>DATOS MASS</t>
  </si>
  <si>
    <t>%</t>
  </si>
  <si>
    <t>Excelente</t>
  </si>
  <si>
    <t>Normal</t>
  </si>
  <si>
    <t>Deficiente</t>
  </si>
  <si>
    <t>N/A</t>
  </si>
  <si>
    <t>TOTAL</t>
  </si>
  <si>
    <t>5. El tiempo (en minutos) que tuvo que esperar para que se le asigne habitación fue:</t>
  </si>
  <si>
    <t>Menos 30 min</t>
  </si>
  <si>
    <t>De 30 a 60 min</t>
  </si>
  <si>
    <t>Más de 60 min</t>
  </si>
  <si>
    <t>P1</t>
  </si>
  <si>
    <t>P2</t>
  </si>
  <si>
    <t>SATISFACCION</t>
  </si>
  <si>
    <t>INSATISFACCION</t>
  </si>
  <si>
    <t>4. La calidad de atención recibida por parte del Personal de Servicios al cliente al proporcionar información para la realización de (los) exámen (es) fue:</t>
  </si>
  <si>
    <t>5. El calidad de atención recibida del Personal de Laboratorio al momento de tomar la muestra fue:</t>
  </si>
  <si>
    <t>6. El tiempo de atención por parte del Personal de Laboratorio fue realizado en menos de 20 minutos</t>
  </si>
  <si>
    <t>SI</t>
  </si>
  <si>
    <t>NO</t>
  </si>
  <si>
    <t>3. Califique el tiempo de espera transcurrido desde que llegó a nuestras instalaciones hasta recibir la consulta médica</t>
  </si>
  <si>
    <t xml:space="preserve">Tiempo Adecuado (15 min) </t>
  </si>
  <si>
    <t>Fuera de tiempo ( Más de 20 min)</t>
  </si>
  <si>
    <t>Total</t>
  </si>
  <si>
    <t>P4</t>
  </si>
  <si>
    <t>VARIABLE</t>
  </si>
  <si>
    <t>3. Cómo califica la atención del personal clínico que le realizó el examen?</t>
  </si>
  <si>
    <t>4. ¿Cómo califica la atención del personal de Servicio al cliente?</t>
  </si>
  <si>
    <t>5. Califique la calidad de los servicios de imágenes - CDI</t>
  </si>
  <si>
    <t>6. Califique la calidad de los servicios de Laboratorio</t>
  </si>
  <si>
    <t>7. Como calificaría la limpieza de la habitación</t>
  </si>
  <si>
    <t>3. Califique su experiencia en el área de caja, ( del 1 al 5, donde el 1 es malo y 5 excelente)</t>
  </si>
  <si>
    <t>CALIFICACION 1</t>
  </si>
  <si>
    <t>CALIFICACION 2</t>
  </si>
  <si>
    <t>CALIFICACION 3</t>
  </si>
  <si>
    <t>CALIFICACION 4</t>
  </si>
  <si>
    <t>CALIFICACION 5</t>
  </si>
  <si>
    <t>4. Califique la Calidad de atención recibida en el area de Caja en la Consulta Externa.</t>
  </si>
  <si>
    <t>ADMISIÓN</t>
  </si>
  <si>
    <t>LABORATORIO</t>
  </si>
  <si>
    <t>CMF</t>
  </si>
  <si>
    <t>CDI</t>
  </si>
  <si>
    <t>SAP</t>
  </si>
  <si>
    <t>CAJA</t>
  </si>
  <si>
    <t>EMERGENCIA</t>
  </si>
  <si>
    <t>1. Cómo califica la atención recibida del: Médico Residente</t>
  </si>
  <si>
    <t>2. Cómo califica la atención recibida del: Personal de Enfermería</t>
  </si>
  <si>
    <t>3. ¿La explicación del médico sobre el diagnóstico y su tratamiento fue satisfactorio?</t>
  </si>
  <si>
    <t>4. Cómo calificaría la limpieza del servicio de la emergencia?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</si>
</sst>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2" fillId="0" borderId="1" xfId="0" applyFont="1" applyBorder="1"/>
    <xf numFmtId="9" fontId="2" fillId="0" borderId="1" xfId="0" applyNumberFormat="1" applyFont="1" applyBorder="1"/>
    <xf numFmtId="9" fontId="0" fillId="0" borderId="0" xfId="1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9" fontId="6" fillId="0" borderId="1" xfId="1" applyFont="1" applyBorder="1"/>
    <xf numFmtId="0" fontId="5" fillId="0" borderId="0" xfId="0" applyFont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/>
    <xf numFmtId="9" fontId="2" fillId="0" borderId="0" xfId="0" applyNumberFormat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ADMISION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ALBORADA!$C$23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ALBORADA!$B$24:$B$24</c:f>
              <c:strCache>
                <c:ptCount val="1"/>
                <c:pt idx="0">
                  <c:v>ADMISIÓN</c:v>
                </c:pt>
              </c:strCache>
            </c:strRef>
          </c:cat>
          <c:val>
            <c:numRef>
              <c:f>ALBORADA!$C$24:$C$24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FC-425B-A5A3-E9E712698265}"/>
            </c:ext>
          </c:extLst>
        </c:ser>
        <c:ser>
          <c:idx val="1"/>
          <c:order val="1"/>
          <c:tx>
            <c:strRef>
              <c:f>ALBORADA!$D$23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ALBORADA!$B$24:$B$24</c:f>
              <c:strCache>
                <c:ptCount val="1"/>
                <c:pt idx="0">
                  <c:v>ADMISIÓN</c:v>
                </c:pt>
              </c:strCache>
            </c:strRef>
          </c:cat>
          <c:val>
            <c:numRef>
              <c:f>ALBORADA!$D$24:$D$24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FC-425B-A5A3-E9E7126982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15968"/>
        <c:axId val="724240096"/>
      </c:barChart>
      <c:catAx>
        <c:axId val="7242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40096"/>
        <c:crosses val="autoZero"/>
        <c:auto val="1"/>
        <c:lblAlgn val="ctr"/>
        <c:lblOffset val="100"/>
        <c:noMultiLvlLbl val="0"/>
      </c:catAx>
      <c:valAx>
        <c:axId val="7242400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1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LABORATORIO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ALBORADA!$G$34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ALBORADA!$F$35</c:f>
              <c:strCache>
                <c:ptCount val="1"/>
                <c:pt idx="0">
                  <c:v>LABORATORIO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A-45A4-99E5-0A26F902A242}"/>
            </c:ext>
          </c:extLst>
        </c:ser>
        <c:ser>
          <c:idx val="1"/>
          <c:order val="1"/>
          <c:tx>
            <c:strRef>
              <c:f>ALBORADA!$H$34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ALBORADA!$F$35</c:f>
              <c:strCache>
                <c:ptCount val="1"/>
                <c:pt idx="0">
                  <c:v>LABORATORIO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AA-45A4-99E5-0A26F902A2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CMF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ALBORADA!$K$38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ALBORADA!$J$39</c:f>
              <c:strCache>
                <c:ptCount val="1"/>
                <c:pt idx="0">
                  <c:v>CMF</c:v>
                </c:pt>
              </c:strCache>
            </c:strRef>
          </c:cat>
          <c:val>
            <c:numRef>
              <c:f>ALBORADA!$K$39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8-446C-B28E-FB0FA47B9E48}"/>
            </c:ext>
          </c:extLst>
        </c:ser>
        <c:ser>
          <c:idx val="1"/>
          <c:order val="1"/>
          <c:tx>
            <c:strRef>
              <c:f>ALBORADA!$L$38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ALBORADA!$J$39</c:f>
              <c:strCache>
                <c:ptCount val="1"/>
                <c:pt idx="0">
                  <c:v>CMF</c:v>
                </c:pt>
              </c:strCache>
            </c:strRef>
          </c:cat>
          <c:val>
            <c:numRef>
              <c:f>ALBORADA!$L$39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8-446C-B28E-FB0FA47B9E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25120"/>
        <c:axId val="724238848"/>
      </c:barChart>
      <c:catAx>
        <c:axId val="72422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8848"/>
        <c:crosses val="autoZero"/>
        <c:auto val="1"/>
        <c:lblAlgn val="ctr"/>
        <c:lblOffset val="100"/>
        <c:noMultiLvlLbl val="0"/>
      </c:catAx>
      <c:valAx>
        <c:axId val="7242388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2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CDI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ALBORADA!$O$28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ALBORADA!$N$29</c:f>
              <c:strCache>
                <c:ptCount val="1"/>
                <c:pt idx="0">
                  <c:v>CDI</c:v>
                </c:pt>
              </c:strCache>
            </c:strRef>
          </c:cat>
          <c:val>
            <c:numRef>
              <c:f>ALBORADA!$O$29</c:f>
              <c:numCache>
                <c:formatCode>0%</c:formatCode>
                <c:ptCount val="1"/>
                <c:pt idx="0">
                  <c:v>0.99561403508771928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4-4BD7-A4A0-92CBFDEADEFC}"/>
            </c:ext>
          </c:extLst>
        </c:ser>
        <c:ser>
          <c:idx val="1"/>
          <c:order val="1"/>
          <c:tx>
            <c:strRef>
              <c:f>ALBORADA!$P$28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ALBORADA!$N$29</c:f>
              <c:strCache>
                <c:ptCount val="1"/>
                <c:pt idx="0">
                  <c:v>CDI</c:v>
                </c:pt>
              </c:strCache>
            </c:strRef>
          </c:cat>
          <c:val>
            <c:numRef>
              <c:f>ALBORADA!$P$29</c:f>
              <c:numCache>
                <c:formatCode>0%</c:formatCode>
                <c:ptCount val="1"/>
                <c:pt idx="0">
                  <c:v>4.3859649122807015E-3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44-4BD7-A4A0-92CBFDEADE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24233856"/>
        <c:axId val="724235520"/>
      </c:barChart>
      <c:catAx>
        <c:axId val="72423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35520"/>
        <c:crosses val="autoZero"/>
        <c:auto val="1"/>
        <c:lblAlgn val="ctr"/>
        <c:lblOffset val="100"/>
        <c:noMultiLvlLbl val="0"/>
      </c:catAx>
      <c:valAx>
        <c:axId val="7242355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423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SERVICIO AL PACIENTE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ALBORADA!$S$43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ALBORADA!$R$44</c:f>
              <c:strCache>
                <c:ptCount val="1"/>
                <c:pt idx="0">
                  <c:v>SAP</c:v>
                </c:pt>
              </c:strCache>
            </c:strRef>
          </c:cat>
          <c:val>
            <c:numRef>
              <c:f>ALBORADA!$S$44</c:f>
              <c:numCache>
                <c:formatCode>0%</c:formatCode>
                <c:ptCount val="1"/>
                <c:pt idx="0">
                  <c:v>0.90138067061143978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1-47BD-878A-8509D8AD1C38}"/>
            </c:ext>
          </c:extLst>
        </c:ser>
        <c:ser>
          <c:idx val="1"/>
          <c:order val="1"/>
          <c:tx>
            <c:strRef>
              <c:f>ALBORADA!$T$43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ALBORADA!$R$44</c:f>
              <c:strCache>
                <c:ptCount val="1"/>
                <c:pt idx="0">
                  <c:v>SAP</c:v>
                </c:pt>
              </c:strCache>
            </c:strRef>
          </c:cat>
          <c:val>
            <c:numRef>
              <c:f>ALBORADA!$T$44</c:f>
              <c:numCache>
                <c:formatCode>0%</c:formatCode>
                <c:ptCount val="1"/>
                <c:pt idx="0">
                  <c:v>9.8619329388560162E-2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11-47BD-878A-8509D8AD1C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64496"/>
        <c:axId val="717470736"/>
      </c:barChart>
      <c:catAx>
        <c:axId val="7174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0736"/>
        <c:crosses val="autoZero"/>
        <c:auto val="1"/>
        <c:lblAlgn val="ctr"/>
        <c:lblOffset val="100"/>
        <c:noMultiLvlLbl val="0"/>
      </c:catAx>
      <c:valAx>
        <c:axId val="717470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CAJA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ALBORADA!$W$19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ALBORADA!$V$20</c:f>
            </c:strRef>
          </c:cat>
          <c:val>
            <c:numRef>
              <c:f>ALBORADA!$W$20</c:f>
            </c:numRef>
          </c:val>
          <c:extLst>
            <c:ext xmlns:c16="http://schemas.microsoft.com/office/drawing/2014/chart" uri="{C3380CC4-5D6E-409C-BE32-E72D297353CC}">
              <c16:uniqueId val="{00000000-855B-4BFD-AC72-8320C3253359}"/>
            </c:ext>
          </c:extLst>
        </c:ser>
        <c:ser>
          <c:idx val="1"/>
          <c:order val="1"/>
          <c:tx>
            <c:strRef>
              <c:f>ALBORADA!$X$19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ALBORADA!$V$20</c:f>
            </c:strRef>
          </c:cat>
          <c:val>
            <c:numRef>
              <c:f>ALBORADA!$X$20</c:f>
            </c:numRef>
          </c:val>
          <c:extLst>
            <c:ext xmlns:c16="http://schemas.microsoft.com/office/drawing/2014/chart" uri="{C3380CC4-5D6E-409C-BE32-E72D297353CC}">
              <c16:uniqueId val="{00000001-855B-4BFD-AC72-8320C32533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73648"/>
        <c:axId val="717474480"/>
      </c:barChart>
      <c:catAx>
        <c:axId val="71747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4480"/>
        <c:crosses val="autoZero"/>
        <c:auto val="1"/>
        <c:lblAlgn val="ctr"/>
        <c:lblOffset val="100"/>
        <c:noMultiLvlLbl val="0"/>
      </c:catAx>
      <c:valAx>
        <c:axId val="7174744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7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EMERGENCIA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ALBORADA!$S$43</c:f>
              <c:strCache>
                <c:ptCount val="1"/>
                <c:pt idx="0">
                  <c:v>SATISFACCION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ALBORADA!$R$44</c:f>
              <c:strCache>
                <c:ptCount val="1"/>
                <c:pt idx="0">
                  <c:v>SAP</c:v>
                </c:pt>
              </c:strCache>
            </c:strRef>
          </c:cat>
          <c:val>
            <c:numRef>
              <c:f>ALBORADA!$S$44</c:f>
              <c:numCache>
                <c:formatCode>0%</c:formatCode>
                <c:ptCount val="1"/>
                <c:pt idx="0">
                  <c:v>0.90138067061143978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D-40A6-A4DB-3BEBF76DB514}"/>
            </c:ext>
          </c:extLst>
        </c:ser>
        <c:ser>
          <c:idx val="1"/>
          <c:order val="1"/>
          <c:tx>
            <c:strRef>
              <c:f>ALBORADA!$T$43</c:f>
              <c:strCache>
                <c:ptCount val="1"/>
                <c:pt idx="0">
                  <c:v>INSATISFACCION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ALBORADA!$R$44</c:f>
              <c:strCache>
                <c:ptCount val="1"/>
                <c:pt idx="0">
                  <c:v>SAP</c:v>
                </c:pt>
              </c:strCache>
            </c:strRef>
          </c:cat>
          <c:val>
            <c:numRef>
              <c:f>ALBORADA!$T$44</c:f>
              <c:numCache>
                <c:formatCode>0%</c:formatCode>
                <c:ptCount val="1"/>
                <c:pt idx="0">
                  <c:v>9.8619329388560162E-2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D-40A6-A4DB-3BEBF76DB5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17464496"/>
        <c:axId val="717470736"/>
      </c:barChart>
      <c:catAx>
        <c:axId val="71746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70736"/>
        <c:crosses val="autoZero"/>
        <c:auto val="1"/>
        <c:lblAlgn val="ctr"/>
        <c:lblOffset val="100"/>
        <c:noMultiLvlLbl val="0"/>
      </c:catAx>
      <c:valAx>
        <c:axId val="7174707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746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270780</xdr:colOff>
      <xdr:row>24</xdr:row>
      <xdr:rowOff>166007</xdr:rowOff>
    </xdr:from>
    <xdr:to>
      <xdr:col>4</xdr:col>
      <xdr:colOff>511629</xdr:colOff>
      <xdr:row>45</xdr:row>
      <xdr:rowOff>21771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7D9A57C-0E09-4B51-BC82-47077BF04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8</xdr:col>
      <xdr:colOff>696686</xdr:colOff>
      <xdr:row>58</xdr:row>
      <xdr:rowOff>97972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B4DFD2-2805-49F1-A67A-B069CCD05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40</xdr:row>
      <xdr:rowOff>1</xdr:rowOff>
    </xdr:from>
    <xdr:to>
      <xdr:col>12</xdr:col>
      <xdr:colOff>511629</xdr:colOff>
      <xdr:row>60</xdr:row>
      <xdr:rowOff>87086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A991CE-A2DC-46AD-A277-DA14AF8A3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762001</xdr:colOff>
      <xdr:row>30</xdr:row>
      <xdr:rowOff>25400</xdr:rowOff>
    </xdr:from>
    <xdr:to>
      <xdr:col>16</xdr:col>
      <xdr:colOff>342901</xdr:colOff>
      <xdr:row>54</xdr:row>
      <xdr:rowOff>101600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C272632-72F1-4831-A736-3FA6D2985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</xdr:colOff>
      <xdr:row>45</xdr:row>
      <xdr:rowOff>0</xdr:rowOff>
    </xdr:from>
    <xdr:to>
      <xdr:col>20</xdr:col>
      <xdr:colOff>444501</xdr:colOff>
      <xdr:row>69</xdr:row>
      <xdr:rowOff>71665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19EBAB0-1D96-41F4-91B6-30F06476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22</xdr:row>
      <xdr:rowOff>0</xdr:rowOff>
    </xdr:from>
    <xdr:to>
      <xdr:col>24</xdr:col>
      <xdr:colOff>596900</xdr:colOff>
      <xdr:row>43</xdr:row>
      <xdr:rowOff>203200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A901EC0-FF64-43DF-88CD-7DB2829F2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1</xdr:colOff>
      <xdr:row>49</xdr:row>
      <xdr:rowOff>0</xdr:rowOff>
    </xdr:from>
    <xdr:to>
      <xdr:col>28</xdr:col>
      <xdr:colOff>444501</xdr:colOff>
      <xdr:row>73</xdr:row>
      <xdr:rowOff>71665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19EBAB0-1D96-41F4-91B6-30F06476F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48"/>
  <sheetViews>
    <sheetView tabSelected="1" topLeftCell="C1" zoomScale="55" zoomScaleNormal="55" workbookViewId="0">
      <selection activeCell="Z46" sqref="Z46"/>
    </sheetView>
  </sheetViews>
  <sheetFormatPr baseColWidth="10" defaultRowHeight="14.4" x14ac:dyDescent="0.3"/>
  <cols>
    <col min="2" max="2" width="20.33203125" customWidth="1"/>
    <col min="3" max="3" width="14.33203125" bestFit="1" customWidth="1"/>
    <col min="4" max="4" width="16.44140625" bestFit="1" customWidth="1"/>
    <col min="5" max="5" width="10.5546875" customWidth="1"/>
    <col min="6" max="6" width="20.44140625" customWidth="1"/>
    <col min="7" max="7" width="14.33203125" bestFit="1" customWidth="1"/>
    <col min="8" max="8" width="17.109375" customWidth="1"/>
    <col min="9" max="9" width="12.5546875" customWidth="1"/>
    <col min="10" max="10" width="18.109375" customWidth="1"/>
    <col min="11" max="11" width="14.33203125" bestFit="1" customWidth="1"/>
    <col min="12" max="12" width="16.44140625" bestFit="1" customWidth="1"/>
    <col min="14" max="14" width="16.21875" customWidth="1"/>
    <col min="15" max="15" width="17.88671875" bestFit="1" customWidth="1"/>
    <col min="16" max="16" width="16.44140625" bestFit="1" customWidth="1"/>
    <col min="17" max="17" width="9" customWidth="1"/>
    <col min="18" max="18" width="19.33203125" bestFit="1" customWidth="1"/>
    <col min="19" max="19" width="17.88671875" bestFit="1" customWidth="1"/>
    <col min="20" max="20" width="16.5546875" bestFit="1" customWidth="1"/>
    <col min="21" max="21" width="8.77734375" customWidth="1"/>
    <col min="22" max="22" width="19.33203125" hidden="1" customWidth="1"/>
    <col min="23" max="23" width="17.88671875" hidden="1" customWidth="1"/>
    <col min="24" max="24" width="16.5546875" hidden="1" customWidth="1"/>
    <col min="25" max="25" width="0" hidden="1" customWidth="1"/>
    <col min="26" max="26" width="21.21875" customWidth="1"/>
    <col min="27" max="27" width="20.88671875" customWidth="1"/>
    <col min="28" max="28" width="23.21875" customWidth="1"/>
  </cols>
  <sheetData>
    <row r="2" spans="2:28" ht="15" customHeight="1" x14ac:dyDescent="0.6">
      <c r="B2" s="19" t="s">
        <v>40</v>
      </c>
      <c r="C2" s="19"/>
      <c r="D2" s="19"/>
      <c r="E2" s="1"/>
      <c r="F2" s="19" t="s">
        <v>41</v>
      </c>
      <c r="G2" s="19"/>
      <c r="H2" s="19"/>
      <c r="J2" s="19" t="s">
        <v>42</v>
      </c>
      <c r="K2" s="19"/>
      <c r="L2" s="19"/>
      <c r="N2" s="19" t="s">
        <v>43</v>
      </c>
      <c r="O2" s="19"/>
      <c r="P2" s="19"/>
      <c r="R2" s="19" t="s">
        <v>44</v>
      </c>
      <c r="S2" s="19"/>
      <c r="T2" s="19"/>
      <c r="V2" s="19" t="s">
        <v>45</v>
      </c>
      <c r="W2" s="19"/>
      <c r="X2" s="19"/>
      <c r="Z2" s="19" t="s">
        <v>46</v>
      </c>
      <c r="AA2" s="19"/>
      <c r="AB2" s="19"/>
    </row>
    <row r="3" spans="2:28" ht="15" customHeight="1" x14ac:dyDescent="0.6">
      <c r="B3" s="19"/>
      <c r="C3" s="19"/>
      <c r="D3" s="19"/>
      <c r="E3" s="1"/>
      <c r="F3" s="19"/>
      <c r="G3" s="19"/>
      <c r="H3" s="19"/>
      <c r="J3" s="19"/>
      <c r="K3" s="19"/>
      <c r="L3" s="19"/>
      <c r="N3" s="19"/>
      <c r="O3" s="19"/>
      <c r="P3" s="19"/>
      <c r="R3" s="19"/>
      <c r="S3" s="19"/>
      <c r="T3" s="19"/>
      <c r="V3" s="19"/>
      <c r="W3" s="19"/>
      <c r="X3" s="19"/>
      <c r="Z3" s="19"/>
      <c r="AA3" s="19"/>
      <c r="AB3" s="19"/>
    </row>
    <row r="4" spans="2:28" ht="14.4" customHeight="1" x14ac:dyDescent="0.6">
      <c r="J4" s="15"/>
      <c r="K4" s="15"/>
      <c r="L4" s="15"/>
    </row>
    <row r="5" spans="2:28" x14ac:dyDescent="0.3">
      <c r="B5" s="24" t="s">
        <v>0</v>
      </c>
      <c r="C5" s="24"/>
      <c r="D5" s="24"/>
      <c r="E5" s="2"/>
      <c r="F5" s="23" t="s">
        <v>17</v>
      </c>
      <c r="G5" s="23"/>
      <c r="H5" s="23"/>
      <c r="J5" s="20" t="s">
        <v>22</v>
      </c>
      <c r="K5" s="21"/>
      <c r="L5" s="22"/>
      <c r="N5" s="20" t="s">
        <v>28</v>
      </c>
      <c r="O5" s="21"/>
      <c r="P5" s="22"/>
      <c r="R5" s="20" t="s">
        <v>30</v>
      </c>
      <c r="S5" s="21"/>
      <c r="T5" s="22"/>
      <c r="V5" s="20" t="s">
        <v>33</v>
      </c>
      <c r="W5" s="21"/>
      <c r="X5" s="22"/>
      <c r="Z5" s="20" t="s">
        <v>47</v>
      </c>
      <c r="AA5" s="21"/>
      <c r="AB5" s="22"/>
    </row>
    <row r="6" spans="2:28" x14ac:dyDescent="0.3">
      <c r="B6" s="3" t="s">
        <v>1</v>
      </c>
      <c r="C6" s="3" t="s">
        <v>2</v>
      </c>
      <c r="D6" s="3" t="s">
        <v>3</v>
      </c>
      <c r="F6" s="3" t="s">
        <v>1</v>
      </c>
      <c r="G6" s="3" t="s">
        <v>2</v>
      </c>
      <c r="H6" s="3" t="s">
        <v>3</v>
      </c>
      <c r="J6" s="14" t="s">
        <v>1</v>
      </c>
      <c r="K6" s="14" t="s">
        <v>2</v>
      </c>
      <c r="L6" s="14" t="s">
        <v>3</v>
      </c>
      <c r="N6" s="14" t="s">
        <v>1</v>
      </c>
      <c r="O6" s="14" t="s">
        <v>2</v>
      </c>
      <c r="P6" s="14" t="s">
        <v>3</v>
      </c>
      <c r="R6" s="14" t="s">
        <v>1</v>
      </c>
      <c r="S6" s="14" t="s">
        <v>2</v>
      </c>
      <c r="T6" s="14" t="s">
        <v>3</v>
      </c>
      <c r="V6" s="14" t="s">
        <v>1</v>
      </c>
      <c r="W6" s="14" t="s">
        <v>2</v>
      </c>
      <c r="X6" s="14" t="s">
        <v>3</v>
      </c>
      <c r="Z6" s="14" t="s">
        <v>1</v>
      </c>
      <c r="AA6" s="14" t="s">
        <v>2</v>
      </c>
      <c r="AB6" s="14" t="s">
        <v>3</v>
      </c>
    </row>
    <row r="7" spans="2:28" x14ac:dyDescent="0.3">
      <c r="B7" s="4" t="s">
        <v>4</v>
      </c>
      <c r="C7" s="4">
        <v>184</v>
      </c>
      <c r="D7" s="5">
        <f>C7/C10</f>
        <v>0.89320388349514568</v>
      </c>
      <c r="F7" s="4" t="s">
        <v>4</v>
      </c>
      <c r="G7" s="4">
        <v>170</v>
      </c>
      <c r="H7" s="5">
        <f>G7/G10</f>
        <v>0.98265895953757221</v>
      </c>
      <c r="J7" s="4" t="s">
        <v>23</v>
      </c>
      <c r="K7" s="4">
        <v>37</v>
      </c>
      <c r="L7" s="5">
        <f>K7/K9</f>
        <v>1</v>
      </c>
      <c r="N7" s="4" t="s">
        <v>4</v>
      </c>
      <c r="O7" s="4">
        <v>104</v>
      </c>
      <c r="P7" s="5">
        <f>O7/O10</f>
        <v>0.91228070175438591</v>
      </c>
      <c r="R7" s="4" t="s">
        <v>4</v>
      </c>
      <c r="S7" s="4">
        <v>135</v>
      </c>
      <c r="T7" s="5">
        <f>S7/S11</f>
        <v>0.79881656804733725</v>
      </c>
      <c r="V7" s="4" t="s">
        <v>34</v>
      </c>
      <c r="W7" s="4">
        <v>1</v>
      </c>
      <c r="X7" s="5">
        <f>W7/W12</f>
        <v>8.2644628099173556E-3</v>
      </c>
      <c r="Z7" s="4" t="s">
        <v>4</v>
      </c>
      <c r="AA7" s="4">
        <v>112</v>
      </c>
      <c r="AB7" s="5">
        <f>AA7/AA10</f>
        <v>0.86821705426356588</v>
      </c>
    </row>
    <row r="8" spans="2:28" x14ac:dyDescent="0.3">
      <c r="B8" s="4" t="s">
        <v>5</v>
      </c>
      <c r="C8" s="4">
        <v>22</v>
      </c>
      <c r="D8" s="5">
        <f>C8/C10</f>
        <v>0.10679611650485436</v>
      </c>
      <c r="F8" s="4" t="s">
        <v>5</v>
      </c>
      <c r="G8" s="4">
        <v>3</v>
      </c>
      <c r="H8" s="5">
        <f>G8/G10</f>
        <v>1.7341040462427744E-2</v>
      </c>
      <c r="J8" s="4" t="s">
        <v>24</v>
      </c>
      <c r="K8" s="4">
        <v>0</v>
      </c>
      <c r="L8" s="5">
        <f>K8/K9</f>
        <v>0</v>
      </c>
      <c r="N8" s="4" t="s">
        <v>5</v>
      </c>
      <c r="O8" s="4">
        <v>9</v>
      </c>
      <c r="P8" s="5">
        <f>O8/O10</f>
        <v>7.8947368421052627E-2</v>
      </c>
      <c r="R8" s="4" t="s">
        <v>5</v>
      </c>
      <c r="S8" s="4">
        <v>10</v>
      </c>
      <c r="T8" s="5">
        <f>S8/S11</f>
        <v>5.9171597633136092E-2</v>
      </c>
      <c r="V8" s="4" t="s">
        <v>35</v>
      </c>
      <c r="W8" s="4">
        <v>0</v>
      </c>
      <c r="X8" s="5">
        <f>W8/W12</f>
        <v>0</v>
      </c>
      <c r="Z8" s="4" t="s">
        <v>5</v>
      </c>
      <c r="AA8" s="4">
        <v>13</v>
      </c>
      <c r="AB8" s="5">
        <f>AA8/AA10</f>
        <v>0.10077519379844961</v>
      </c>
    </row>
    <row r="9" spans="2:28" x14ac:dyDescent="0.3">
      <c r="B9" s="4" t="s">
        <v>6</v>
      </c>
      <c r="C9" s="4">
        <v>0</v>
      </c>
      <c r="D9" s="5">
        <f>C9/C10</f>
        <v>0</v>
      </c>
      <c r="F9" s="4" t="s">
        <v>6</v>
      </c>
      <c r="G9" s="4">
        <v>0</v>
      </c>
      <c r="H9" s="5">
        <f>G9/G10</f>
        <v>0</v>
      </c>
      <c r="J9" s="16" t="s">
        <v>25</v>
      </c>
      <c r="K9" s="16">
        <f>SUM(K7:K8)</f>
        <v>37</v>
      </c>
      <c r="L9" s="17">
        <f>SUM(L7:L8)</f>
        <v>1</v>
      </c>
      <c r="N9" s="4" t="s">
        <v>6</v>
      </c>
      <c r="O9" s="4">
        <v>1</v>
      </c>
      <c r="P9" s="5">
        <f>O9/O10</f>
        <v>8.771929824561403E-3</v>
      </c>
      <c r="R9" s="4" t="s">
        <v>6</v>
      </c>
      <c r="S9" s="4">
        <v>0</v>
      </c>
      <c r="T9" s="5">
        <f>S9/S11</f>
        <v>0</v>
      </c>
      <c r="V9" s="4" t="s">
        <v>36</v>
      </c>
      <c r="W9" s="4">
        <v>7</v>
      </c>
      <c r="X9" s="5">
        <f>W9/W12</f>
        <v>5.7851239669421489E-2</v>
      </c>
      <c r="Z9" s="4" t="s">
        <v>6</v>
      </c>
      <c r="AA9" s="4">
        <v>4</v>
      </c>
      <c r="AB9" s="5">
        <f>AA9/AA10</f>
        <v>3.1007751937984496E-2</v>
      </c>
    </row>
    <row r="10" spans="2:28" ht="15.6" customHeight="1" x14ac:dyDescent="0.6">
      <c r="B10" s="16" t="s">
        <v>8</v>
      </c>
      <c r="C10" s="16">
        <f>SUM(C7:C9)</f>
        <v>206</v>
      </c>
      <c r="D10" s="17">
        <f>SUM(D7:D9)</f>
        <v>1</v>
      </c>
      <c r="E10" s="18"/>
      <c r="F10" s="16" t="s">
        <v>8</v>
      </c>
      <c r="G10" s="16">
        <f>SUM(G7:G9)</f>
        <v>173</v>
      </c>
      <c r="H10" s="17">
        <f>SUM(H7:H9)</f>
        <v>1</v>
      </c>
      <c r="J10" s="15"/>
      <c r="K10" s="15"/>
      <c r="L10" s="15"/>
      <c r="N10" s="16" t="s">
        <v>25</v>
      </c>
      <c r="O10" s="16">
        <f>SUM(O7:O9)</f>
        <v>114</v>
      </c>
      <c r="P10" s="17">
        <f>SUM(P7:P9)</f>
        <v>1</v>
      </c>
      <c r="R10" s="4" t="s">
        <v>7</v>
      </c>
      <c r="S10" s="4">
        <v>24</v>
      </c>
      <c r="T10" s="5">
        <f>S10/S11</f>
        <v>0.14201183431952663</v>
      </c>
      <c r="V10" s="4" t="s">
        <v>37</v>
      </c>
      <c r="W10" s="4">
        <v>16</v>
      </c>
      <c r="X10" s="5">
        <f>W10/W12</f>
        <v>0.13223140495867769</v>
      </c>
      <c r="Z10" s="16" t="s">
        <v>25</v>
      </c>
      <c r="AA10" s="16">
        <f>SUM(AA7:AA9)</f>
        <v>129</v>
      </c>
      <c r="AB10" s="17">
        <f>SUM(AB7:AB9)</f>
        <v>1</v>
      </c>
    </row>
    <row r="11" spans="2:28" x14ac:dyDescent="0.3">
      <c r="J11" s="23" t="s">
        <v>39</v>
      </c>
      <c r="K11" s="23"/>
      <c r="L11" s="23"/>
      <c r="R11" s="6" t="s">
        <v>25</v>
      </c>
      <c r="S11" s="6">
        <f>SUM(S7:S10)</f>
        <v>169</v>
      </c>
      <c r="T11" s="7">
        <f>SUM(T7:T10)</f>
        <v>1</v>
      </c>
      <c r="V11" s="4" t="s">
        <v>38</v>
      </c>
      <c r="W11" s="4">
        <v>97</v>
      </c>
      <c r="X11" s="5">
        <f>W11/W12</f>
        <v>0.80165289256198347</v>
      </c>
      <c r="Z11" s="25"/>
      <c r="AA11" s="25"/>
      <c r="AB11" s="26"/>
    </row>
    <row r="12" spans="2:28" ht="14.4" customHeight="1" x14ac:dyDescent="0.3">
      <c r="B12" s="20" t="s">
        <v>9</v>
      </c>
      <c r="C12" s="21"/>
      <c r="D12" s="22"/>
      <c r="F12" s="23" t="s">
        <v>18</v>
      </c>
      <c r="G12" s="23"/>
      <c r="H12" s="23"/>
      <c r="J12" s="14" t="s">
        <v>1</v>
      </c>
      <c r="K12" s="14" t="s">
        <v>2</v>
      </c>
      <c r="L12" s="14" t="s">
        <v>3</v>
      </c>
      <c r="N12" s="20" t="s">
        <v>29</v>
      </c>
      <c r="O12" s="21"/>
      <c r="P12" s="22"/>
      <c r="V12" s="6" t="s">
        <v>25</v>
      </c>
      <c r="W12" s="6">
        <f>SUM(W7:W11)</f>
        <v>121</v>
      </c>
      <c r="X12" s="7">
        <f>SUM(X7:X11)</f>
        <v>1</v>
      </c>
      <c r="Z12" s="20" t="s">
        <v>48</v>
      </c>
      <c r="AA12" s="21"/>
      <c r="AB12" s="22"/>
    </row>
    <row r="13" spans="2:28" ht="14.4" customHeight="1" x14ac:dyDescent="0.3">
      <c r="B13" s="3" t="s">
        <v>1</v>
      </c>
      <c r="C13" s="3" t="s">
        <v>2</v>
      </c>
      <c r="D13" s="3" t="s">
        <v>3</v>
      </c>
      <c r="E13" s="2"/>
      <c r="F13" s="3" t="s">
        <v>1</v>
      </c>
      <c r="G13" s="3" t="s">
        <v>2</v>
      </c>
      <c r="H13" s="3" t="s">
        <v>3</v>
      </c>
      <c r="J13" s="4" t="s">
        <v>4</v>
      </c>
      <c r="K13" s="4">
        <v>37</v>
      </c>
      <c r="L13" s="5">
        <f>K13/K16</f>
        <v>1</v>
      </c>
      <c r="N13" s="14" t="s">
        <v>1</v>
      </c>
      <c r="O13" s="14" t="s">
        <v>2</v>
      </c>
      <c r="P13" s="14" t="s">
        <v>3</v>
      </c>
      <c r="R13" s="20" t="s">
        <v>31</v>
      </c>
      <c r="S13" s="21"/>
      <c r="T13" s="22"/>
      <c r="Z13" s="14" t="s">
        <v>1</v>
      </c>
      <c r="AA13" s="14" t="s">
        <v>2</v>
      </c>
      <c r="AB13" s="14" t="s">
        <v>3</v>
      </c>
    </row>
    <row r="14" spans="2:28" ht="15" customHeight="1" x14ac:dyDescent="0.3">
      <c r="B14" s="4" t="s">
        <v>10</v>
      </c>
      <c r="C14" s="4">
        <v>185</v>
      </c>
      <c r="D14" s="5">
        <f>C14/C17</f>
        <v>0.90686274509803921</v>
      </c>
      <c r="F14" s="4" t="s">
        <v>4</v>
      </c>
      <c r="G14" s="4">
        <v>165</v>
      </c>
      <c r="H14" s="5">
        <f>G14/G17</f>
        <v>0.9821428571428571</v>
      </c>
      <c r="J14" s="4" t="s">
        <v>5</v>
      </c>
      <c r="K14" s="4">
        <v>0</v>
      </c>
      <c r="L14" s="5">
        <f>K14/K16</f>
        <v>0</v>
      </c>
      <c r="N14" s="4" t="s">
        <v>4</v>
      </c>
      <c r="O14" s="4">
        <v>104</v>
      </c>
      <c r="P14" s="5">
        <f>O14/O17</f>
        <v>0.91228070175438591</v>
      </c>
      <c r="R14" s="14" t="s">
        <v>1</v>
      </c>
      <c r="S14" s="14" t="s">
        <v>2</v>
      </c>
      <c r="T14" s="14" t="s">
        <v>3</v>
      </c>
      <c r="W14" t="s">
        <v>13</v>
      </c>
      <c r="Z14" s="4" t="s">
        <v>4</v>
      </c>
      <c r="AA14" s="4">
        <v>110</v>
      </c>
      <c r="AB14" s="5">
        <f>AA14/AA17</f>
        <v>0.8527131782945736</v>
      </c>
    </row>
    <row r="15" spans="2:28" x14ac:dyDescent="0.3">
      <c r="B15" s="4" t="s">
        <v>11</v>
      </c>
      <c r="C15" s="4">
        <v>11</v>
      </c>
      <c r="D15" s="5">
        <f>C15/C17</f>
        <v>5.3921568627450983E-2</v>
      </c>
      <c r="F15" s="4" t="s">
        <v>5</v>
      </c>
      <c r="G15" s="4">
        <v>3</v>
      </c>
      <c r="H15" s="5">
        <f>G15/G17</f>
        <v>1.7857142857142856E-2</v>
      </c>
      <c r="J15" s="4" t="s">
        <v>6</v>
      </c>
      <c r="K15" s="4">
        <v>0</v>
      </c>
      <c r="L15" s="5">
        <f>K15/K16</f>
        <v>0</v>
      </c>
      <c r="N15" s="4" t="s">
        <v>5</v>
      </c>
      <c r="O15" s="4">
        <v>10</v>
      </c>
      <c r="P15" s="5">
        <f>O15/O17</f>
        <v>8.771929824561403E-2</v>
      </c>
      <c r="R15" s="4" t="s">
        <v>4</v>
      </c>
      <c r="S15" s="4">
        <v>141</v>
      </c>
      <c r="T15" s="5">
        <f>S15/S19</f>
        <v>0.83431952662721898</v>
      </c>
      <c r="V15" t="s">
        <v>15</v>
      </c>
      <c r="W15" s="8">
        <f>(W10+W11)/W12</f>
        <v>0.93388429752066116</v>
      </c>
      <c r="Z15" s="4" t="s">
        <v>5</v>
      </c>
      <c r="AA15" s="4">
        <v>17</v>
      </c>
      <c r="AB15" s="5">
        <f>AA15/AA17</f>
        <v>0.13178294573643412</v>
      </c>
    </row>
    <row r="16" spans="2:28" x14ac:dyDescent="0.3">
      <c r="B16" s="4" t="s">
        <v>12</v>
      </c>
      <c r="C16" s="4">
        <v>8</v>
      </c>
      <c r="D16" s="5">
        <f>C16/C17</f>
        <v>3.9215686274509803E-2</v>
      </c>
      <c r="F16" s="4" t="s">
        <v>6</v>
      </c>
      <c r="G16" s="4">
        <v>0</v>
      </c>
      <c r="H16" s="5">
        <f>G16/G17</f>
        <v>0</v>
      </c>
      <c r="J16" s="6" t="s">
        <v>25</v>
      </c>
      <c r="K16" s="6">
        <f>SUM(K13:K15)</f>
        <v>37</v>
      </c>
      <c r="L16" s="7">
        <f>SUM(L13:L15)</f>
        <v>1</v>
      </c>
      <c r="N16" s="4" t="s">
        <v>6</v>
      </c>
      <c r="O16" s="4">
        <v>0</v>
      </c>
      <c r="P16" s="5">
        <f>O16/O17</f>
        <v>0</v>
      </c>
      <c r="R16" s="4" t="s">
        <v>5</v>
      </c>
      <c r="S16" s="4">
        <v>9</v>
      </c>
      <c r="T16" s="5">
        <f>S16/S19</f>
        <v>5.3254437869822487E-2</v>
      </c>
      <c r="V16" t="s">
        <v>16</v>
      </c>
      <c r="W16" s="8">
        <f>(W7+W8+W9)/W12</f>
        <v>6.6115702479338845E-2</v>
      </c>
      <c r="Z16" s="4" t="s">
        <v>6</v>
      </c>
      <c r="AA16" s="4">
        <v>2</v>
      </c>
      <c r="AB16" s="5">
        <f>AA16/AA17</f>
        <v>1.5503875968992248E-2</v>
      </c>
    </row>
    <row r="17" spans="2:28" x14ac:dyDescent="0.3">
      <c r="B17" s="6" t="s">
        <v>8</v>
      </c>
      <c r="C17" s="6">
        <f>SUM(C14:C16)</f>
        <v>204</v>
      </c>
      <c r="D17" s="7">
        <f>SUM(D14:D16)</f>
        <v>1</v>
      </c>
      <c r="F17" s="6" t="s">
        <v>8</v>
      </c>
      <c r="G17" s="6">
        <f>SUM(G14:G16)</f>
        <v>168</v>
      </c>
      <c r="H17" s="7">
        <f>SUM(H14:H16)</f>
        <v>1</v>
      </c>
      <c r="N17" s="6" t="s">
        <v>25</v>
      </c>
      <c r="O17" s="6">
        <f>SUM(O14:O16)</f>
        <v>114</v>
      </c>
      <c r="P17" s="7">
        <f>SUM(P14:P16)</f>
        <v>1</v>
      </c>
      <c r="R17" s="4" t="s">
        <v>6</v>
      </c>
      <c r="S17" s="4">
        <v>0</v>
      </c>
      <c r="T17" s="5">
        <f>S17/S19</f>
        <v>0</v>
      </c>
      <c r="Z17" s="6" t="s">
        <v>25</v>
      </c>
      <c r="AA17" s="6">
        <f>SUM(AA14:AA16)</f>
        <v>129</v>
      </c>
      <c r="AB17" s="7">
        <f>SUM(AB14:AB16)</f>
        <v>1</v>
      </c>
    </row>
    <row r="18" spans="2:28" x14ac:dyDescent="0.3">
      <c r="J18" s="20" t="s">
        <v>19</v>
      </c>
      <c r="K18" s="21"/>
      <c r="L18" s="22"/>
      <c r="R18" s="4" t="s">
        <v>7</v>
      </c>
      <c r="S18" s="4">
        <v>19</v>
      </c>
      <c r="T18" s="5">
        <f>S18/S19</f>
        <v>0.11242603550295859</v>
      </c>
    </row>
    <row r="19" spans="2:28" ht="15.6" x14ac:dyDescent="0.3">
      <c r="C19" t="s">
        <v>14</v>
      </c>
      <c r="F19" s="23" t="s">
        <v>19</v>
      </c>
      <c r="G19" s="23"/>
      <c r="H19" s="23"/>
      <c r="J19" s="14" t="s">
        <v>27</v>
      </c>
      <c r="K19" s="14" t="s">
        <v>2</v>
      </c>
      <c r="L19" s="14" t="s">
        <v>3</v>
      </c>
      <c r="O19" t="s">
        <v>13</v>
      </c>
      <c r="R19" s="6" t="s">
        <v>25</v>
      </c>
      <c r="S19" s="6">
        <f>SUM(S15:S18)</f>
        <v>169</v>
      </c>
      <c r="T19" s="7">
        <f>SUM(T15:T18)</f>
        <v>1</v>
      </c>
      <c r="W19" s="9" t="s">
        <v>15</v>
      </c>
      <c r="X19" s="9" t="s">
        <v>16</v>
      </c>
      <c r="Z19" s="20" t="s">
        <v>49</v>
      </c>
      <c r="AA19" s="21"/>
      <c r="AB19" s="22"/>
    </row>
    <row r="20" spans="2:28" ht="18" x14ac:dyDescent="0.35">
      <c r="B20" t="s">
        <v>15</v>
      </c>
      <c r="C20" s="8">
        <f>(C7+C8)/C10</f>
        <v>1</v>
      </c>
      <c r="F20" s="3" t="s">
        <v>1</v>
      </c>
      <c r="G20" s="3" t="s">
        <v>2</v>
      </c>
      <c r="H20" s="3" t="s">
        <v>3</v>
      </c>
      <c r="J20" s="4" t="s">
        <v>4</v>
      </c>
      <c r="K20" s="4">
        <v>34</v>
      </c>
      <c r="L20" s="5">
        <f>K20/K23</f>
        <v>0.91891891891891897</v>
      </c>
      <c r="N20" t="s">
        <v>15</v>
      </c>
      <c r="O20" s="8">
        <f>(O7+O8)/O10</f>
        <v>0.99122807017543857</v>
      </c>
      <c r="V20" s="10" t="s">
        <v>45</v>
      </c>
      <c r="W20" s="11">
        <f>W15</f>
        <v>0.93388429752066116</v>
      </c>
      <c r="X20" s="11">
        <f>W16</f>
        <v>6.6115702479338845E-2</v>
      </c>
      <c r="Z20" s="14" t="s">
        <v>1</v>
      </c>
      <c r="AA20" s="14" t="s">
        <v>2</v>
      </c>
      <c r="AB20" s="14" t="s">
        <v>3</v>
      </c>
    </row>
    <row r="21" spans="2:28" x14ac:dyDescent="0.3">
      <c r="B21" t="s">
        <v>16</v>
      </c>
      <c r="C21" s="8">
        <f>(C9)/C10</f>
        <v>0</v>
      </c>
      <c r="F21" s="4" t="s">
        <v>20</v>
      </c>
      <c r="G21" s="4">
        <v>172</v>
      </c>
      <c r="H21" s="5">
        <f>G21/G23</f>
        <v>0.9942196531791907</v>
      </c>
      <c r="J21" s="4" t="s">
        <v>5</v>
      </c>
      <c r="K21" s="4">
        <v>3</v>
      </c>
      <c r="L21" s="5">
        <f>K21/K23</f>
        <v>8.1081081081081086E-2</v>
      </c>
      <c r="N21" t="s">
        <v>16</v>
      </c>
      <c r="O21" s="8">
        <f>(O9)/O10</f>
        <v>8.771929824561403E-3</v>
      </c>
      <c r="R21" s="20" t="s">
        <v>32</v>
      </c>
      <c r="S21" s="21"/>
      <c r="T21" s="22"/>
      <c r="Z21" s="4" t="s">
        <v>4</v>
      </c>
      <c r="AA21" s="4">
        <v>116</v>
      </c>
      <c r="AB21" s="5">
        <f>AA21/AA24</f>
        <v>0.89922480620155043</v>
      </c>
    </row>
    <row r="22" spans="2:28" x14ac:dyDescent="0.3">
      <c r="F22" s="4" t="s">
        <v>21</v>
      </c>
      <c r="G22" s="4">
        <v>1</v>
      </c>
      <c r="H22" s="5">
        <f>G22/G23</f>
        <v>5.7803468208092483E-3</v>
      </c>
      <c r="J22" s="4" t="s">
        <v>6</v>
      </c>
      <c r="K22" s="4">
        <v>0</v>
      </c>
      <c r="L22" s="5">
        <f>K22/K23</f>
        <v>0</v>
      </c>
      <c r="R22" s="14" t="s">
        <v>1</v>
      </c>
      <c r="S22" s="14" t="s">
        <v>2</v>
      </c>
      <c r="T22" s="14" t="s">
        <v>3</v>
      </c>
      <c r="Z22" s="4" t="s">
        <v>5</v>
      </c>
      <c r="AA22" s="4">
        <v>11</v>
      </c>
      <c r="AB22" s="5">
        <f>AA22/AA24</f>
        <v>8.5271317829457363E-2</v>
      </c>
    </row>
    <row r="23" spans="2:28" ht="15.6" x14ac:dyDescent="0.3">
      <c r="C23" s="9" t="s">
        <v>15</v>
      </c>
      <c r="D23" s="9" t="s">
        <v>16</v>
      </c>
      <c r="F23" s="6" t="s">
        <v>8</v>
      </c>
      <c r="G23" s="6">
        <f>SUM(G21:G22)</f>
        <v>173</v>
      </c>
      <c r="H23" s="7">
        <f>SUM(H21:H22)</f>
        <v>1</v>
      </c>
      <c r="J23" s="6" t="s">
        <v>8</v>
      </c>
      <c r="K23" s="6">
        <f>SUM(K20:K22)</f>
        <v>37</v>
      </c>
      <c r="L23" s="7">
        <f>SUM(L20:L22)</f>
        <v>1</v>
      </c>
      <c r="O23" t="s">
        <v>14</v>
      </c>
      <c r="R23" s="4" t="s">
        <v>4</v>
      </c>
      <c r="S23" s="4">
        <v>146</v>
      </c>
      <c r="T23" s="5">
        <f>S23/S27</f>
        <v>0.86390532544378695</v>
      </c>
      <c r="Z23" s="4" t="s">
        <v>6</v>
      </c>
      <c r="AA23" s="4">
        <v>2</v>
      </c>
      <c r="AB23" s="5">
        <f>AA23/AA24</f>
        <v>1.5503875968992248E-2</v>
      </c>
    </row>
    <row r="24" spans="2:28" ht="18" x14ac:dyDescent="0.35">
      <c r="B24" s="10" t="s">
        <v>40</v>
      </c>
      <c r="C24" s="11">
        <f>(C20)</f>
        <v>1</v>
      </c>
      <c r="D24" s="11">
        <f>(C21)</f>
        <v>0</v>
      </c>
      <c r="G24" s="12"/>
      <c r="N24" t="s">
        <v>15</v>
      </c>
      <c r="O24" s="8">
        <f>(O14+O15)/O17</f>
        <v>1</v>
      </c>
      <c r="R24" s="4" t="s">
        <v>5</v>
      </c>
      <c r="S24" s="4">
        <v>16</v>
      </c>
      <c r="T24" s="5">
        <f>S24/S27</f>
        <v>9.4674556213017749E-2</v>
      </c>
      <c r="Z24" s="6" t="s">
        <v>25</v>
      </c>
      <c r="AA24" s="6">
        <f>SUM(AA21:AA23)</f>
        <v>129</v>
      </c>
      <c r="AB24" s="7">
        <f>SUM(AB21:AB23)</f>
        <v>1</v>
      </c>
    </row>
    <row r="25" spans="2:28" ht="15.6" x14ac:dyDescent="0.3">
      <c r="C25" s="13"/>
      <c r="G25" t="s">
        <v>13</v>
      </c>
      <c r="K25" t="s">
        <v>13</v>
      </c>
      <c r="N25" t="s">
        <v>16</v>
      </c>
      <c r="O25" s="8">
        <f>(O16)/O17</f>
        <v>0</v>
      </c>
      <c r="R25" s="4" t="s">
        <v>6</v>
      </c>
      <c r="S25" s="4">
        <v>0</v>
      </c>
      <c r="T25" s="5">
        <f>S25/S27</f>
        <v>0</v>
      </c>
    </row>
    <row r="26" spans="2:28" x14ac:dyDescent="0.3">
      <c r="F26" t="s">
        <v>15</v>
      </c>
      <c r="G26" s="8">
        <f>(G7+G8)/G10</f>
        <v>1</v>
      </c>
      <c r="J26" t="s">
        <v>15</v>
      </c>
      <c r="K26" s="8">
        <f>(K7)/K9</f>
        <v>1</v>
      </c>
      <c r="R26" s="4" t="s">
        <v>7</v>
      </c>
      <c r="S26" s="4">
        <v>7</v>
      </c>
      <c r="T26" s="5">
        <f>S26/S27</f>
        <v>4.142011834319527E-2</v>
      </c>
      <c r="Z26" s="20" t="s">
        <v>50</v>
      </c>
      <c r="AA26" s="21"/>
      <c r="AB26" s="22"/>
    </row>
    <row r="27" spans="2:28" x14ac:dyDescent="0.3">
      <c r="F27" t="s">
        <v>16</v>
      </c>
      <c r="G27" s="8">
        <f>(G9)/G10</f>
        <v>0</v>
      </c>
      <c r="J27" t="s">
        <v>16</v>
      </c>
      <c r="K27" s="8">
        <f>(K8)/K9</f>
        <v>0</v>
      </c>
      <c r="R27" s="6" t="s">
        <v>25</v>
      </c>
      <c r="S27" s="6">
        <f>SUM(S23:S26)</f>
        <v>169</v>
      </c>
      <c r="T27" s="7">
        <f>SUM(T23:T26)</f>
        <v>1</v>
      </c>
      <c r="Z27" s="14" t="s">
        <v>1</v>
      </c>
      <c r="AA27" s="14" t="s">
        <v>2</v>
      </c>
      <c r="AB27" s="14" t="s">
        <v>3</v>
      </c>
    </row>
    <row r="28" spans="2:28" ht="15.6" x14ac:dyDescent="0.3">
      <c r="O28" s="9" t="s">
        <v>15</v>
      </c>
      <c r="P28" s="9" t="s">
        <v>16</v>
      </c>
      <c r="Z28" s="4" t="s">
        <v>4</v>
      </c>
      <c r="AA28" s="4">
        <v>114</v>
      </c>
      <c r="AB28" s="5">
        <f>AA28/AA31</f>
        <v>0.88372093023255816</v>
      </c>
    </row>
    <row r="29" spans="2:28" ht="18" x14ac:dyDescent="0.35">
      <c r="G29" t="s">
        <v>14</v>
      </c>
      <c r="K29" t="s">
        <v>14</v>
      </c>
      <c r="N29" s="10" t="s">
        <v>43</v>
      </c>
      <c r="O29" s="11">
        <f>(O20+O24)/2</f>
        <v>0.99561403508771928</v>
      </c>
      <c r="P29" s="11">
        <f>(O21+O25)/2</f>
        <v>4.3859649122807015E-3</v>
      </c>
      <c r="S29" t="s">
        <v>13</v>
      </c>
      <c r="Z29" s="4" t="s">
        <v>5</v>
      </c>
      <c r="AA29" s="4">
        <v>12</v>
      </c>
      <c r="AB29" s="5">
        <f>AA29/AA31</f>
        <v>9.3023255813953487E-2</v>
      </c>
    </row>
    <row r="30" spans="2:28" x14ac:dyDescent="0.3">
      <c r="F30" t="s">
        <v>15</v>
      </c>
      <c r="G30" s="8">
        <f>(G14+G15)/G17</f>
        <v>1</v>
      </c>
      <c r="J30" t="s">
        <v>15</v>
      </c>
      <c r="K30" s="8">
        <f>(K13+K14)/K16</f>
        <v>1</v>
      </c>
      <c r="R30" t="s">
        <v>15</v>
      </c>
      <c r="S30" s="8">
        <f>(S7+S8)/S11</f>
        <v>0.85798816568047342</v>
      </c>
      <c r="Z30" s="4" t="s">
        <v>6</v>
      </c>
      <c r="AA30" s="4">
        <v>3</v>
      </c>
      <c r="AB30" s="5">
        <f>AA30/AA31</f>
        <v>2.3255813953488372E-2</v>
      </c>
    </row>
    <row r="31" spans="2:28" x14ac:dyDescent="0.3">
      <c r="F31" t="s">
        <v>16</v>
      </c>
      <c r="G31" s="8">
        <f>(G16)/G17</f>
        <v>0</v>
      </c>
      <c r="J31" t="s">
        <v>16</v>
      </c>
      <c r="K31" s="8">
        <f>(K15)/K16</f>
        <v>0</v>
      </c>
      <c r="R31" t="s">
        <v>16</v>
      </c>
      <c r="S31" s="8">
        <f>(S9+S10)/S11</f>
        <v>0.14201183431952663</v>
      </c>
      <c r="Z31" s="6" t="s">
        <v>25</v>
      </c>
      <c r="AA31" s="6">
        <f>SUM(AA28:AA30)</f>
        <v>129</v>
      </c>
      <c r="AB31" s="7">
        <f>SUM(AB28:AB30)</f>
        <v>1</v>
      </c>
    </row>
    <row r="33" spans="6:28" x14ac:dyDescent="0.3">
      <c r="K33" t="s">
        <v>26</v>
      </c>
      <c r="S33" t="s">
        <v>14</v>
      </c>
      <c r="AA33" t="s">
        <v>13</v>
      </c>
    </row>
    <row r="34" spans="6:28" ht="15.6" x14ac:dyDescent="0.3">
      <c r="G34" s="9" t="s">
        <v>15</v>
      </c>
      <c r="H34" s="9" t="s">
        <v>16</v>
      </c>
      <c r="J34" t="s">
        <v>15</v>
      </c>
      <c r="K34" s="8">
        <f>(K20+K21)/K23</f>
        <v>1</v>
      </c>
      <c r="R34" t="s">
        <v>15</v>
      </c>
      <c r="S34" s="8">
        <f>(S15+S16)/S19</f>
        <v>0.8875739644970414</v>
      </c>
      <c r="Z34" t="s">
        <v>15</v>
      </c>
      <c r="AA34" s="8">
        <f>(AA7+AA8)/AA10</f>
        <v>0.96899224806201545</v>
      </c>
    </row>
    <row r="35" spans="6:28" ht="18" x14ac:dyDescent="0.35">
      <c r="F35" s="10" t="s">
        <v>41</v>
      </c>
      <c r="G35" s="11">
        <f>(G26+G30)/2</f>
        <v>1</v>
      </c>
      <c r="H35" s="11">
        <f>(G27+G31)/2</f>
        <v>0</v>
      </c>
      <c r="J35" t="s">
        <v>16</v>
      </c>
      <c r="K35" s="8">
        <f>(K22)/K23</f>
        <v>0</v>
      </c>
      <c r="R35" t="s">
        <v>16</v>
      </c>
      <c r="S35" s="8">
        <f>(S17+S18)/S19</f>
        <v>0.11242603550295859</v>
      </c>
      <c r="Z35" t="s">
        <v>16</v>
      </c>
      <c r="AA35" s="8">
        <f>(AA9)/AA10</f>
        <v>3.1007751937984496E-2</v>
      </c>
    </row>
    <row r="37" spans="6:28" x14ac:dyDescent="0.3">
      <c r="S37" t="s">
        <v>14</v>
      </c>
      <c r="AA37" t="s">
        <v>14</v>
      </c>
    </row>
    <row r="38" spans="6:28" ht="15.6" x14ac:dyDescent="0.3">
      <c r="K38" s="9" t="s">
        <v>15</v>
      </c>
      <c r="L38" s="9" t="s">
        <v>16</v>
      </c>
      <c r="R38" t="s">
        <v>15</v>
      </c>
      <c r="S38" s="8">
        <f>(S23+S24)/S27</f>
        <v>0.95857988165680474</v>
      </c>
      <c r="Z38" t="s">
        <v>15</v>
      </c>
      <c r="AA38" s="8">
        <f>(AA21+AA22)/AA24</f>
        <v>0.98449612403100772</v>
      </c>
    </row>
    <row r="39" spans="6:28" ht="18" x14ac:dyDescent="0.35">
      <c r="J39" s="10" t="s">
        <v>42</v>
      </c>
      <c r="K39" s="11">
        <f>(K26+K30+K34)/3</f>
        <v>1</v>
      </c>
      <c r="L39" s="11">
        <f>(K27+K31+K35)/3</f>
        <v>0</v>
      </c>
      <c r="R39" t="s">
        <v>16</v>
      </c>
      <c r="S39" s="8">
        <f>(S25+S26)/S27</f>
        <v>4.142011834319527E-2</v>
      </c>
      <c r="Z39" t="s">
        <v>16</v>
      </c>
      <c r="AA39" s="8">
        <f>(AA23)/AA24</f>
        <v>1.5503875968992248E-2</v>
      </c>
    </row>
    <row r="41" spans="6:28" x14ac:dyDescent="0.3">
      <c r="AA41" t="s">
        <v>14</v>
      </c>
    </row>
    <row r="42" spans="6:28" x14ac:dyDescent="0.3">
      <c r="Z42" t="s">
        <v>15</v>
      </c>
      <c r="AA42" s="8">
        <f>(AA28+AA29)/AA31</f>
        <v>0.97674418604651159</v>
      </c>
    </row>
    <row r="43" spans="6:28" ht="15.6" x14ac:dyDescent="0.3">
      <c r="S43" s="9" t="s">
        <v>15</v>
      </c>
      <c r="T43" s="9" t="s">
        <v>16</v>
      </c>
      <c r="Z43" t="s">
        <v>16</v>
      </c>
      <c r="AA43" s="8">
        <f>(AA30)/AA31</f>
        <v>2.3255813953488372E-2</v>
      </c>
    </row>
    <row r="44" spans="6:28" ht="18" x14ac:dyDescent="0.35">
      <c r="R44" s="10" t="s">
        <v>44</v>
      </c>
      <c r="S44" s="11">
        <f>(S30+S34+S38)/3</f>
        <v>0.90138067061143978</v>
      </c>
      <c r="T44" s="11">
        <f>(S31+S35+S39)/3</f>
        <v>9.8619329388560162E-2</v>
      </c>
    </row>
    <row r="47" spans="6:28" ht="15.6" x14ac:dyDescent="0.3">
      <c r="AA47" s="9" t="s">
        <v>15</v>
      </c>
      <c r="AB47" s="9" t="s">
        <v>16</v>
      </c>
    </row>
    <row r="48" spans="6:28" ht="18" x14ac:dyDescent="0.35">
      <c r="Z48" s="10" t="s">
        <v>46</v>
      </c>
      <c r="AA48" s="11">
        <f>(AA34+AA38+AA42)/3</f>
        <v>0.97674418604651159</v>
      </c>
      <c r="AB48" s="11">
        <f>(AA35+AA39+AA43)/3</f>
        <v>2.3255813953488372E-2</v>
      </c>
    </row>
  </sheetData>
  <mergeCells count="25">
    <mergeCell ref="Z2:AB3"/>
    <mergeCell ref="Z5:AB5"/>
    <mergeCell ref="Z19:AB19"/>
    <mergeCell ref="Z26:AB26"/>
    <mergeCell ref="Z12:AB12"/>
    <mergeCell ref="F2:H3"/>
    <mergeCell ref="F5:H5"/>
    <mergeCell ref="F12:H12"/>
    <mergeCell ref="F19:H19"/>
    <mergeCell ref="B12:D12"/>
    <mergeCell ref="B2:D3"/>
    <mergeCell ref="B5:D5"/>
    <mergeCell ref="J2:L3"/>
    <mergeCell ref="J5:L5"/>
    <mergeCell ref="J11:L11"/>
    <mergeCell ref="J18:L18"/>
    <mergeCell ref="N2:P3"/>
    <mergeCell ref="N5:P5"/>
    <mergeCell ref="N12:P12"/>
    <mergeCell ref="R2:T3"/>
    <mergeCell ref="R5:T5"/>
    <mergeCell ref="R13:T13"/>
    <mergeCell ref="R21:T21"/>
    <mergeCell ref="V2:X3"/>
    <mergeCell ref="V5:X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ALBORADA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MassVision</dc:creator>
  <cp:lastModifiedBy>USER</cp:lastModifiedBy>
  <dcterms:created xsi:type="dcterms:W3CDTF">2024-01-04T15:55:32Z</dcterms:created>
  <dcterms:modified xsi:type="dcterms:W3CDTF">2024-10-04T13:40:53Z</dcterms:modified>
</cp:coreProperties>
</file>